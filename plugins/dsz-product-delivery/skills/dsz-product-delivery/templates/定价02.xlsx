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666666\Desktop\"/>
    </mc:Choice>
  </mc:AlternateContent>
  <bookViews>
    <workbookView windowWidth="29868" windowHeight="13500"/>
  </bookViews>
  <sheets>
    <sheet name="Sheet1" sheetId="1" r:id="rId1"/>
    <sheet name="分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<sst xmlns="http://schemas.openxmlformats.org/spreadsheetml/2006/main" count="28364" uniqueCount="9313">
  <si>
    <t>等比例换算</t>
  </si>
  <si>
    <t>等比例换算x1.2倍</t>
  </si>
  <si>
    <t>等比例换算x1.4倍</t>
  </si>
  <si>
    <t>等比例换算x1.6倍</t>
  </si>
  <si>
    <t>等比例换算x1.8倍</t>
  </si>
  <si>
    <t>等比例换算x2倍</t>
  </si>
  <si>
    <t>等比例换算x2.2倍</t>
  </si>
  <si>
    <t>等比例换算x2.4倍</t>
  </si>
  <si>
    <t>等比例换算x2.6倍</t>
  </si>
  <si>
    <t>等比例换算x2.8倍</t>
  </si>
  <si>
    <t>等比例换算x3倍</t>
  </si>
  <si>
    <t>利润定价确定</t>
  </si>
  <si>
    <t>NZ区单独</t>
  </si>
  <si>
    <t>物流区间</t>
  </si>
  <si>
    <t>运费</t>
  </si>
  <si>
    <t>挂靠费</t>
  </si>
  <si>
    <t>运费+挂靠费</t>
  </si>
  <si>
    <t>成本(澳币)</t>
  </si>
  <si>
    <t>0-25 KG</t>
  </si>
  <si>
    <t>不带电</t>
  </si>
  <si>
    <t>5%利润
买家承担运费x1.2倍</t>
  </si>
  <si>
    <t>8%利润
买家承担运费x1.4倍</t>
  </si>
  <si>
    <t>10%利润
买家承担运费x1.6倍</t>
  </si>
  <si>
    <t>15%利润
买家承担运费x1.8倍</t>
  </si>
  <si>
    <t>20%利润
买家承担运费x2倍</t>
  </si>
  <si>
    <t>25%利润
买家承担运费x2.2倍</t>
  </si>
  <si>
    <t>30%利润
买家承担运费x2.4倍</t>
  </si>
  <si>
    <t>35%利润
买家承担运费x2.6倍</t>
  </si>
  <si>
    <t>40%利润
买家承担运费x2.8倍</t>
  </si>
  <si>
    <t>45%利润
买家承担运费x3倍</t>
  </si>
  <si>
    <t>50%利润
买家承担运费x3.2倍</t>
  </si>
  <si>
    <t>60%利润
买家承担运费x3.4倍</t>
  </si>
  <si>
    <t>源头价格</t>
  </si>
  <si>
    <t>克重</t>
  </si>
  <si>
    <t>买家承担邮费定价</t>
  </si>
  <si>
    <t>利润(换算人民币)</t>
  </si>
  <si>
    <t>最终定价</t>
  </si>
  <si>
    <t>-10%折扣前定价</t>
  </si>
  <si>
    <t>四区买家盈亏</t>
  </si>
  <si>
    <t>盈亏换算</t>
  </si>
  <si>
    <t>保价服务费</t>
  </si>
  <si>
    <t>一区(货运+货)</t>
  </si>
  <si>
    <t>一区定价</t>
  </si>
  <si>
    <t>除去运费利润（人民币）</t>
  </si>
  <si>
    <t>最大尺寸限制：59cm*49cm*39cm
重量计算方式为:长*宽*高cm/8000=KG</t>
  </si>
  <si>
    <t>一区 ⬆</t>
  </si>
  <si>
    <t>二区(货运+货)</t>
  </si>
  <si>
    <t>二区定价</t>
  </si>
  <si>
    <t>三区(货运+货)</t>
  </si>
  <si>
    <t>三区定价</t>
  </si>
  <si>
    <t>四区(货运+货)</t>
  </si>
  <si>
    <t>四区定价</t>
  </si>
  <si>
    <t>二区 ⬆</t>
  </si>
  <si>
    <t>三区 ⬆</t>
  </si>
  <si>
    <t>四区 ⬆</t>
  </si>
  <si>
    <t>ACT</t>
  </si>
  <si>
    <t>NSW_M</t>
  </si>
  <si>
    <t>NSW_R</t>
  </si>
  <si>
    <t>NT_M</t>
  </si>
  <si>
    <t>NT_R</t>
  </si>
  <si>
    <t>QLD_M</t>
  </si>
  <si>
    <t>QLD_R</t>
  </si>
  <si>
    <t>REMOTE</t>
  </si>
  <si>
    <t>SA_M</t>
  </si>
  <si>
    <t>SA_R</t>
  </si>
  <si>
    <t>TAS_M</t>
  </si>
  <si>
    <t>TAS_R</t>
  </si>
  <si>
    <t>VIC_M</t>
  </si>
  <si>
    <t>VIC_R</t>
  </si>
  <si>
    <t>WA_M</t>
  </si>
  <si>
    <t>WA_R</t>
  </si>
  <si>
    <t>Canberra</t>
  </si>
  <si>
    <t>NT Near Country</t>
  </si>
  <si>
    <t>NT Far Country</t>
  </si>
  <si>
    <t>SA Country</t>
  </si>
  <si>
    <t>Adelaide</t>
  </si>
  <si>
    <t>WA Far Country</t>
  </si>
  <si>
    <t>Perth</t>
  </si>
  <si>
    <t>WA Near Country</t>
  </si>
  <si>
    <t>Sydney</t>
  </si>
  <si>
    <t>Gosford</t>
  </si>
  <si>
    <t>NSW Country North</t>
  </si>
  <si>
    <t>Newcastle</t>
  </si>
  <si>
    <t>Tweed Heads</t>
  </si>
  <si>
    <t>Wollongong</t>
  </si>
  <si>
    <t>NSW Country South</t>
  </si>
  <si>
    <t>QLD Near Country</t>
  </si>
  <si>
    <t>Brisbane</t>
  </si>
  <si>
    <t>Gold Coast</t>
  </si>
  <si>
    <t>Coolangatta</t>
  </si>
  <si>
    <t>Ipswich</t>
  </si>
  <si>
    <t>QLD Mid Country</t>
  </si>
  <si>
    <t>Sunshine Coast</t>
  </si>
  <si>
    <t>QLD Far Country</t>
  </si>
  <si>
    <t>Norfolk Island</t>
  </si>
  <si>
    <t>Christmas Island</t>
  </si>
  <si>
    <t>Cocos Islands</t>
  </si>
  <si>
    <t>Australian Antarctic Territory</t>
  </si>
  <si>
    <t>Melbourne</t>
  </si>
  <si>
    <t>Geelong</t>
  </si>
  <si>
    <t>VIC Near Country</t>
  </si>
  <si>
    <t>Ballarat</t>
  </si>
  <si>
    <t>VIC Far Country</t>
  </si>
  <si>
    <t>Tasmania Metro</t>
  </si>
  <si>
    <t>Tasmania Country</t>
  </si>
  <si>
    <t>Albury</t>
  </si>
  <si>
    <t>Albury PO Boxes</t>
  </si>
  <si>
    <t>Canberra Fringe</t>
  </si>
  <si>
    <t>Canberra PO Boxes</t>
  </si>
  <si>
    <t>Coffs Harbour</t>
  </si>
  <si>
    <t>Hunter Valley</t>
  </si>
  <si>
    <t>Lord Howe Island</t>
  </si>
  <si>
    <t>Mudgee</t>
  </si>
  <si>
    <t>Newcastle PO Boxes</t>
  </si>
  <si>
    <t>Newcastle Surrounds</t>
  </si>
  <si>
    <t>Newcastle Surrounds PO Boxes</t>
  </si>
  <si>
    <t>Norfolk Island (external territory)</t>
  </si>
  <si>
    <t>Northern Border NSW</t>
  </si>
  <si>
    <t>Orange</t>
  </si>
  <si>
    <t>Outer NSW</t>
  </si>
  <si>
    <t>Outer NSW PO Boxes</t>
  </si>
  <si>
    <t>Riverina</t>
  </si>
  <si>
    <t>Wagga Wagga</t>
  </si>
  <si>
    <t>Blue Mountains</t>
  </si>
  <si>
    <t>Camden</t>
  </si>
  <si>
    <t>Central Coast</t>
  </si>
  <si>
    <t>Central Coast PO Boxes</t>
  </si>
  <si>
    <t>Hawkesbury River Region</t>
  </si>
  <si>
    <t>Sydney Fringe</t>
  </si>
  <si>
    <t>Sydney PO Boxes</t>
  </si>
  <si>
    <t>Wollongong North</t>
  </si>
  <si>
    <t>Wollongong PO Boxes</t>
  </si>
  <si>
    <t>Wollongong South</t>
  </si>
  <si>
    <t>Darwin</t>
  </si>
  <si>
    <t>Darwin PO Boxes</t>
  </si>
  <si>
    <t>Northern Territory Remote</t>
  </si>
  <si>
    <t>Northern Territory Remote PO Boxes</t>
  </si>
  <si>
    <t>Northern Territory Rural</t>
  </si>
  <si>
    <t>Northern Territory Rural PO Boxes</t>
  </si>
  <si>
    <t>Brisbane PO Boxes</t>
  </si>
  <si>
    <t>Brisbane South West</t>
  </si>
  <si>
    <t>Brisbane Surrounds</t>
  </si>
  <si>
    <t>Gold Coast North</t>
  </si>
  <si>
    <t>Gold Coast PO Boxes</t>
  </si>
  <si>
    <t>Scenic Rim Redlands Coast</t>
  </si>
  <si>
    <t>Scenic Rim Redlands Coast PO Boxes</t>
  </si>
  <si>
    <t>Central QLD Regional</t>
  </si>
  <si>
    <t>Ipswich North</t>
  </si>
  <si>
    <t>Mackay</t>
  </si>
  <si>
    <t>Rockhampton</t>
  </si>
  <si>
    <t>Sunshine Coast Fringe</t>
  </si>
  <si>
    <t>Cairns</t>
  </si>
  <si>
    <t>North QLD Regional</t>
  </si>
  <si>
    <t>North QLD Regional PO Boxes</t>
  </si>
  <si>
    <t>Townsville</t>
  </si>
  <si>
    <t>Granite Belt</t>
  </si>
  <si>
    <t>Hervey Bay</t>
  </si>
  <si>
    <t>Ipswich West</t>
  </si>
  <si>
    <t>South West QLD Regional</t>
  </si>
  <si>
    <t>Toowoomba</t>
  </si>
  <si>
    <t>Toowoomba PO Boxes</t>
  </si>
  <si>
    <t>Adelaide Fringe</t>
  </si>
  <si>
    <t>Adelaide Hills</t>
  </si>
  <si>
    <t>Adelaide Hills Surrounds</t>
  </si>
  <si>
    <t>Adelaide PO Boxes</t>
  </si>
  <si>
    <t>Barossa</t>
  </si>
  <si>
    <t>Broken Hill and Surrounds</t>
  </si>
  <si>
    <t>Outer SA</t>
  </si>
  <si>
    <t>Antarctic Bases (external territory)</t>
  </si>
  <si>
    <t>Hobart</t>
  </si>
  <si>
    <t>Hobart Fringe</t>
  </si>
  <si>
    <t>Hobart PO Boxes</t>
  </si>
  <si>
    <t>Launceston</t>
  </si>
  <si>
    <t>Regional TAS</t>
  </si>
  <si>
    <t>Geelong Surrounds</t>
  </si>
  <si>
    <t>Greater Melbourne</t>
  </si>
  <si>
    <t>Macedon</t>
  </si>
  <si>
    <t>Macedon Surrounds</t>
  </si>
  <si>
    <t>Melbourne PO Boxes</t>
  </si>
  <si>
    <t>Peninsula</t>
  </si>
  <si>
    <t>Yarra Valley</t>
  </si>
  <si>
    <t>Ballarat PO Boxes</t>
  </si>
  <si>
    <t>Ballarat Surrounds</t>
  </si>
  <si>
    <t>Bendigo</t>
  </si>
  <si>
    <t>Mildura</t>
  </si>
  <si>
    <t>NSW VIC Border</t>
  </si>
  <si>
    <t>Outer VIC</t>
  </si>
  <si>
    <t>Outer VIC PO Boxes</t>
  </si>
  <si>
    <t>ShePP 3 packarton</t>
  </si>
  <si>
    <t>Wodonga</t>
  </si>
  <si>
    <t>Wodonga PO Boxes</t>
  </si>
  <si>
    <t>Bullsbrook</t>
  </si>
  <si>
    <t>Bullsbrook Surrounds</t>
  </si>
  <si>
    <t>Lancelin</t>
  </si>
  <si>
    <t>Perth Fringe</t>
  </si>
  <si>
    <t>Perth Fringe PO Boxes</t>
  </si>
  <si>
    <t>Perth PO Boxes</t>
  </si>
  <si>
    <t>Pinjarra</t>
  </si>
  <si>
    <t>Christmas Island (external territory)</t>
  </si>
  <si>
    <t>Cocos (keeling) Island (external territory)</t>
  </si>
  <si>
    <t>Northern WA Regional</t>
  </si>
  <si>
    <t>Northern WA Regional PO Boxes</t>
  </si>
  <si>
    <t>Margaret River</t>
  </si>
  <si>
    <t>South West WA</t>
  </si>
  <si>
    <t>South West WA PO Boxes</t>
  </si>
  <si>
    <t>NZ</t>
  </si>
  <si>
    <t>国家/地区</t>
  </si>
  <si>
    <t>参考时效</t>
  </si>
  <si>
    <t>分区</t>
  </si>
  <si>
    <t>重量(KG)</t>
  </si>
  <si>
    <t>进位制(KG)</t>
  </si>
  <si>
    <t>最低计费重(KG)</t>
  </si>
  <si>
    <t>运费(RMB/KG)</t>
  </si>
  <si>
    <t>挂号费(RMB/票)</t>
  </si>
  <si>
    <t>澳大利亚</t>
  </si>
  <si>
    <t>7-12工作日</t>
  </si>
  <si>
    <t>1区</t>
  </si>
  <si>
    <t>0＜W≤0.3</t>
  </si>
  <si>
    <t>0.3＜W≤0.5</t>
  </si>
  <si>
    <t>0.5＜W≤1</t>
  </si>
  <si>
    <t>1＜W≤3</t>
  </si>
  <si>
    <t>3＜W≤20</t>
  </si>
  <si>
    <t>2区</t>
  </si>
  <si>
    <t>3区</t>
  </si>
  <si>
    <t>4区</t>
  </si>
  <si>
    <t>带电</t>
  </si>
  <si>
    <t>70%利润
买家承担运费x3.6倍</t>
  </si>
  <si>
    <t>80%利润
买家承担运费x3.8倍</t>
  </si>
  <si>
    <t>90%利润
买家承担运费4倍</t>
  </si>
  <si>
    <t xml:space="preserve"> 除去运费利润（人民币）</t>
  </si>
  <si>
    <t>利润价格</t>
  </si>
  <si>
    <t>1-3区</t>
  </si>
  <si>
    <t>特货</t>
  </si>
  <si>
    <t>折扣前</t>
  </si>
  <si>
    <t>-10%折扣</t>
  </si>
  <si>
    <t>三区买家盈亏</t>
  </si>
  <si>
    <t>体积重量计算方式为:长*宽*高cm/6000=KG,取最大值
最大尺寸限制：最长边≤1m，体积≤0.25CBM</t>
  </si>
  <si>
    <t>特货无四区
重新划分只有三个区
不走买家承担运费</t>
  </si>
  <si>
    <t>7-9工作日（偏远除外）</t>
  </si>
  <si>
    <t>3＜W≤5</t>
  </si>
  <si>
    <t>带电和不带电分区</t>
  </si>
  <si>
    <t>邮编</t>
  </si>
  <si>
    <t>YT分区</t>
  </si>
  <si>
    <t>特货分区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</si>
  <si>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</si>
  <si>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</si>
  <si>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</si>
  <si>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</si>
  <si>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</si>
  <si>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</si>
  <si>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</si>
  <si>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</si>
  <si>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</si>
  <si>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</si>
  <si>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</si>
  <si>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</si>
  <si>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</si>
  <si>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</si>
  <si>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</si>
  <si>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</si>
  <si>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</si>
  <si>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</si>
  <si>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</si>
  <si>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</si>
  <si>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</si>
  <si>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</si>
  <si>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</si>
  <si>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</si>
  <si>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</si>
  <si>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</si>
  <si>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</si>
  <si>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</si>
  <si>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</si>
  <si>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</si>
  <si>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</si>
  <si>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</si>
  <si>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</si>
  <si>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</si>
  <si>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</si>
  <si>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</si>
  <si>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</si>
  <si>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</si>
  <si>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</si>
  <si>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</si>
  <si>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</si>
  <si>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</si>
  <si>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</si>
  <si>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</si>
  <si>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</si>
  <si>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</si>
  <si>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</si>
  <si>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</si>
  <si>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</si>
  <si>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</si>
  <si>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</si>
  <si>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</si>
  <si>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</si>
  <si>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</si>
  <si>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</si>
  <si>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</si>
  <si>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</si>
  <si>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</si>
  <si>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</si>
  <si>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</si>
  <si>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</si>
  <si>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</si>
  <si>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</si>
  <si>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</si>
  <si>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</si>
  <si>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</si>
  <si>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</si>
  <si>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</si>
  <si>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</si>
  <si>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</si>
  <si>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</si>
  <si>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</si>
  <si>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</si>
  <si>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</si>
  <si>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</si>
  <si>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</si>
  <si>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</si>
  <si>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</si>
  <si>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</si>
  <si>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</si>
  <si>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</si>
  <si>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</si>
  <si>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</si>
  <si>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</si>
  <si>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</si>
  <si>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</si>
  <si>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</si>
  <si>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</si>
  <si>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</si>
  <si>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</si>
  <si>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</si>
  <si>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</si>
  <si>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</si>
  <si>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</si>
  <si>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</si>
  <si>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</si>
  <si>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</si>
  <si>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</si>
  <si>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</si>
  <si>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</si>
  <si>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</si>
  <si>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</si>
  <si>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</si>
  <si>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</si>
  <si>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</si>
  <si>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</si>
  <si>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</si>
  <si>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</si>
  <si>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</si>
  <si>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</si>
  <si>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</si>
  <si>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</si>
  <si>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</si>
  <si>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</si>
  <si>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</si>
  <si>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</si>
  <si>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</si>
  <si>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</si>
  <si>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</si>
  <si>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</si>
  <si>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</si>
  <si>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</si>
  <si>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</si>
  <si>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</si>
  <si>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</si>
  <si>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</si>
  <si>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</si>
  <si>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</si>
  <si>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</si>
  <si>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</si>
  <si>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</si>
  <si>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</si>
  <si>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</si>
  <si>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</si>
  <si>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</si>
  <si>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</si>
  <si>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</si>
  <si>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</si>
  <si>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</si>
  <si>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</si>
  <si>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</si>
  <si>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</si>
  <si>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</si>
  <si>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</si>
  <si>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</si>
  <si>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</si>
  <si>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</si>
  <si>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</si>
  <si>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</si>
  <si>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</si>
  <si>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</si>
  <si>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</si>
  <si>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</si>
  <si>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</si>
  <si>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</si>
  <si>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</si>
  <si>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</si>
  <si>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</si>
  <si>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</si>
  <si>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</si>
  <si>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</si>
  <si>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</si>
  <si>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</si>
  <si>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</si>
  <si>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</si>
  <si>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</si>
  <si>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</si>
  <si>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</si>
  <si>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</si>
  <si>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</si>
  <si>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</si>
  <si>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</si>
  <si>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</si>
  <si>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</si>
  <si>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</si>
  <si>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</si>
  <si>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</si>
  <si>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</si>
  <si>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</si>
  <si>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</si>
  <si>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</si>
  <si>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</si>
  <si>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</si>
  <si>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</si>
  <si>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</si>
  <si>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</si>
  <si>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</si>
  <si>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</si>
  <si>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</si>
  <si>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</si>
  <si>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</si>
  <si>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</si>
  <si>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</si>
  <si>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</si>
  <si>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</si>
  <si>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</si>
  <si>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</si>
  <si>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</si>
  <si>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</si>
  <si>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</si>
  <si>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</si>
  <si>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</si>
  <si>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</si>
  <si>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</si>
  <si>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</si>
  <si>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</si>
  <si>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</si>
  <si>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</si>
  <si>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</si>
  <si>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</si>
  <si>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</si>
  <si>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</si>
  <si>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</si>
  <si>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</si>
  <si>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</si>
  <si>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</si>
  <si>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</si>
  <si>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</si>
  <si>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</si>
  <si>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</si>
  <si>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</si>
  <si>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</si>
  <si>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</si>
  <si>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</si>
  <si>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</si>
  <si>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</si>
  <si>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</si>
  <si>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</si>
  <si>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</si>
  <si>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</si>
  <si>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</si>
  <si>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</si>
  <si>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</si>
  <si>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</si>
  <si>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</si>
  <si>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</si>
  <si>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</si>
  <si>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</si>
  <si>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</si>
  <si>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</si>
  <si>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</si>
  <si>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</si>
  <si>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</si>
  <si>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</si>
  <si>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</si>
  <si>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</si>
  <si>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</si>
  <si>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</si>
  <si>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</si>
  <si>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</si>
  <si>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</si>
  <si>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</si>
  <si>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</si>
  <si>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</si>
  <si>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</si>
  <si>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</si>
  <si>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</si>
  <si>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</si>
  <si>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</si>
  <si>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</si>
  <si>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</si>
  <si>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</si>
  <si>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</si>
  <si>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</si>
  <si>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</si>
  <si>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</si>
  <si>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</si>
  <si>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</si>
  <si>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</si>
  <si>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</si>
  <si>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</si>
  <si>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</si>
  <si>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</si>
  <si>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</si>
  <si>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</si>
  <si>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</si>
  <si>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</si>
  <si>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</si>
  <si>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</si>
  <si>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</si>
  <si>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</si>
  <si>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</si>
  <si>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</si>
  <si>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</si>
  <si>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</si>
  <si>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</si>
  <si>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</si>
  <si>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</si>
  <si>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</si>
  <si>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</si>
  <si>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</si>
  <si>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</si>
  <si>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</si>
  <si>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</si>
  <si>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</si>
  <si>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</si>
  <si>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</si>
  <si>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</si>
  <si>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</si>
  <si>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</si>
  <si>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</si>
  <si>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</si>
  <si>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</si>
  <si>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</si>
  <si>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</si>
  <si>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</si>
  <si>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</si>
  <si>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</si>
  <si>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</si>
  <si>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</si>
  <si>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</si>
  <si>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</si>
  <si>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</si>
  <si>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</si>
  <si>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</si>
  <si>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</si>
  <si>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</si>
  <si>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</si>
  <si>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</si>
  <si>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</si>
  <si>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</si>
  <si>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</si>
  <si>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</si>
  <si>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</si>
  <si>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</si>
  <si>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</si>
  <si>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</si>
  <si>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</si>
  <si>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</si>
  <si>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</si>
  <si>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</si>
  <si>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</si>
  <si>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</si>
  <si>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</si>
  <si>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</si>
  <si>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</si>
  <si>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</si>
  <si>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</si>
  <si>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</si>
  <si>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</si>
  <si>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</si>
  <si>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</si>
  <si>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</si>
  <si>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</si>
  <si>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</si>
  <si>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</si>
  <si>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</si>
  <si>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</si>
  <si>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</si>
  <si>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</si>
  <si>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</si>
  <si>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</si>
  <si>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</si>
  <si>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</si>
  <si>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</si>
  <si>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</si>
  <si>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</si>
  <si>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</si>
  <si>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</si>
  <si>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</si>
  <si>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</si>
  <si>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</si>
  <si>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</si>
  <si>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</si>
  <si>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</si>
  <si>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</si>
  <si>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</si>
  <si>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</si>
  <si>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</si>
  <si>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</si>
  <si>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</si>
  <si>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</si>
  <si>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</si>
  <si>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</si>
  <si>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</si>
  <si>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</si>
  <si>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</si>
  <si>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</si>
  <si>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</si>
  <si>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</si>
  <si>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</si>
  <si>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</si>
  <si>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</si>
  <si>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</si>
  <si>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</si>
  <si>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</si>
  <si>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</si>
  <si>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</si>
  <si>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</si>
  <si>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</si>
  <si>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</si>
  <si>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</si>
  <si>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</si>
  <si>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</si>
  <si>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</si>
  <si>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</si>
  <si>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</si>
  <si>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</si>
  <si>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</si>
  <si>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</si>
  <si>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</si>
  <si>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</si>
  <si>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</si>
  <si>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</si>
  <si>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</si>
  <si>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</si>
  <si>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</si>
  <si>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</si>
  <si>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</si>
  <si>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</si>
  <si>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</si>
  <si>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</si>
  <si>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</si>
  <si>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</si>
  <si>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</si>
  <si>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</si>
  <si>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</si>
  <si>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</si>
  <si>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</si>
  <si>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</si>
  <si>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</si>
  <si>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</si>
  <si>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</si>
  <si>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</si>
  <si>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</si>
  <si>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</si>
  <si>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</si>
  <si>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</si>
  <si>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</si>
  <si>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</si>
  <si>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</si>
  <si>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</si>
  <si>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</si>
  <si>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</si>
  <si>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</si>
  <si>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</si>
  <si>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</si>
  <si>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</si>
  <si>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</si>
  <si>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</si>
  <si>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</si>
  <si>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</si>
  <si>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</si>
  <si>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</si>
  <si>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</si>
  <si>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</si>
  <si>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</si>
  <si>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</si>
  <si>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</si>
  <si>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</si>
  <si>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</si>
  <si>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</si>
  <si>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</si>
  <si>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</si>
  <si>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</si>
  <si>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</si>
  <si>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</si>
  <si>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</si>
  <si>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</si>
  <si>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</si>
  <si>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</si>
  <si>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</si>
  <si>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</si>
  <si>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</si>
  <si>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</si>
  <si>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</si>
  <si>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</si>
  <si>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</si>
  <si>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</si>
  <si>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</si>
  <si>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</si>
  <si>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</si>
  <si>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</si>
  <si>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</si>
  <si>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</si>
  <si>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</si>
  <si>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</si>
  <si>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</si>
  <si>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</si>
  <si>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</si>
  <si>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</si>
  <si>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</si>
  <si>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</si>
  <si>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</si>
  <si>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</si>
  <si>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</si>
  <si>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</si>
  <si>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</si>
  <si>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</si>
  <si>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</si>
  <si>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</si>
  <si>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</si>
  <si>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</si>
  <si>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</si>
  <si>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</si>
  <si>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</si>
  <si>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</si>
  <si>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</si>
  <si>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</si>
  <si>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</si>
  <si>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</si>
  <si>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</si>
  <si>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</si>
  <si>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</si>
  <si>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</si>
  <si>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</si>
  <si>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</si>
  <si>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</si>
  <si>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</si>
  <si>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</si>
  <si>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</si>
  <si>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</si>
  <si>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</si>
  <si>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</si>
  <si>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</si>
  <si>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</si>
  <si>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</si>
  <si>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</si>
  <si>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</si>
  <si>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</si>
  <si>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</si>
  <si>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</si>
  <si>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</si>
  <si>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</si>
  <si>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</si>
  <si>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</si>
  <si>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</si>
  <si>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</si>
  <si>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</si>
  <si>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</si>
  <si>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</si>
  <si>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</si>
  <si>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</si>
  <si>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</si>
  <si>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</si>
  <si>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</si>
  <si>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</si>
  <si>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</si>
  <si>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</si>
  <si>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</si>
  <si>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</si>
  <si>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</si>
  <si>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</si>
  <si>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</si>
  <si>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</si>
  <si>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</si>
  <si>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</si>
  <si>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</si>
  <si>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</si>
  <si>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</si>
  <si>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</si>
  <si>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</si>
  <si>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</si>
  <si>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</si>
  <si>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</si>
  <si>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</si>
  <si>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</si>
  <si>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</si>
  <si>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</si>
  <si>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</si>
  <si>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</si>
  <si>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</si>
  <si>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</si>
  <si>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</si>
  <si>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</si>
  <si>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</si>
  <si>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</si>
  <si>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</si>
  <si>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</si>
  <si>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</si>
  <si>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</si>
  <si>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</si>
  <si>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</si>
  <si>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</si>
  <si>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</si>
  <si>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</si>
  <si>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</si>
  <si>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</si>
  <si>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</si>
  <si>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</si>
  <si>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</si>
  <si>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</si>
  <si>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</si>
  <si>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</si>
  <si>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</si>
  <si>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</si>
  <si>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</si>
  <si>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</si>
  <si>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</si>
  <si>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</si>
  <si>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</si>
  <si>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</si>
  <si>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</si>
  <si>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</si>
  <si>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</si>
  <si>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</si>
  <si>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</si>
  <si>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</si>
  <si>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</si>
  <si>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</si>
  <si>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</si>
  <si>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</si>
  <si>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</si>
  <si>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</si>
  <si>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</si>
  <si>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</si>
  <si>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</si>
  <si>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</si>
  <si>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</si>
  <si>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</si>
  <si>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</si>
  <si>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</si>
  <si>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</si>
  <si>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</si>
  <si>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</si>
  <si>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</si>
  <si>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</si>
  <si>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</si>
  <si>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</si>
  <si>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</si>
  <si>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</si>
  <si>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</si>
  <si>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</si>
  <si>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</si>
  <si>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</si>
  <si>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</si>
  <si>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</si>
  <si>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</si>
  <si>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</si>
  <si>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</si>
  <si>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</si>
  <si>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</si>
  <si>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</si>
  <si>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</si>
  <si>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</si>
  <si>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</si>
  <si>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</si>
  <si>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</si>
  <si>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</si>
  <si>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</si>
  <si>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</si>
  <si>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</si>
  <si>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</si>
  <si>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</si>
  <si>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</si>
  <si>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</si>
  <si>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</si>
  <si>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</si>
  <si>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</si>
  <si>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</si>
  <si>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</si>
  <si>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</si>
  <si>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</si>
  <si>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</si>
  <si>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</si>
  <si>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</si>
  <si>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</si>
  <si>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</si>
  <si>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</si>
  <si>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</si>
  <si>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</si>
  <si>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</si>
  <si>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</si>
  <si>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</si>
  <si>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</si>
  <si>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</si>
  <si>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</si>
  <si>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</si>
  <si>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</si>
  <si>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</si>
  <si>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</si>
  <si>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</si>
  <si>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</si>
  <si>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</si>
  <si>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</si>
  <si>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</si>
  <si>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</si>
  <si>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</si>
  <si>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</si>
  <si>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</si>
  <si>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</si>
  <si>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</si>
  <si>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</si>
  <si>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</si>
  <si>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</si>
  <si>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</si>
  <si>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</si>
  <si>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</si>
  <si>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</si>
  <si>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</si>
  <si>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</si>
  <si>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</si>
  <si>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</si>
  <si>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</si>
  <si>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</si>
  <si>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</si>
  <si>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</si>
  <si>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</si>
  <si>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</si>
  <si>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</si>
  <si>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</si>
  <si>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</si>
  <si>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</si>
  <si>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</si>
  <si>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</si>
  <si>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</si>
  <si>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</si>
  <si>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</si>
  <si>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</si>
  <si>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</si>
  <si>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</si>
  <si>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</si>
  <si>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</si>
  <si>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</si>
  <si>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</si>
  <si>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</si>
  <si>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</si>
  <si>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</si>
  <si>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</si>
  <si>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</si>
  <si>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</si>
  <si>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</si>
  <si>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</si>
  <si>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</si>
  <si>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</si>
  <si>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</si>
  <si>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</si>
  <si>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</si>
  <si>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</si>
  <si>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</si>
  <si>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</si>
  <si>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</si>
  <si>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</si>
  <si>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</si>
  <si>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</si>
  <si>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</si>
  <si>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</si>
  <si>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</si>
  <si>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</si>
  <si>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</si>
  <si>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</si>
  <si>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</si>
  <si>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</si>
  <si>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</si>
  <si>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</si>
  <si>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</si>
  <si>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</si>
  <si>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</si>
  <si>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</si>
  <si>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</si>
  <si>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</si>
  <si>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</si>
  <si>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</si>
  <si>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</si>
  <si>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</si>
  <si>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</si>
  <si>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</si>
  <si>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</si>
  <si>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</si>
  <si>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</si>
  <si>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</si>
  <si>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</si>
  <si>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</si>
  <si>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</si>
  <si>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</si>
  <si>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</si>
  <si>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</si>
  <si>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</si>
  <si>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</si>
  <si>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</si>
  <si>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</si>
  <si>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</si>
  <si>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</si>
  <si>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</si>
  <si>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</si>
  <si>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</si>
  <si>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</si>
  <si>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</si>
  <si>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</si>
  <si>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</si>
  <si>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</si>
  <si>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</si>
  <si>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</si>
  <si>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</si>
  <si>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</si>
  <si>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</si>
  <si>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</si>
  <si>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</si>
  <si>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</si>
  <si>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</si>
  <si>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</si>
  <si>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</si>
  <si>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</si>
  <si>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</si>
  <si>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</si>
  <si>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</si>
  <si>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</si>
  <si>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</si>
  <si>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</si>
  <si>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</si>
  <si>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</si>
  <si>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</si>
  <si>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</si>
  <si>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</si>
  <si>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</si>
  <si>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</si>
  <si>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</si>
  <si>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</si>
  <si>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</si>
  <si>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</si>
  <si>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</si>
  <si>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</si>
  <si>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</si>
  <si>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</si>
  <si>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</si>
  <si>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</si>
  <si>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</si>
  <si>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</si>
  <si>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</si>
  <si>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</si>
  <si>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</si>
  <si>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</si>
  <si>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</si>
  <si>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</si>
  <si>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</si>
  <si>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</si>
  <si>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</si>
  <si>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</si>
  <si>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</si>
  <si>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</si>
  <si>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</si>
  <si>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</si>
  <si>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</si>
  <si>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</si>
  <si>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</si>
  <si>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</si>
  <si>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</si>
  <si>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</si>
  <si>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</si>
  <si>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</si>
  <si>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</si>
  <si>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</si>
  <si>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</si>
  <si>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</si>
  <si>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</si>
  <si>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</si>
  <si>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</si>
  <si>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</si>
  <si>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</si>
  <si>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</si>
  <si>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</si>
  <si>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</si>
  <si>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</si>
  <si>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</si>
  <si>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</si>
  <si>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</si>
  <si>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</si>
  <si>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</si>
  <si>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</si>
  <si>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</si>
  <si>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</si>
  <si>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</si>
  <si>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</si>
  <si>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</si>
  <si>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</si>
  <si>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</si>
  <si>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</si>
  <si>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</si>
  <si>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</si>
  <si>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</si>
  <si>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</si>
  <si>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</si>
  <si>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</si>
  <si>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</si>
  <si>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</si>
  <si>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</si>
  <si>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</si>
  <si>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</si>
  <si>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</si>
  <si>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</si>
  <si>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</si>
  <si>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</si>
  <si>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</si>
  <si>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</si>
  <si>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</si>
  <si>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</si>
  <si>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</si>
  <si>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</si>
  <si>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</si>
  <si>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</si>
  <si>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</si>
  <si>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</si>
  <si>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</si>
  <si>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</si>
  <si>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</si>
  <si>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</si>
  <si>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</si>
  <si>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</si>
  <si>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</si>
  <si>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</si>
  <si>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</si>
  <si>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</si>
  <si>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</si>
  <si>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</si>
  <si>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</si>
  <si>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</si>
  <si>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</si>
  <si>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</si>
  <si>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</si>
  <si>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</si>
  <si>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</si>
  <si>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</si>
  <si>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</si>
  <si>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</si>
  <si>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</si>
  <si>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</si>
  <si>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</si>
  <si>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</si>
  <si>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</si>
  <si>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</si>
  <si>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</si>
  <si>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</si>
  <si>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</si>
  <si>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</si>
  <si>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</si>
  <si>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</si>
  <si>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</si>
  <si>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</si>
  <si>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</si>
  <si>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</si>
  <si>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</si>
  <si>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</si>
  <si>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</si>
  <si>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</si>
  <si>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</si>
  <si>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</si>
  <si>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</si>
  <si>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</si>
  <si>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</si>
  <si>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</si>
  <si>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</si>
  <si>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</si>
  <si>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</si>
  <si>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</si>
  <si>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</si>
  <si>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</si>
  <si>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</si>
  <si>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</si>
  <si>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</si>
  <si>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</si>
  <si>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</si>
  <si>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</si>
  <si>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</si>
  <si>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</si>
  <si>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</si>
  <si>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</si>
  <si>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</si>
  <si>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</si>
  <si>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</si>
  <si>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</si>
  <si>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</si>
  <si>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</si>
  <si>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</si>
  <si>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</si>
  <si>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</si>
  <si>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</si>
  <si>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</si>
  <si>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</si>
  <si>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</si>
  <si>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</si>
  <si>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</si>
  <si>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</si>
  <si>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</si>
  <si>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</si>
  <si>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</si>
  <si>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</si>
  <si>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</si>
  <si>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</si>
  <si>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</si>
  <si>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</si>
  <si>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</si>
  <si>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</si>
  <si>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</si>
  <si>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</si>
  <si>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</si>
  <si>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</si>
  <si>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</si>
  <si>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</si>
  <si>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</si>
  <si>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</si>
  <si>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</si>
  <si>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</si>
  <si>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</si>
  <si>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</si>
  <si>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</si>
  <si>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</si>
  <si>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</si>
  <si>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</si>
  <si>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</si>
  <si>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</si>
  <si>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</si>
  <si>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</si>
  <si>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</si>
  <si>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</si>
  <si>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</si>
  <si>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</si>
  <si>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</si>
  <si>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</si>
  <si>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</si>
  <si>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</si>
  <si>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</si>
  <si>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</si>
  <si>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</si>
  <si>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</si>
  <si>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</si>
  <si>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</si>
  <si>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</si>
  <si>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</si>
  <si>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</si>
  <si>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</si>
  <si>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</si>
  <si>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</si>
  <si>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</si>
  <si>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</si>
  <si>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</si>
  <si>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</si>
  <si>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</si>
  <si>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</si>
  <si>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</si>
  <si>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</si>
  <si>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</si>
  <si>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</si>
  <si>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</si>
  <si>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</si>
  <si>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</si>
  <si>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</si>
  <si>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</si>
  <si>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</si>
  <si>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</si>
  <si>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</si>
  <si>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</si>
  <si>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</si>
  <si>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</si>
  <si>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</si>
  <si>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</si>
  <si>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</si>
  <si>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</si>
  <si>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</si>
  <si>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</si>
  <si>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</si>
  <si>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</si>
  <si>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</si>
  <si>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</si>
  <si>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</si>
  <si>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</si>
  <si>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</si>
  <si>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</si>
  <si>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</si>
  <si>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</si>
  <si>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</si>
  <si>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</si>
  <si>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</si>
  <si>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</si>
  <si>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</si>
  <si>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</si>
  <si>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</si>
  <si>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</si>
  <si>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</si>
  <si>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</si>
  <si>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</si>
  <si>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</si>
  <si>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</si>
  <si>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</si>
  <si>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</si>
  <si>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</si>
  <si>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</si>
  <si>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</si>
  <si>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</si>
  <si>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</si>
  <si>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</si>
  <si>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</si>
  <si>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</si>
  <si>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</si>
  <si>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</si>
  <si>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</si>
  <si>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</si>
  <si>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</si>
  <si>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2158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</si>
  <si>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</si>
  <si>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</si>
  <si>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</si>
  <si>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</si>
  <si>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</si>
  <si>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</si>
  <si>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</si>
  <si>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</si>
  <si>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</si>
  <si>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</si>
  <si>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</si>
  <si>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</si>
  <si>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</si>
  <si>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</si>
  <si>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</si>
  <si>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</si>
  <si>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</si>
  <si>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</si>
  <si>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</si>
  <si>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</si>
  <si>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</si>
  <si>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</si>
  <si>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</si>
  <si>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</si>
  <si>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</si>
  <si>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</si>
  <si>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</si>
  <si>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</si>
  <si>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</si>
  <si>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</si>
  <si>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</si>
  <si>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</si>
  <si>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</si>
  <si>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</si>
  <si>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</si>
  <si>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</si>
  <si>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</si>
  <si>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</si>
  <si>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</si>
  <si>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</si>
  <si>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</si>
  <si>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</si>
  <si>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</si>
  <si>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</si>
  <si>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</si>
  <si>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</si>
  <si>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</si>
  <si>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</si>
  <si>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</si>
  <si>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</si>
  <si>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</si>
  <si>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</si>
  <si>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</si>
  <si>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</si>
  <si>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</si>
  <si>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</si>
  <si>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</si>
  <si>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</si>
  <si>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</si>
  <si>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</si>
  <si>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</si>
  <si>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</si>
  <si>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</si>
  <si>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</si>
  <si>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</si>
  <si>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</si>
  <si>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</si>
  <si>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</si>
  <si>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</si>
  <si>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</si>
  <si>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</si>
  <si>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</si>
  <si>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</si>
  <si>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</si>
  <si>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</si>
  <si>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</si>
  <si>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</si>
  <si>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</si>
  <si>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</si>
  <si>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</si>
  <si>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</si>
  <si>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</si>
  <si>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</si>
  <si>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</si>
  <si>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</si>
  <si>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</si>
  <si>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</si>
  <si>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2557</t>
  </si>
  <si>
    <t>2558</t>
  </si>
  <si>
    <t>2559</t>
  </si>
  <si>
    <t>2564</t>
  </si>
  <si>
    <t>2565</t>
  </si>
  <si>
    <t>2566</t>
  </si>
  <si>
    <t>2567</t>
  </si>
  <si>
    <t>2740</t>
  </si>
  <si>
    <t>2741</t>
  </si>
  <si>
    <t>2742</t>
  </si>
  <si>
    <t>2743</t>
  </si>
  <si>
    <t>2744</t>
  </si>
  <si>
    <t>2747</t>
  </si>
  <si>
    <t>2748</t>
  </si>
  <si>
    <t>2749</t>
  </si>
  <si>
    <t>2750</t>
  </si>
  <si>
    <t>2751</t>
  </si>
  <si>
    <t>2759</t>
  </si>
  <si>
    <t>2760</t>
  </si>
  <si>
    <t>2761</t>
  </si>
  <si>
    <t>2762</t>
  </si>
  <si>
    <t>2763</t>
  </si>
  <si>
    <t>2764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</si>
  <si>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</si>
  <si>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</si>
  <si>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</si>
  <si>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</si>
  <si>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</si>
  <si>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</si>
  <si>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</si>
  <si>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</si>
  <si>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</si>
  <si>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2776</t>
  </si>
  <si>
    <t>2777</t>
  </si>
  <si>
    <t>2890</t>
  </si>
  <si>
    <t>2891</t>
  </si>
  <si>
    <t>2892</t>
  </si>
  <si>
    <t>2893</t>
  </si>
  <si>
    <t>2894</t>
  </si>
  <si>
    <t>2895</t>
  </si>
  <si>
    <t>2896</t>
  </si>
  <si>
    <t>2897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</si>
  <si>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</si>
  <si>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</si>
  <si>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</si>
  <si>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</si>
  <si>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</si>
  <si>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</si>
  <si>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</si>
  <si>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</si>
  <si>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</si>
  <si>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</si>
  <si>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</si>
  <si>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</si>
  <si>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</si>
  <si>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</si>
  <si>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</si>
  <si>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</si>
  <si>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</si>
  <si>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</si>
  <si>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</si>
  <si>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</si>
  <si>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</si>
  <si>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</si>
  <si>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</si>
  <si>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</si>
  <si>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</si>
  <si>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</si>
  <si>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</si>
  <si>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</si>
  <si>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</si>
  <si>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</si>
  <si>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</si>
  <si>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</si>
  <si>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</si>
  <si>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</si>
  <si>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</si>
  <si>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</si>
  <si>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</si>
  <si>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</si>
  <si>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</si>
  <si>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</si>
  <si>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</si>
  <si>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</si>
  <si>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</si>
  <si>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</si>
  <si>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</si>
  <si>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</si>
  <si>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</si>
  <si>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</si>
  <si>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</si>
  <si>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</si>
  <si>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</si>
  <si>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</si>
  <si>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</si>
  <si>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</si>
  <si>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</si>
  <si>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</si>
  <si>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</si>
  <si>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</si>
  <si>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</si>
  <si>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</si>
  <si>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</si>
  <si>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</si>
  <si>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</si>
  <si>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</si>
  <si>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</si>
  <si>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</si>
  <si>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</si>
  <si>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</si>
  <si>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</si>
  <si>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</si>
  <si>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</si>
  <si>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</si>
  <si>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</si>
  <si>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</si>
  <si>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</si>
  <si>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</si>
  <si>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</si>
  <si>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</si>
  <si>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</si>
  <si>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</si>
  <si>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</si>
  <si>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</si>
  <si>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</si>
  <si>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</si>
  <si>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</si>
  <si>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</si>
  <si>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</si>
  <si>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</si>
  <si>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</si>
  <si>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</si>
  <si>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</si>
  <si>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</si>
  <si>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</si>
  <si>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</si>
  <si>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</si>
  <si>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</si>
  <si>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</si>
  <si>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</si>
  <si>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</si>
  <si>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</si>
  <si>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</si>
  <si>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</si>
  <si>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</si>
  <si>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</si>
  <si>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</si>
  <si>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</si>
  <si>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</si>
  <si>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</si>
  <si>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</si>
  <si>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</si>
  <si>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</si>
  <si>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</si>
  <si>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</si>
  <si>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</si>
  <si>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</si>
  <si>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</si>
  <si>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</si>
  <si>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</si>
  <si>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</si>
  <si>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</si>
  <si>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</si>
  <si>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</si>
  <si>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</si>
  <si>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</si>
  <si>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</si>
  <si>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</si>
  <si>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</si>
  <si>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</si>
  <si>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</si>
  <si>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</si>
  <si>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</si>
  <si>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</si>
  <si>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</si>
  <si>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</si>
  <si>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</si>
  <si>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</si>
  <si>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</si>
  <si>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</si>
  <si>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</si>
  <si>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</si>
  <si>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</si>
  <si>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</si>
  <si>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</si>
  <si>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</si>
  <si>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</si>
  <si>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</si>
  <si>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</si>
  <si>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</si>
  <si>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</si>
  <si>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</si>
  <si>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</si>
  <si>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</si>
  <si>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</si>
  <si>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</si>
  <si>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</si>
  <si>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</si>
  <si>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</si>
  <si>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</si>
  <si>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</si>
  <si>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</si>
  <si>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</si>
  <si>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</si>
  <si>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</si>
  <si>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</si>
  <si>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</si>
  <si>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</si>
  <si>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</si>
  <si>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</si>
  <si>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</si>
  <si>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</si>
  <si>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</si>
  <si>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</si>
  <si>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</si>
  <si>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</si>
  <si>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</si>
  <si>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</si>
  <si>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</si>
  <si>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</si>
  <si>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</si>
  <si>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</si>
  <si>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</si>
  <si>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</si>
  <si>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</si>
  <si>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</si>
  <si>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</si>
  <si>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</si>
  <si>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</si>
  <si>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</si>
  <si>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</si>
  <si>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</si>
  <si>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</si>
  <si>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</si>
  <si>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</si>
  <si>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</si>
  <si>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</si>
  <si>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</si>
  <si>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</si>
  <si>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</si>
  <si>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</si>
  <si>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</si>
  <si>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</si>
  <si>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</si>
  <si>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</si>
  <si>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</si>
  <si>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</si>
  <si>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</si>
  <si>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</si>
  <si>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3800</t>
  </si>
  <si>
    <t>3801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</si>
  <si>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</si>
  <si>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</si>
  <si>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</si>
  <si>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</si>
  <si>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</si>
  <si>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</si>
  <si>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</si>
  <si>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</si>
  <si>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</si>
  <si>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</si>
  <si>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</si>
  <si>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</si>
  <si>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</si>
  <si>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</si>
  <si>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</si>
  <si>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</si>
  <si>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</si>
  <si>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</si>
  <si>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</si>
  <si>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</si>
  <si>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</si>
  <si>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</si>
  <si>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</si>
  <si>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</si>
  <si>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</si>
  <si>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</si>
  <si>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</si>
  <si>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</si>
  <si>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</si>
  <si>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</si>
  <si>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</si>
  <si>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</si>
  <si>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</si>
  <si>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</si>
  <si>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</si>
  <si>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</si>
  <si>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</si>
  <si>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</si>
  <si>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</si>
  <si>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</si>
  <si>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</si>
  <si>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</si>
  <si>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</si>
  <si>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</si>
  <si>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</si>
  <si>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</si>
  <si>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</si>
  <si>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</si>
  <si>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</si>
  <si>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</si>
  <si>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</si>
  <si>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</si>
  <si>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</si>
  <si>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</si>
  <si>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</si>
  <si>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</si>
  <si>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</si>
  <si>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</si>
  <si>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</si>
  <si>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</si>
  <si>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</si>
  <si>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</si>
  <si>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</si>
  <si>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</si>
  <si>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</si>
  <si>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</si>
  <si>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</si>
  <si>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</si>
  <si>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</si>
  <si>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</si>
  <si>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</si>
  <si>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</si>
  <si>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</si>
  <si>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</si>
  <si>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</si>
  <si>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</si>
  <si>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</si>
  <si>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</si>
  <si>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</si>
  <si>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</si>
  <si>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</si>
  <si>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</si>
  <si>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</si>
  <si>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</si>
  <si>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</si>
  <si>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</si>
  <si>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</si>
  <si>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</si>
  <si>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</si>
  <si>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</si>
  <si>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</si>
  <si>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</si>
  <si>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</si>
  <si>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</si>
  <si>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</si>
  <si>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</si>
  <si>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</si>
  <si>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</si>
  <si>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</si>
  <si>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</si>
  <si>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</si>
  <si>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</si>
  <si>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</si>
  <si>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</si>
  <si>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</si>
  <si>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</si>
  <si>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</si>
  <si>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</si>
  <si>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</si>
  <si>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</si>
  <si>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</si>
  <si>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4127</t>
  </si>
  <si>
    <t>4128</t>
  </si>
  <si>
    <t>4129</t>
  </si>
  <si>
    <t>4131</t>
  </si>
  <si>
    <t>4132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</si>
  <si>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</si>
  <si>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</si>
  <si>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</si>
  <si>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</si>
  <si>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</si>
  <si>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</si>
  <si>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</si>
  <si>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</si>
  <si>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</si>
  <si>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</si>
  <si>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</si>
  <si>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</si>
  <si>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</si>
  <si>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</si>
  <si>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</si>
  <si>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</si>
  <si>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</si>
  <si>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</si>
  <si>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</si>
  <si>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</si>
  <si>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</si>
  <si>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</si>
  <si>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</si>
  <si>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</si>
  <si>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</si>
  <si>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</si>
  <si>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</si>
  <si>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</si>
  <si>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4205</t>
  </si>
  <si>
    <t>4206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</si>
  <si>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</si>
  <si>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</si>
  <si>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</si>
  <si>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</si>
  <si>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</si>
  <si>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</si>
  <si>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</si>
  <si>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</si>
  <si>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</si>
  <si>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</si>
  <si>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</si>
  <si>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</si>
  <si>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</si>
  <si>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</si>
  <si>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</si>
  <si>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</si>
  <si>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</si>
  <si>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</si>
  <si>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</si>
  <si>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</si>
  <si>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</si>
  <si>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</si>
  <si>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</si>
  <si>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</si>
  <si>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</si>
  <si>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</si>
  <si>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</si>
  <si>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</si>
  <si>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</si>
  <si>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</si>
  <si>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</si>
  <si>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</si>
  <si>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</si>
  <si>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</si>
  <si>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</si>
  <si>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</si>
  <si>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</si>
  <si>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</si>
  <si>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</si>
  <si>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</si>
  <si>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</si>
  <si>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</si>
  <si>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</si>
  <si>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</si>
  <si>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</si>
  <si>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</si>
  <si>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</si>
  <si>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</si>
  <si>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</si>
  <si>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</si>
  <si>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</si>
  <si>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</si>
  <si>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</si>
  <si>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</si>
  <si>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</si>
  <si>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</si>
  <si>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</si>
  <si>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</si>
  <si>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</si>
  <si>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</si>
  <si>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</si>
  <si>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</si>
  <si>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</si>
  <si>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</si>
  <si>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</si>
  <si>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</si>
  <si>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</si>
  <si>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</si>
  <si>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</si>
  <si>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</si>
  <si>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</si>
  <si>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</si>
  <si>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</si>
  <si>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</si>
  <si>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</si>
  <si>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</si>
  <si>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</si>
  <si>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</si>
  <si>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</si>
  <si>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</si>
  <si>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</si>
  <si>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</si>
  <si>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</si>
  <si>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</si>
  <si>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</si>
  <si>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</si>
  <si>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</si>
  <si>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</si>
  <si>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</si>
  <si>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</si>
  <si>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</si>
  <si>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</si>
  <si>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</si>
  <si>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</si>
  <si>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</si>
  <si>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</si>
  <si>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</si>
  <si>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</si>
  <si>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</si>
  <si>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</si>
  <si>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</si>
  <si>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</si>
  <si>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</si>
  <si>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</si>
  <si>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</si>
  <si>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</si>
  <si>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</si>
  <si>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</si>
  <si>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</si>
  <si>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</si>
  <si>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</si>
  <si>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</si>
  <si>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</si>
  <si>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</si>
  <si>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5115</t>
  </si>
  <si>
    <t>5116</t>
  </si>
  <si>
    <t>5117</t>
  </si>
  <si>
    <t>5125</t>
  </si>
  <si>
    <t>5126</t>
  </si>
  <si>
    <t>5127</t>
  </si>
  <si>
    <t>5128</t>
  </si>
  <si>
    <t>5129</t>
  </si>
  <si>
    <t>5130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</si>
  <si>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</si>
  <si>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</si>
  <si>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</si>
  <si>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</si>
  <si>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</si>
  <si>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</si>
  <si>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</si>
  <si>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</si>
  <si>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</si>
  <si>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</si>
  <si>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</si>
  <si>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</si>
  <si>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</si>
  <si>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</si>
  <si>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</si>
  <si>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</si>
  <si>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</si>
  <si>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</si>
  <si>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</si>
  <si>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</si>
  <si>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</si>
  <si>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</si>
  <si>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</si>
  <si>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</si>
  <si>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</si>
  <si>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</si>
  <si>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</si>
  <si>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</si>
  <si>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</si>
  <si>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</si>
  <si>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</si>
  <si>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</si>
  <si>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</si>
  <si>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</si>
  <si>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</si>
  <si>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</si>
  <si>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</si>
  <si>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</si>
  <si>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</si>
  <si>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</si>
  <si>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</si>
  <si>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</si>
  <si>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</si>
  <si>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</si>
  <si>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</si>
  <si>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</si>
  <si>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</si>
  <si>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</si>
  <si>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</si>
  <si>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</si>
  <si>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</si>
  <si>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</si>
  <si>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</si>
  <si>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</si>
  <si>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</si>
  <si>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</si>
  <si>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</si>
  <si>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</si>
  <si>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</si>
  <si>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</si>
  <si>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</si>
  <si>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</si>
  <si>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</si>
  <si>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</si>
  <si>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</si>
  <si>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</si>
  <si>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</si>
  <si>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</si>
  <si>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</si>
  <si>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</si>
  <si>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</si>
  <si>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</si>
  <si>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</si>
  <si>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</si>
  <si>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</si>
  <si>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</si>
  <si>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</si>
  <si>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</si>
  <si>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</si>
  <si>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</si>
  <si>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</si>
  <si>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</si>
  <si>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</si>
  <si>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</si>
  <si>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</si>
  <si>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</si>
  <si>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</si>
  <si>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</si>
  <si>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</si>
  <si>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</si>
  <si>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</si>
  <si>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</si>
  <si>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</si>
  <si>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</si>
  <si>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</si>
  <si>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</si>
  <si>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</si>
  <si>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</si>
  <si>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</si>
  <si>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</si>
  <si>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</si>
  <si>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</si>
  <si>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</si>
  <si>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</si>
  <si>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</si>
  <si>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</si>
  <si>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</si>
  <si>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</si>
  <si>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</si>
  <si>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</si>
  <si>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</si>
  <si>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</si>
  <si>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</si>
  <si>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</si>
  <si>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</si>
  <si>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</si>
  <si>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</si>
  <si>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</si>
  <si>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</si>
  <si>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</si>
  <si>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</si>
  <si>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</si>
  <si>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</si>
  <si>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</si>
  <si>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</si>
  <si>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</si>
  <si>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</si>
  <si>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</si>
  <si>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</si>
  <si>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</si>
  <si>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</si>
  <si>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</si>
  <si>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</si>
  <si>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</si>
  <si>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</si>
  <si>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</si>
  <si>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</si>
  <si>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</si>
  <si>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</si>
  <si>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</si>
  <si>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</si>
  <si>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</si>
  <si>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</si>
  <si>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</si>
  <si>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</si>
  <si>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</si>
  <si>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</si>
  <si>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</si>
  <si>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</si>
  <si>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</si>
  <si>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</si>
  <si>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</si>
  <si>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</si>
  <si>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</si>
  <si>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</si>
  <si>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</si>
  <si>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</si>
  <si>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</si>
  <si>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</si>
  <si>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</si>
  <si>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</si>
  <si>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</si>
  <si>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</si>
  <si>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</si>
  <si>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</si>
  <si>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</si>
  <si>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</si>
  <si>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</si>
  <si>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</si>
  <si>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</si>
  <si>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</si>
  <si>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</si>
  <si>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</si>
  <si>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</si>
  <si>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</si>
  <si>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</si>
  <si>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</si>
  <si>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</si>
  <si>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</si>
  <si>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</si>
  <si>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</si>
  <si>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</si>
  <si>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</si>
  <si>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</si>
  <si>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</si>
  <si>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</si>
  <si>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</si>
  <si>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</si>
  <si>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</si>
  <si>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</si>
  <si>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</si>
  <si>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</si>
  <si>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</si>
  <si>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</si>
  <si>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</si>
  <si>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</si>
  <si>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</si>
  <si>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</si>
  <si>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</si>
  <si>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</si>
  <si>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</si>
  <si>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</si>
  <si>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</si>
  <si>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</si>
  <si>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</si>
  <si>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</si>
  <si>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</si>
  <si>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</si>
  <si>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</si>
  <si>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</si>
  <si>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</si>
  <si>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</si>
  <si>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</si>
  <si>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</si>
  <si>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</si>
  <si>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</si>
  <si>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</si>
  <si>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</si>
  <si>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</si>
  <si>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</si>
  <si>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</si>
  <si>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</si>
  <si>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</si>
  <si>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</si>
  <si>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</si>
  <si>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</si>
  <si>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</si>
  <si>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</si>
  <si>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</si>
  <si>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</si>
  <si>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</si>
  <si>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</si>
  <si>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</si>
  <si>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</si>
  <si>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</si>
  <si>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</si>
  <si>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</si>
  <si>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</si>
  <si>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</si>
  <si>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</si>
  <si>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</si>
  <si>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6036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</si>
  <si>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</si>
  <si>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</si>
  <si>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</si>
  <si>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</si>
  <si>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</si>
  <si>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</si>
  <si>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</si>
  <si>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</si>
  <si>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</si>
  <si>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</si>
  <si>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</si>
  <si>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</si>
  <si>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</si>
  <si>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</si>
  <si>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</si>
  <si>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</si>
  <si>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</si>
  <si>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6069</t>
  </si>
  <si>
    <t>6076</t>
  </si>
  <si>
    <t>6090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</si>
  <si>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</si>
  <si>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</si>
  <si>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</si>
  <si>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</si>
  <si>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</si>
  <si>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</si>
  <si>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</si>
  <si>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</si>
  <si>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</si>
  <si>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</si>
  <si>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</si>
  <si>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6112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</si>
  <si>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</si>
  <si>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</si>
  <si>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</si>
  <si>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</si>
  <si>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</si>
  <si>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</si>
  <si>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</si>
  <si>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</si>
  <si>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</si>
  <si>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</si>
  <si>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</si>
  <si>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</si>
  <si>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</si>
  <si>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</si>
  <si>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</si>
  <si>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</si>
  <si>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</si>
  <si>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</si>
  <si>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</si>
  <si>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</si>
  <si>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</si>
  <si>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</si>
  <si>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</si>
  <si>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</si>
  <si>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</si>
  <si>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</si>
  <si>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</si>
  <si>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</si>
  <si>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6180</t>
  </si>
  <si>
    <t>6182</t>
  </si>
  <si>
    <t>6210</t>
  </si>
  <si>
    <t>6800</t>
  </si>
  <si>
    <t>6809</t>
  </si>
  <si>
    <t>6827</t>
  </si>
  <si>
    <t>6830</t>
  </si>
  <si>
    <t>6831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</si>
  <si>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</si>
  <si>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</si>
  <si>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</si>
  <si>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</si>
  <si>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</si>
  <si>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</si>
  <si>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</si>
  <si>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</si>
  <si>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</si>
  <si>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</si>
  <si>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</si>
  <si>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</si>
  <si>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</si>
  <si>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</si>
  <si>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6865</t>
  </si>
  <si>
    <t>6872</t>
  </si>
  <si>
    <t>6892</t>
  </si>
  <si>
    <t>6900</t>
  </si>
  <si>
    <t>6901</t>
  </si>
  <si>
    <t>6902</t>
  </si>
  <si>
    <t>6903</t>
  </si>
  <si>
    <t>6904</t>
  </si>
  <si>
    <t>6905</t>
  </si>
  <si>
    <t>6906</t>
  </si>
  <si>
    <t>6907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</si>
  <si>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</si>
  <si>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</si>
  <si>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</si>
  <si>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</si>
  <si>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</si>
  <si>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</si>
  <si>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</si>
  <si>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</si>
  <si>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</si>
  <si>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</si>
  <si>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</si>
  <si>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</si>
  <si>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</si>
  <si>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</si>
  <si>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</si>
  <si>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</si>
  <si>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</si>
  <si>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</si>
  <si>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6929</t>
  </si>
  <si>
    <t>6931</t>
  </si>
  <si>
    <t>6932</t>
  </si>
  <si>
    <t>6933</t>
  </si>
  <si>
    <t>6934</t>
  </si>
  <si>
    <t>6935</t>
  </si>
  <si>
    <t>6936</t>
  </si>
  <si>
    <t>6939</t>
  </si>
  <si>
    <t>6941</t>
  </si>
  <si>
    <t>6942</t>
  </si>
  <si>
    <t>6943</t>
  </si>
  <si>
    <t>6944</t>
  </si>
  <si>
    <t>6945</t>
  </si>
  <si>
    <t>6946</t>
  </si>
  <si>
    <t>6947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</si>
  <si>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</si>
  <si>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</si>
  <si>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</si>
  <si>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</si>
  <si>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</si>
  <si>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</si>
  <si>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</si>
  <si>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</si>
  <si>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</si>
  <si>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</si>
  <si>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</si>
  <si>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6963</t>
  </si>
  <si>
    <t>6964</t>
  </si>
  <si>
    <t>6965</t>
  </si>
  <si>
    <t>6966</t>
  </si>
  <si>
    <t>6967</t>
  </si>
  <si>
    <t>6968</t>
  </si>
  <si>
    <t>6969</t>
  </si>
  <si>
    <t>6970</t>
  </si>
  <si>
    <t>6979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</si>
  <si>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</si>
  <si>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</si>
  <si>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</si>
  <si>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</si>
  <si>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</si>
  <si>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</si>
  <si>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</si>
  <si>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</si>
  <si>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</si>
  <si>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</si>
  <si>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6992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</si>
  <si>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</si>
  <si>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</si>
  <si>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</si>
  <si>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</si>
  <si>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</si>
  <si>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</si>
  <si>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</si>
  <si>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</si>
  <si>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</si>
  <si>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</si>
  <si>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</si>
  <si>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</si>
  <si>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</si>
  <si>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</si>
  <si>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</si>
  <si>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</si>
  <si>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</si>
  <si>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</si>
  <si>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</si>
  <si>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</si>
  <si>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</si>
  <si>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</si>
  <si>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</si>
  <si>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</si>
  <si>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</si>
  <si>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</si>
  <si>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</si>
  <si>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</si>
  <si>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</si>
  <si>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</si>
  <si>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</si>
  <si>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</si>
  <si>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</si>
  <si>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</si>
  <si>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</si>
  <si>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</si>
  <si>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</si>
  <si>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</si>
  <si>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</si>
  <si>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</si>
  <si>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</si>
  <si>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</si>
  <si>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</si>
  <si>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</si>
  <si>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</si>
  <si>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</si>
  <si>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</si>
  <si>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</si>
  <si>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</si>
  <si>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</si>
  <si>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</si>
  <si>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</si>
  <si>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</si>
  <si>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</si>
  <si>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</si>
  <si>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</si>
  <si>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</si>
  <si>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</si>
  <si>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</si>
  <si>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</si>
  <si>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</si>
  <si>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</si>
  <si>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</si>
  <si>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</si>
  <si>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</si>
  <si>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</si>
  <si>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</si>
  <si>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</si>
  <si>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</si>
  <si>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</si>
  <si>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</si>
  <si>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</si>
  <si>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</si>
  <si>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</si>
  <si>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</si>
  <si>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</si>
  <si>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</si>
  <si>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</si>
  <si>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</si>
  <si>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</si>
  <si>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</si>
  <si>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</si>
  <si>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</si>
  <si>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</si>
  <si>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</si>
  <si>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</si>
  <si>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</si>
  <si>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</si>
  <si>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</si>
  <si>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</si>
  <si>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</si>
  <si>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</si>
  <si>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</si>
  <si>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</si>
  <si>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</si>
  <si>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</si>
  <si>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</si>
  <si>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</si>
  <si>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</si>
  <si>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</si>
  <si>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</si>
  <si>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</si>
  <si>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</si>
  <si>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</si>
  <si>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</si>
  <si>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</si>
  <si>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</si>
  <si>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</si>
  <si>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</si>
  <si>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</si>
  <si>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</si>
  <si>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</si>
  <si>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</si>
  <si>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</si>
  <si>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</si>
  <si>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</si>
  <si>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</si>
  <si>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</si>
  <si>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</si>
  <si>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</si>
  <si>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</si>
  <si>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</si>
  <si>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</si>
  <si>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</si>
  <si>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</si>
  <si>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</si>
  <si>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</si>
  <si>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</si>
  <si>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</si>
  <si>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</si>
  <si>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</si>
  <si>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</si>
  <si>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</si>
  <si>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</si>
  <si>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</si>
  <si>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</si>
  <si>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</si>
  <si>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</si>
  <si>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</si>
  <si>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</si>
  <si>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</si>
  <si>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</si>
  <si>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</si>
  <si>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</si>
  <si>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</si>
  <si>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</si>
  <si>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</si>
  <si>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</si>
  <si>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</si>
  <si>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</si>
  <si>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</si>
  <si>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</si>
  <si>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</si>
  <si>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</si>
  <si>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</si>
  <si>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</si>
  <si>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</si>
  <si>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</si>
  <si>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</si>
  <si>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</si>
  <si>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</si>
  <si>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</si>
  <si>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</si>
  <si>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</si>
  <si>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</si>
  <si>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</si>
  <si>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</si>
  <si>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</si>
  <si>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</si>
  <si>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</si>
  <si>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</si>
  <si>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</si>
  <si>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</si>
  <si>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</si>
  <si>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</si>
  <si>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</si>
  <si>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</si>
  <si>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</si>
  <si>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</si>
  <si>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</si>
  <si>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</si>
  <si>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</si>
  <si>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</si>
  <si>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</si>
  <si>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</si>
  <si>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</si>
  <si>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</si>
  <si>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</si>
  <si>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</si>
  <si>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</si>
  <si>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</si>
  <si>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</si>
  <si>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</si>
  <si>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</si>
  <si>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</si>
  <si>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</si>
  <si>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</si>
  <si>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</si>
  <si>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</si>
  <si>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</si>
  <si>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</si>
  <si>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</si>
  <si>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</si>
  <si>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</si>
  <si>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</si>
  <si>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</si>
  <si>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</si>
  <si>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</si>
  <si>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</si>
  <si>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</si>
  <si>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</si>
  <si>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</si>
  <si>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</si>
  <si>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</si>
  <si>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</si>
  <si>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</si>
  <si>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</si>
  <si>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</si>
  <si>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</si>
  <si>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</si>
  <si>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</si>
  <si>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</si>
  <si>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</si>
  <si>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</si>
  <si>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</si>
  <si>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</si>
  <si>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</si>
  <si>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</si>
  <si>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</si>
  <si>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</si>
  <si>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</si>
  <si>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</si>
  <si>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</si>
  <si>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</si>
  <si>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</si>
  <si>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</si>
  <si>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</si>
  <si>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</si>
  <si>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</si>
  <si>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</si>
  <si>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</si>
  <si>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</si>
  <si>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</si>
  <si>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</si>
  <si>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</si>
  <si>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</si>
  <si>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</si>
  <si>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</si>
  <si>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</si>
  <si>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</si>
  <si>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</si>
  <si>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</si>
  <si>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</si>
  <si>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</si>
  <si>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</si>
  <si>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</si>
  <si>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</si>
  <si>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</si>
  <si>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</si>
  <si>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</si>
  <si>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</si>
  <si>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</si>
  <si>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</si>
  <si>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</si>
  <si>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</si>
  <si>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</si>
  <si>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</si>
  <si>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</si>
  <si>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</si>
  <si>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</si>
  <si>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</si>
  <si>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</si>
  <si>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</si>
  <si>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</si>
  <si>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</si>
  <si>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</si>
  <si>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</si>
  <si>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</si>
  <si>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</si>
  <si>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</si>
  <si>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</si>
  <si>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</si>
  <si>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</si>
  <si>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</si>
  <si>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</si>
  <si>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</si>
  <si>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</si>
  <si>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</si>
  <si>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</si>
  <si>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</si>
  <si>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</si>
  <si>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</si>
  <si>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</si>
  <si>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</si>
  <si>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</si>
  <si>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</si>
  <si>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</si>
  <si>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</si>
  <si>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</si>
  <si>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</si>
  <si>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</si>
  <si>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</si>
  <si>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</si>
  <si>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</si>
  <si>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</si>
  <si>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</si>
  <si>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</si>
  <si>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</si>
  <si>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</si>
  <si>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</si>
  <si>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</si>
  <si>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</si>
  <si>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</si>
  <si>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</si>
  <si>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</si>
  <si>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</si>
  <si>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</si>
  <si>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</si>
  <si>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</si>
  <si>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</si>
  <si>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</si>
  <si>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</si>
  <si>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</si>
  <si>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</si>
  <si>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</si>
  <si>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</si>
  <si>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</si>
  <si>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</si>
  <si>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</si>
  <si>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</si>
  <si>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</si>
  <si>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</si>
  <si>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</si>
  <si>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</si>
  <si>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</si>
  <si>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</si>
  <si>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</si>
  <si>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</si>
  <si>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</si>
  <si>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</si>
  <si>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</si>
  <si>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</si>
  <si>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</si>
  <si>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</si>
  <si>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</si>
  <si>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</si>
  <si>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</si>
  <si>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</si>
  <si>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</si>
  <si>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</si>
  <si>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</si>
  <si>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</si>
  <si>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</si>
  <si>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</si>
  <si>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</si>
  <si>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</si>
  <si>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</si>
  <si>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</si>
  <si>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</si>
  <si>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</si>
  <si>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</si>
  <si>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</si>
  <si>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</si>
  <si>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</si>
  <si>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</si>
  <si>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</si>
  <si>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</si>
  <si>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</si>
  <si>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</si>
  <si>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</si>
  <si>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</si>
  <si>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</si>
  <si>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</si>
  <si>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</si>
  <si>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</si>
  <si>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</si>
  <si>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</si>
  <si>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</si>
  <si>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</si>
  <si>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</si>
  <si>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</si>
  <si>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</si>
  <si>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</si>
  <si>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</si>
  <si>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</si>
  <si>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</si>
  <si>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</si>
  <si>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</si>
  <si>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</si>
  <si>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</si>
  <si>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</si>
  <si>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</si>
  <si>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</si>
  <si>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</si>
  <si>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</si>
  <si>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</si>
  <si>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</si>
  <si>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</si>
  <si>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</si>
  <si>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</si>
  <si>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</si>
  <si>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</si>
  <si>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</si>
  <si>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</si>
  <si>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</si>
  <si>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</si>
  <si>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</si>
  <si>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</si>
  <si>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</si>
  <si>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</si>
  <si>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</si>
  <si>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</si>
  <si>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</si>
  <si>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</si>
  <si>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</si>
  <si>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</si>
  <si>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</si>
  <si>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</si>
  <si>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</si>
  <si>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</si>
  <si>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</si>
  <si>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</si>
  <si>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</si>
  <si>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</si>
  <si>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</si>
  <si>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</si>
  <si>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</si>
  <si>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</si>
  <si>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</si>
  <si>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</si>
  <si>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</si>
  <si>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</si>
  <si>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</si>
  <si>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</si>
  <si>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</si>
  <si>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</si>
  <si>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</si>
  <si>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</si>
  <si>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</si>
  <si>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</si>
  <si>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</si>
  <si>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</si>
  <si>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</si>
  <si>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</si>
  <si>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</si>
  <si>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</si>
  <si>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</si>
  <si>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</si>
  <si>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</si>
  <si>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</si>
  <si>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</si>
  <si>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</si>
  <si>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</si>
  <si>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</si>
  <si>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</si>
  <si>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</si>
  <si>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</si>
  <si>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</si>
  <si>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</si>
  <si>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</si>
  <si>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</si>
  <si>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</si>
  <si>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</si>
  <si>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</si>
  <si>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</si>
  <si>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</si>
  <si>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</si>
  <si>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</si>
  <si>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</si>
  <si>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</si>
  <si>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</si>
  <si>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</si>
  <si>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</si>
  <si>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</si>
  <si>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</si>
  <si>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</si>
  <si>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</si>
  <si>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</si>
  <si>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</si>
  <si>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</si>
  <si>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</si>
  <si>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</si>
  <si>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</si>
  <si>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</si>
  <si>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</si>
  <si>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</si>
  <si>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</si>
  <si>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</si>
  <si>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</si>
  <si>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</si>
  <si>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</si>
  <si>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</si>
  <si>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</si>
  <si>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</si>
  <si>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</si>
  <si>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</si>
  <si>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</si>
  <si>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</si>
  <si>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</si>
  <si>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</si>
  <si>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</si>
  <si>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</si>
  <si>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</si>
  <si>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</si>
  <si>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</si>
  <si>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</si>
  <si>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</si>
  <si>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</si>
  <si>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</si>
  <si>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</si>
  <si>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</si>
  <si>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</si>
  <si>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</si>
  <si>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</si>
  <si>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</si>
  <si>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</si>
  <si>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</si>
  <si>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</si>
  <si>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</si>
  <si>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</si>
  <si>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</si>
  <si>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</si>
  <si>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</si>
  <si>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</si>
  <si>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</si>
  <si>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</si>
  <si>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</si>
  <si>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</si>
  <si>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</si>
  <si>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</si>
  <si>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</si>
  <si>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</si>
  <si>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</si>
  <si>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</si>
  <si>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</si>
  <si>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</si>
  <si>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</si>
  <si>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</si>
  <si>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</si>
  <si>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</si>
  <si>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</si>
  <si>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</si>
  <si>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</si>
  <si>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</si>
  <si>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</si>
  <si>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</si>
  <si>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</si>
  <si>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</si>
  <si>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</si>
  <si>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</si>
  <si>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</si>
  <si>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</si>
  <si>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</si>
  <si>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</si>
  <si>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</si>
  <si>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</si>
  <si>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</si>
  <si>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</si>
  <si>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</si>
  <si>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</si>
  <si>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</si>
  <si>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</si>
  <si>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</si>
  <si>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</si>
  <si>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</si>
  <si>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</si>
  <si>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</si>
  <si>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</si>
  <si>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</si>
  <si>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</si>
  <si>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</si>
  <si>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</si>
  <si>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</si>
  <si>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</si>
  <si>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</si>
  <si>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</si>
  <si>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</si>
  <si>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</si>
  <si>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</si>
  <si>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</si>
  <si>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</si>
  <si>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</si>
  <si>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</si>
  <si>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</si>
  <si>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</si>
  <si>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</si>
  <si>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</si>
  <si>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</si>
  <si>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</si>
  <si>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</si>
  <si>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</si>
  <si>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</si>
  <si>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</si>
  <si>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</si>
  <si>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</si>
  <si>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</si>
  <si>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</si>
  <si>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</si>
  <si>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</si>
  <si>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</si>
  <si>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</si>
  <si>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</si>
  <si>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</si>
  <si>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</si>
  <si>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</si>
  <si>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</si>
  <si>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</si>
  <si>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</si>
  <si>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</si>
  <si>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</si>
  <si>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</si>
  <si>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</si>
  <si>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</si>
  <si>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</si>
  <si>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</si>
  <si>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</si>
  <si>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</si>
  <si>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</si>
  <si>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</si>
  <si>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</si>
  <si>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</si>
  <si>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</si>
  <si>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</si>
  <si>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</si>
  <si>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</si>
  <si>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</si>
  <si>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</si>
  <si>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</si>
  <si>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</si>
  <si>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</si>
  <si>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</si>
  <si>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</si>
  <si>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</si>
  <si>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</si>
  <si>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</si>
  <si>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</si>
  <si>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</si>
  <si>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</si>
  <si>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</si>
  <si>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</si>
  <si>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</si>
  <si>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</si>
  <si>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</si>
  <si>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</si>
  <si>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</si>
  <si>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</si>
  <si>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</si>
  <si>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</si>
  <si>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</si>
  <si>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</si>
  <si>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</si>
  <si>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</si>
  <si>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</si>
  <si>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</si>
  <si>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</si>
  <si>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</si>
  <si>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</si>
  <si>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</si>
  <si>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</si>
  <si>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</si>
  <si>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</si>
  <si>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</si>
  <si>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</si>
  <si>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</si>
  <si>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</si>
  <si>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</si>
  <si>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</si>
  <si>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</si>
  <si>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</si>
  <si>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</si>
  <si>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</si>
  <si>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</si>
  <si>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</si>
  <si>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</si>
  <si>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</si>
  <si>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</si>
  <si>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</si>
  <si>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</si>
  <si>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</si>
  <si>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</si>
  <si>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</si>
  <si>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</si>
  <si>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</si>
  <si>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</si>
  <si>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</si>
  <si>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</si>
  <si>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</si>
  <si>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</si>
  <si>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</si>
  <si>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</si>
  <si>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</si>
  <si>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</si>
  <si>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</si>
  <si>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</si>
  <si>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</si>
  <si>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</si>
  <si>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</si>
  <si>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</si>
  <si>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</si>
  <si>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</si>
  <si>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</si>
  <si>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</si>
  <si>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</si>
  <si>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</si>
  <si>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</si>
  <si>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</si>
  <si>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</si>
  <si>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</si>
  <si>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</si>
  <si>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</si>
  <si>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</si>
  <si>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</si>
  <si>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</si>
  <si>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</si>
  <si>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</si>
  <si>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</si>
  <si>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</si>
  <si>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</si>
  <si>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</si>
  <si>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</si>
  <si>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</si>
  <si>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</si>
  <si>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</si>
  <si>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</si>
  <si>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</si>
  <si>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</si>
  <si>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</si>
  <si>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</si>
  <si>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</si>
  <si>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</si>
  <si>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</si>
  <si>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</si>
  <si>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</si>
  <si>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</si>
  <si>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</si>
  <si>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</si>
  <si>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</si>
  <si>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</si>
  <si>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</si>
  <si>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</si>
  <si>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</si>
  <si>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</si>
  <si>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</si>
  <si>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</si>
  <si>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</si>
  <si>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</si>
  <si>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</si>
  <si>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</si>
  <si>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</si>
  <si>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</si>
  <si>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</si>
  <si>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</si>
  <si>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</si>
  <si>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</si>
  <si>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</si>
  <si>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</si>
  <si>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</si>
  <si>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</si>
  <si>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</si>
  <si>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</si>
  <si>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</si>
  <si>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</si>
  <si>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</si>
  <si>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</si>
  <si>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</si>
  <si>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</si>
  <si>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</si>
  <si>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</si>
  <si>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</si>
  <si>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</si>
  <si>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</si>
  <si>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</si>
  <si>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</si>
  <si>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</si>
  <si>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</si>
  <si>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</si>
  <si>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</si>
  <si>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</si>
  <si>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</si>
  <si>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</si>
  <si>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</si>
  <si>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</si>
  <si>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</si>
  <si>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</si>
  <si>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</si>
  <si>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</si>
  <si>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</si>
  <si>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</si>
  <si>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</si>
  <si>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</si>
  <si>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</si>
  <si>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</si>
  <si>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</si>
  <si>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</si>
  <si>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</si>
  <si>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</si>
  <si>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</si>
  <si>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</si>
  <si>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</si>
  <si>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</si>
  <si>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</si>
  <si>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</si>
  <si>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</si>
  <si>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</si>
  <si>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</si>
  <si>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</si>
  <si>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</si>
  <si>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</si>
  <si>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</si>
  <si>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</si>
  <si>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</si>
  <si>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</si>
  <si>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</si>
  <si>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</si>
  <si>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</si>
  <si>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</si>
  <si>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</si>
  <si>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</si>
  <si>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</si>
  <si>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</si>
  <si>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</si>
  <si>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</si>
  <si>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</si>
  <si>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</si>
  <si>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</si>
  <si>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</si>
  <si>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</si>
  <si>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</si>
  <si>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</si>
  <si>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</si>
  <si>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</si>
  <si>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</si>
  <si>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</si>
  <si>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</si>
  <si>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</si>
  <si>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</si>
  <si>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</si>
  <si>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</si>
  <si>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</si>
  <si>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</si>
  <si>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</si>
  <si>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</si>
  <si>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</si>
  <si>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</si>
  <si>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</si>
  <si>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</si>
  <si>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</si>
  <si>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</si>
  <si>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</si>
  <si>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</si>
  <si>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</si>
  <si>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</si>
  <si>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</si>
  <si>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</si>
  <si>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</si>
  <si>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</si>
  <si>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</si>
  <si>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</si>
  <si>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</si>
  <si>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</si>
  <si>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</si>
  <si>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</si>
  <si>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</si>
  <si>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</si>
  <si>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</si>
  <si>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</si>
  <si>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</si>
  <si>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</si>
  <si>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</si>
  <si>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</si>
  <si>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</si>
  <si>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</si>
  <si>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</si>
  <si>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</si>
  <si>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</si>
  <si>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</si>
  <si>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</si>
  <si>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</si>
  <si>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</si>
  <si>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</si>
  <si>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</si>
  <si>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</si>
  <si>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</si>
  <si>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</si>
  <si>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</si>
  <si>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</si>
  <si>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</si>
  <si>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</si>
  <si>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</si>
  <si>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</si>
  <si>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</si>
  <si>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</si>
  <si>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</si>
  <si>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</si>
  <si>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</si>
  <si>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</si>
  <si>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</si>
  <si>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</si>
  <si>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</si>
  <si>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</si>
  <si>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</si>
  <si>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</si>
  <si>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</si>
  <si>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</si>
  <si>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</si>
  <si>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</si>
  <si>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</si>
  <si>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</si>
  <si>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</si>
  <si>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</si>
  <si>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</si>
  <si>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</si>
  <si>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</si>
  <si>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</si>
  <si>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</si>
  <si>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</si>
  <si>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</si>
  <si>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</si>
  <si>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</si>
  <si>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</si>
  <si>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</si>
  <si>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</si>
  <si>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</si>
  <si>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</si>
  <si>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</si>
  <si>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</si>
  <si>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</si>
  <si>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</si>
  <si>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</si>
  <si>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</si>
  <si>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</si>
  <si>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</si>
  <si>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</si>
  <si>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</si>
  <si>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</si>
  <si>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</si>
  <si>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</si>
  <si>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</si>
  <si>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</si>
  <si>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</si>
  <si>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</si>
  <si>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</si>
  <si>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</si>
  <si>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</si>
  <si>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</si>
  <si>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</si>
  <si>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</si>
  <si>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</si>
  <si>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</si>
  <si>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</si>
  <si>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</si>
  <si>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</si>
  <si>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</si>
  <si>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</si>
  <si>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</si>
  <si>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</si>
  <si>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</si>
  <si>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</si>
  <si>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</si>
  <si>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</si>
  <si>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</si>
  <si>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</si>
  <si>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</si>
  <si>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</si>
  <si>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</si>
  <si>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</si>
  <si>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</si>
  <si>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</si>
  <si>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</si>
  <si>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</si>
  <si>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</si>
  <si>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</si>
  <si>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</si>
  <si>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</si>
  <si>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</si>
  <si>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</si>
  <si>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</si>
  <si>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</si>
  <si>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</si>
  <si>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</si>
  <si>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</si>
  <si>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</si>
  <si>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</si>
  <si>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</si>
  <si>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</si>
  <si>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</si>
  <si>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</si>
  <si>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</si>
  <si>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</si>
  <si>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</si>
  <si>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</si>
  <si>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</si>
  <si>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</si>
  <si>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</si>
  <si>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</si>
  <si>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</si>
  <si>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</si>
  <si>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</si>
  <si>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</si>
  <si>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</si>
  <si>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</si>
  <si>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</si>
  <si>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</si>
  <si>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</si>
  <si>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</si>
  <si>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</si>
  <si>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</si>
  <si>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</si>
  <si>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</si>
  <si>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</si>
  <si>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</si>
  <si>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</si>
  <si>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</si>
  <si>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</si>
  <si>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</si>
  <si>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</si>
  <si>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</si>
  <si>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</si>
  <si>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</si>
  <si>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</si>
  <si>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</si>
  <si>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</si>
  <si>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</si>
  <si>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</si>
  <si>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</si>
  <si>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</si>
  <si>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</si>
  <si>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</si>
  <si>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</si>
  <si>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</si>
  <si>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</si>
  <si>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</si>
  <si>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</si>
  <si>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</si>
  <si>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</si>
  <si>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</si>
  <si>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</si>
  <si>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</si>
  <si>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</si>
  <si>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</si>
  <si>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</si>
  <si>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</si>
  <si>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</si>
  <si>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</si>
  <si>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</si>
  <si>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</si>
  <si>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</si>
  <si>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</si>
  <si>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</si>
  <si>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</si>
  <si>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</si>
  <si>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</si>
  <si>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</si>
  <si>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</si>
  <si>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</si>
  <si>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</si>
  <si>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</si>
  <si>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</si>
  <si>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</si>
  <si>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</si>
  <si>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</si>
  <si>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</si>
  <si>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</si>
  <si>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</si>
  <si>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</si>
  <si>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</si>
  <si>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</si>
  <si>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</si>
  <si>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</si>
  <si>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</si>
  <si>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</si>
  <si>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</si>
  <si>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</si>
  <si>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</si>
  <si>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</si>
  <si>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</si>
  <si>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</si>
  <si>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</si>
  <si>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</si>
  <si>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</si>
  <si>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</si>
  <si>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</si>
  <si>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</si>
  <si>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</si>
  <si>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</si>
  <si>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</si>
  <si>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</si>
  <si>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</si>
  <si>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</si>
  <si>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</si>
  <si>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</si>
  <si>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</si>
  <si>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</si>
  <si>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</si>
  <si>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</si>
  <si>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</si>
  <si>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</si>
  <si>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</si>
  <si>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</si>
  <si>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</si>
  <si>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</si>
  <si>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</si>
  <si>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</si>
  <si>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</si>
  <si>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</si>
  <si>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</si>
  <si>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</si>
  <si>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</si>
  <si>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</si>
  <si>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</si>
  <si>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</si>
  <si>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</si>
  <si>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</si>
  <si>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</si>
  <si>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</si>
  <si>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</si>
  <si>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</si>
  <si>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</si>
  <si>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</si>
  <si>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</si>
  <si>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</si>
  <si>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</si>
  <si>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</si>
  <si>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</si>
  <si>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</si>
  <si>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</si>
  <si>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</si>
  <si>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</si>
  <si>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</si>
  <si>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</si>
  <si>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</si>
  <si>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</si>
  <si>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</si>
  <si>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</si>
  <si>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</si>
  <si>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</si>
  <si>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</si>
  <si>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</si>
  <si>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</si>
  <si>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</si>
  <si>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</si>
  <si>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</si>
  <si>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</si>
  <si>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</si>
  <si>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</si>
  <si>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</si>
  <si>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</si>
  <si>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</si>
  <si>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</si>
  <si>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</si>
  <si>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</si>
  <si>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</si>
  <si>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</si>
  <si>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</si>
  <si>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</si>
  <si>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</si>
  <si>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</si>
  <si>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</si>
  <si>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</si>
  <si>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</si>
  <si>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</si>
  <si>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</si>
  <si>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</si>
  <si>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</si>
  <si>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</si>
  <si>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</si>
  <si>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</si>
  <si>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</si>
  <si>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</si>
  <si>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</si>
  <si>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</si>
  <si>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</si>
  <si>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</si>
  <si>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</si>
  <si>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</si>
  <si>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</si>
  <si>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</si>
  <si>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</si>
  <si>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</si>
  <si>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</si>
  <si>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</si>
  <si>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</si>
  <si>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</si>
  <si>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</si>
  <si>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</si>
  <si>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</si>
  <si>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</si>
  <si>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</si>
  <si>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</si>
  <si>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</si>
  <si>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</si>
  <si>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</si>
  <si>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</si>
  <si>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</si>
  <si>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</si>
  <si>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</si>
  <si>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</si>
  <si>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</si>
  <si>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</si>
  <si>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</si>
  <si>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</si>
  <si>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</si>
  <si>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</si>
  <si>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</si>
  <si>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</si>
  <si>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</si>
  <si>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</si>
  <si>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</si>
  <si>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</si>
  <si>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</si>
  <si>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</si>
  <si>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</si>
  <si>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</si>
  <si>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</si>
  <si>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</si>
  <si>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</si>
  <si>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</si>
  <si>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</si>
  <si>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</si>
  <si>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</si>
  <si>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</si>
  <si>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</si>
  <si>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</si>
  <si>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</si>
  <si>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</si>
  <si>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</si>
  <si>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</si>
  <si>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</si>
  <si>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</si>
  <si>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</si>
  <si>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</si>
  <si>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</si>
  <si>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</si>
  <si>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</si>
  <si>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</si>
  <si>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</si>
  <si>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</si>
  <si>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</si>
  <si>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</si>
  <si>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</si>
  <si>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</si>
  <si>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</si>
  <si>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</si>
  <si>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</si>
  <si>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</si>
  <si>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</si>
  <si>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</si>
  <si>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</si>
  <si>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</si>
  <si>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</si>
  <si>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</si>
  <si>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</si>
  <si>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</si>
  <si>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</si>
  <si>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</si>
  <si>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</si>
  <si>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</si>
  <si>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</si>
  <si>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</si>
  <si>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</si>
  <si>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</si>
  <si>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</si>
  <si>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</si>
  <si>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</si>
  <si>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</si>
  <si>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</si>
  <si>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</si>
  <si>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</si>
  <si>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</si>
  <si>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</si>
  <si>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</si>
  <si>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</si>
  <si>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</si>
  <si>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</si>
  <si>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</si>
  <si>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</si>
  <si>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</si>
  <si>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</si>
  <si>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</si>
  <si>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</si>
  <si>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</si>
  <si>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</si>
  <si>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</si>
  <si>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</si>
  <si>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</si>
  <si>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</si>
  <si>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</si>
  <si>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</si>
  <si>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</si>
  <si>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</si>
  <si>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</si>
  <si>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</si>
  <si>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</si>
  <si>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</si>
  <si>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</si>
  <si>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</si>
  <si>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</si>
  <si>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</si>
  <si>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</si>
  <si>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</si>
  <si>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</si>
  <si>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</si>
  <si>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</si>
  <si>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</si>
  <si>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</si>
  <si>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</si>
  <si>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</si>
  <si>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</si>
  <si>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</si>
  <si>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</si>
  <si>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</si>
  <si>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</si>
  <si>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</si>
  <si>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</si>
  <si>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</si>
  <si>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</si>
  <si>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</si>
  <si>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</si>
  <si>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</si>
  <si>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</si>
  <si>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</si>
  <si>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</si>
  <si>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</si>
  <si>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</si>
  <si>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</si>
  <si>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</si>
  <si>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</si>
  <si>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</si>
  <si>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</si>
  <si>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</si>
  <si>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</si>
  <si>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</si>
  <si>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</si>
  <si>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</si>
  <si>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</si>
  <si>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</si>
  <si>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</si>
  <si>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</si>
  <si>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</si>
  <si>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</si>
  <si>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</si>
  <si>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</si>
  <si>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</si>
  <si>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</si>
  <si>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</si>
  <si>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</si>
  <si>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</si>
  <si>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</si>
  <si>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</si>
  <si>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</si>
  <si>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</si>
  <si>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</si>
  <si>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</si>
  <si>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</si>
  <si>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</si>
  <si>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</si>
  <si>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</si>
  <si>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</si>
  <si>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</si>
  <si>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</si>
  <si>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</si>
  <si>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</si>
  <si>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</si>
  <si>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</si>
  <si>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</si>
  <si>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</si>
  <si>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</si>
  <si>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</si>
  <si>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</si>
  <si>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</si>
  <si>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</si>
  <si>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</si>
  <si>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</si>
  <si>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</si>
  <si>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</si>
  <si>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</si>
  <si>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</si>
  <si>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</si>
  <si>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</si>
  <si>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</si>
  <si>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</si>
  <si>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</si>
  <si>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</si>
  <si>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</si>
  <si>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</si>
  <si>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</si>
  <si>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</si>
  <si>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</si>
  <si>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</si>
  <si>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</si>
  <si>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</si>
  <si>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</si>
  <si>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</si>
  <si>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</si>
  <si>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</si>
  <si>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</si>
  <si>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</si>
  <si>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</si>
  <si>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</si>
  <si>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</si>
  <si>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</si>
  <si>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</si>
  <si>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</si>
  <si>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</si>
  <si>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</si>
  <si>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</si>
  <si>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</si>
  <si>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</si>
  <si>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</si>
  <si>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</si>
  <si>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</si>
  <si>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</si>
  <si>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</si>
  <si>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</si>
  <si>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</si>
  <si>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</si>
  <si>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</si>
  <si>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</si>
  <si>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</si>
  <si>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</si>
  <si>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</si>
  <si>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</si>
  <si>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</si>
  <si>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</si>
  <si>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</si>
  <si>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</si>
  <si>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</si>
  <si>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</si>
  <si>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</si>
  <si>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</si>
  <si>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</si>
  <si>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</si>
  <si>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</si>
  <si>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</si>
  <si>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</si>
  <si>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</si>
  <si>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</si>
  <si>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</si>
  <si>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</si>
  <si>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</si>
  <si>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</si>
  <si>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</si>
  <si>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</si>
  <si>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</si>
  <si>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</si>
  <si>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</si>
  <si>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</si>
  <si>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</si>
  <si>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</si>
  <si>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</si>
  <si>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</si>
  <si>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</si>
  <si>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</si>
  <si>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</si>
  <si>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</si>
  <si>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</si>
  <si>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</si>
  <si>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</si>
  <si>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</si>
  <si>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</si>
  <si>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</si>
  <si>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</si>
  <si>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</si>
  <si>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</si>
  <si>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</si>
  <si>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</si>
  <si>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</si>
  <si>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</si>
  <si>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</si>
  <si>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</si>
  <si>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</si>
  <si>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</si>
  <si>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</si>
  <si>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</si>
  <si>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</si>
  <si>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</si>
  <si>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</si>
  <si>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</si>
  <si>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</si>
  <si>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</si>
  <si>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</si>
  <si>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</si>
  <si>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</si>
  <si>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</si>
  <si>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</si>
  <si>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</si>
  <si>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</si>
  <si>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</si>
  <si>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</si>
  <si>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</si>
  <si>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</si>
  <si>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</si>
  <si>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</si>
  <si>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</si>
  <si>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</si>
  <si>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</si>
  <si>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</si>
  <si>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</si>
  <si>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</si>
  <si>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</si>
  <si>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</si>
  <si>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</si>
  <si>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</si>
  <si>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</si>
  <si>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</si>
  <si>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</si>
  <si>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</si>
  <si>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</si>
  <si>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</si>
  <si>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</si>
  <si>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</si>
  <si>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</si>
  <si>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</si>
  <si>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</si>
  <si>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</si>
  <si>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</si>
  <si>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</si>
  <si>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</si>
  <si>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</si>
  <si>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</si>
  <si>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</si>
  <si>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</si>
  <si>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</si>
  <si>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</si>
  <si>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</si>
  <si>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</si>
  <si>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</si>
  <si>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</si>
  <si>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</si>
  <si>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</si>
  <si>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</si>
  <si>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</si>
  <si>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</si>
  <si>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</si>
  <si>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</si>
  <si>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</si>
  <si>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</si>
  <si>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</si>
  <si>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</si>
  <si>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</si>
  <si>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</si>
  <si>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</si>
  <si>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</si>
  <si>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</si>
  <si>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</si>
  <si>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</si>
  <si>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</si>
  <si>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</si>
  <si>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</si>
  <si>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</si>
  <si>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</si>
  <si>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</si>
  <si>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</si>
  <si>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</si>
  <si>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</si>
  <si>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</si>
  <si>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</si>
  <si>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</si>
  <si>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</si>
  <si>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</si>
  <si>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</si>
  <si>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</si>
  <si>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</si>
  <si>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</si>
  <si>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</si>
  <si>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</si>
  <si>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</si>
  <si>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</si>
  <si>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</si>
  <si>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</si>
  <si>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</si>
  <si>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</si>
  <si>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</si>
  <si>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</si>
  <si>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</si>
  <si>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</si>
  <si>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</si>
  <si>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</si>
  <si>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</si>
  <si>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</si>
  <si>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</si>
  <si>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</si>
  <si>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</si>
  <si>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</si>
  <si>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</si>
  <si>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</si>
  <si>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</si>
  <si>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</si>
  <si>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</si>
  <si>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</si>
  <si>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</si>
  <si>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</si>
  <si>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</si>
  <si>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</si>
  <si>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</si>
  <si>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</si>
  <si>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</si>
  <si>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</si>
  <si>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</si>
  <si>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</si>
  <si>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</si>
  <si>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</si>
  <si>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</si>
  <si>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</si>
  <si>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</si>
  <si>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</si>
  <si>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</si>
  <si>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</si>
  <si>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</si>
  <si>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</si>
  <si>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</si>
  <si>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</si>
  <si>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</si>
  <si>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</si>
  <si>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</si>
  <si>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</si>
  <si>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</si>
  <si>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</si>
  <si>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</si>
  <si>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</si>
  <si>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</si>
  <si>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</si>
  <si>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</si>
  <si>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</si>
  <si>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</si>
  <si>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</si>
  <si>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</si>
  <si>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</si>
  <si>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</si>
  <si>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</si>
  <si>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</si>
  <si>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</si>
  <si>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</si>
  <si>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</si>
  <si>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</si>
  <si>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</si>
  <si>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</si>
  <si>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</si>
  <si>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</si>
  <si>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</si>
  <si>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</si>
  <si>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</si>
  <si>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</si>
  <si>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</si>
  <si>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</si>
  <si>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</si>
  <si>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</si>
  <si>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</si>
  <si>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</si>
  <si>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</si>
  <si>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</si>
  <si>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</si>
  <si>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</si>
  <si>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</si>
  <si>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</si>
  <si>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</si>
  <si>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</si>
  <si>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</si>
  <si>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</si>
  <si>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</si>
  <si>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</si>
  <si>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</si>
  <si>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</si>
  <si>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</si>
  <si>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</si>
  <si>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</si>
  <si>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</si>
  <si>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</si>
  <si>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</si>
  <si>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</si>
  <si>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</si>
  <si>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</si>
  <si>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</si>
  <si>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</si>
  <si>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</si>
  <si>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</si>
  <si>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</si>
  <si>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</si>
  <si>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</si>
  <si>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</si>
  <si>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</si>
  <si>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</si>
  <si>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</si>
  <si>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</si>
  <si>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</si>
  <si>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</si>
  <si>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</si>
  <si>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</si>
  <si>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</si>
  <si>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</si>
  <si>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</si>
  <si>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</si>
  <si>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</si>
  <si>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</si>
  <si>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</si>
  <si>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</si>
  <si>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</si>
  <si>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</si>
  <si>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</si>
  <si>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</si>
  <si>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</si>
  <si>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</si>
  <si>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</si>
  <si>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</si>
  <si>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</si>
  <si>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</si>
  <si>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</si>
  <si>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</si>
  <si>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</si>
  <si>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</si>
  <si>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</si>
  <si>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</si>
  <si>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</si>
  <si>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</si>
  <si>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</si>
  <si>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</si>
  <si>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</si>
  <si>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</si>
  <si>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</si>
  <si>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</si>
  <si>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</si>
  <si>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</si>
  <si>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</si>
  <si>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</si>
  <si>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</si>
  <si>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</si>
  <si>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9999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</si>
  <si>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</si>
  <si>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</si>
  <si>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</si>
  <si>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</si>
  <si>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</si>
  <si>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</si>
  <si>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</si>
  <si>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</si>
  <si>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</si>
  <si>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</si>
  <si>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</si>
  <si>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</si>
  <si>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</si>
  <si>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</si>
  <si>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</si>
  <si>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</si>
  <si>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</si>
  <si>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</si>
  <si>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</si>
  <si>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</si>
  <si>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</si>
  <si>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</si>
  <si>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</si>
  <si>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</si>
  <si>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</si>
  <si>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</si>
  <si>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</si>
  <si>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</si>
  <si>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</si>
  <si>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</si>
  <si>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</si>
  <si>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</si>
  <si>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</si>
  <si>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</si>
  <si>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</si>
  <si>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</si>
  <si>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</si>
  <si>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</si>
  <si>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</si>
  <si>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</si>
  <si>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</si>
  <si>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</si>
  <si>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</si>
  <si>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</si>
  <si>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</si>
  <si>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</si>
  <si>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</si>
  <si>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</si>
  <si>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</si>
  <si>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</si>
  <si>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</si>
  <si>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</si>
  <si>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</si>
  <si>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</si>
  <si>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</si>
  <si>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</si>
  <si>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</si>
  <si>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</si>
  <si>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</si>
  <si>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</si>
  <si>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</si>
  <si>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</si>
  <si>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</si>
  <si>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</si>
  <si>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</si>
  <si>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</si>
  <si>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</si>
  <si>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</si>
  <si>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</si>
  <si>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</si>
  <si>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</si>
  <si>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</si>
  <si>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</si>
  <si>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</si>
  <si>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</si>
  <si>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</si>
  <si>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</si>
  <si>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</si>
  <si>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</si>
  <si>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</si>
  <si>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</si>
  <si>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</si>
  <si>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</si>
  <si>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</si>
  <si>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</si>
  <si>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</si>
  <si>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</si>
  <si>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</si>
  <si>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</si>
  <si>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</si>
  <si>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</si>
  <si>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</si>
  <si>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</si>
  <si>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</si>
  <si>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</si>
  <si>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</si>
  <si>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</si>
  <si>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</si>
  <si>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</si>
  <si>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</si>
  <si>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</si>
  <si>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</si>
  <si>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</si>
  <si>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</si>
  <si>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</si>
  <si>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</si>
  <si>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</si>
  <si>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</si>
  <si>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</si>
  <si>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</si>
  <si>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</si>
  <si>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</si>
  <si>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</si>
  <si>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</si>
  <si>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</si>
  <si>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</si>
  <si>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</si>
  <si>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</si>
  <si>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</si>
  <si>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</si>
  <si>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</si>
  <si>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</si>
  <si>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</si>
  <si>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</si>
  <si>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</si>
  <si>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</si>
  <si>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</si>
  <si>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</si>
  <si>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</si>
  <si>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</si>
  <si>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</si>
  <si>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</si>
  <si>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</si>
  <si>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</si>
  <si>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</si>
  <si>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</si>
  <si>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</si>
  <si>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</si>
  <si>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</si>
  <si>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</si>
  <si>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</si>
  <si>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</si>
  <si>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</si>
  <si>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</si>
  <si>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</si>
  <si>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</si>
  <si>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</si>
  <si>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</si>
  <si>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</si>
  <si>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</si>
  <si>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</si>
  <si>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</si>
  <si>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</si>
  <si>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</si>
  <si>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</si>
  <si>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</si>
  <si>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</si>
  <si>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</si>
  <si>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</si>
  <si>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</si>
  <si>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</si>
  <si>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</si>
  <si>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</si>
  <si>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</si>
  <si>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2080</t>
  </si>
  <si>
    <t>2081</t>
  </si>
  <si>
    <t>2082</t>
  </si>
  <si>
    <t>2083</t>
  </si>
  <si>
    <t>2084</t>
  </si>
  <si>
    <t>2108</t>
  </si>
  <si>
    <t>2157</t>
  </si>
  <si>
    <t>2159</t>
  </si>
  <si>
    <t>2231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</si>
  <si>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</si>
  <si>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</si>
  <si>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</si>
  <si>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</si>
  <si>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</si>
  <si>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</si>
  <si>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</si>
  <si>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</si>
  <si>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</si>
  <si>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</si>
  <si>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</si>
  <si>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</si>
  <si>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</si>
  <si>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</si>
  <si>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</si>
  <si>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</si>
  <si>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</si>
  <si>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</si>
  <si>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</si>
  <si>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</si>
  <si>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</si>
  <si>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</si>
  <si>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</si>
  <si>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</si>
  <si>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</si>
  <si>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</si>
  <si>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</si>
  <si>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</si>
  <si>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</si>
  <si>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</si>
  <si>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</si>
  <si>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</si>
  <si>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</si>
  <si>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</si>
  <si>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</si>
  <si>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</si>
  <si>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</si>
  <si>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</si>
  <si>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</si>
  <si>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</si>
  <si>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</si>
  <si>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</si>
  <si>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</si>
  <si>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2485</t>
  </si>
  <si>
    <t>2486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</si>
  <si>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</si>
  <si>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</si>
  <si>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</si>
  <si>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</si>
  <si>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</si>
  <si>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</si>
  <si>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</si>
  <si>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</si>
  <si>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</si>
  <si>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</si>
  <si>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</si>
  <si>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</si>
  <si>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</si>
  <si>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</si>
  <si>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</si>
  <si>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</si>
  <si>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</si>
  <si>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</si>
  <si>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</si>
  <si>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</si>
  <si>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</si>
  <si>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</si>
  <si>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</si>
  <si>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</si>
  <si>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</si>
  <si>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</si>
  <si>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</si>
  <si>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</si>
  <si>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</si>
  <si>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</si>
  <si>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</si>
  <si>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</si>
  <si>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</si>
  <si>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2555</t>
  </si>
  <si>
    <t>2556</t>
  </si>
  <si>
    <t>2561</t>
  </si>
  <si>
    <t>2562</t>
  </si>
  <si>
    <t>2563</t>
  </si>
  <si>
    <t>2568</t>
  </si>
  <si>
    <t>2569</t>
  </si>
  <si>
    <t>2571</t>
  </si>
  <si>
    <t>2572</t>
  </si>
  <si>
    <t>2573</t>
  </si>
  <si>
    <t>2574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</si>
  <si>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</si>
  <si>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</si>
  <si>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</si>
  <si>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</si>
  <si>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</si>
  <si>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</si>
  <si>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</si>
  <si>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</si>
  <si>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</si>
  <si>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</si>
  <si>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</si>
  <si>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</si>
  <si>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</si>
  <si>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</si>
  <si>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</si>
  <si>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</si>
  <si>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</si>
  <si>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</si>
  <si>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</si>
  <si>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</si>
  <si>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</si>
  <si>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2640</t>
  </si>
  <si>
    <t>2641</t>
  </si>
  <si>
    <t>2708</t>
  </si>
  <si>
    <t>2709</t>
  </si>
  <si>
    <t>2746</t>
  </si>
  <si>
    <t>2752</t>
  </si>
  <si>
    <t>2753</t>
  </si>
  <si>
    <t>2754</t>
  </si>
  <si>
    <t>2755</t>
  </si>
  <si>
    <t>2756</t>
  </si>
  <si>
    <t>2757</t>
  </si>
  <si>
    <t>2758</t>
  </si>
  <si>
    <t>2775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</si>
  <si>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</si>
  <si>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</si>
  <si>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</si>
  <si>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</si>
  <si>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</si>
  <si>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</si>
  <si>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</si>
  <si>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</si>
  <si>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</si>
  <si>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</si>
  <si>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</si>
  <si>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</si>
  <si>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</si>
  <si>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</si>
  <si>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</si>
  <si>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</si>
  <si>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</si>
  <si>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</si>
  <si>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</si>
  <si>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</si>
  <si>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</si>
  <si>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</si>
  <si>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</si>
  <si>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</si>
  <si>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</si>
  <si>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</si>
  <si>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</si>
  <si>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</si>
  <si>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</si>
  <si>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</si>
  <si>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3063</t>
  </si>
  <si>
    <t>3099</t>
  </si>
  <si>
    <t>3100</t>
  </si>
  <si>
    <t>3139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</si>
  <si>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</si>
  <si>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</si>
  <si>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</si>
  <si>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</si>
  <si>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</si>
  <si>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</si>
  <si>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</si>
  <si>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</si>
  <si>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</si>
  <si>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</si>
  <si>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3335</t>
  </si>
  <si>
    <t>3336</t>
  </si>
  <si>
    <t>3339</t>
  </si>
  <si>
    <t>3341</t>
  </si>
  <si>
    <t>3350</t>
  </si>
  <si>
    <t>3353</t>
  </si>
  <si>
    <t>3354</t>
  </si>
  <si>
    <t>3355</t>
  </si>
  <si>
    <t>3356</t>
  </si>
  <si>
    <t>3427</t>
  </si>
  <si>
    <t>3428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</si>
  <si>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</si>
  <si>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</si>
  <si>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</si>
  <si>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</si>
  <si>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</si>
  <si>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</si>
  <si>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</si>
  <si>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</si>
  <si>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</si>
  <si>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</si>
  <si>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</si>
  <si>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</si>
  <si>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</si>
  <si>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</si>
  <si>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3689</t>
  </si>
  <si>
    <t>3690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</si>
  <si>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</si>
  <si>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</si>
  <si>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</si>
  <si>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</si>
  <si>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</si>
  <si>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</si>
  <si>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</si>
  <si>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</si>
  <si>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</si>
  <si>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</si>
  <si>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</si>
  <si>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</si>
  <si>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</si>
  <si>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</si>
  <si>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</si>
  <si>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</si>
  <si>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</si>
  <si>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</si>
  <si>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</si>
  <si>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</si>
  <si>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</si>
  <si>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</si>
  <si>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</si>
  <si>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</si>
  <si>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</si>
  <si>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</si>
  <si>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</si>
  <si>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</si>
  <si>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</si>
  <si>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</si>
  <si>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</si>
  <si>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</si>
  <si>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</si>
  <si>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</si>
  <si>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</si>
  <si>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</si>
  <si>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</si>
  <si>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</si>
  <si>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</si>
  <si>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</si>
  <si>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</si>
  <si>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</si>
  <si>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</si>
  <si>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</si>
  <si>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</si>
  <si>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</si>
  <si>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</si>
  <si>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</si>
  <si>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</si>
  <si>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</si>
  <si>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3807</t>
  </si>
  <si>
    <t>3808</t>
  </si>
  <si>
    <t>3811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</si>
  <si>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</si>
  <si>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</si>
  <si>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</si>
  <si>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</si>
  <si>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</si>
  <si>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</si>
  <si>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</si>
  <si>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</si>
  <si>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</si>
  <si>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</si>
  <si>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</si>
  <si>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</si>
  <si>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</si>
  <si>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</si>
  <si>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</si>
  <si>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</si>
  <si>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</si>
  <si>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</si>
  <si>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</si>
  <si>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</si>
  <si>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</si>
  <si>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</si>
  <si>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</si>
  <si>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</si>
  <si>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</si>
  <si>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</si>
  <si>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</si>
  <si>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</si>
  <si>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</si>
  <si>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3980</t>
  </si>
  <si>
    <t>3981</t>
  </si>
  <si>
    <t>3982</t>
  </si>
  <si>
    <t>3983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</si>
  <si>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</si>
  <si>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</si>
  <si>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</si>
  <si>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</si>
  <si>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</si>
  <si>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</si>
  <si>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</si>
  <si>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</si>
  <si>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</si>
  <si>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</si>
  <si>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4069</t>
  </si>
  <si>
    <t>4070</t>
  </si>
  <si>
    <t>4071</t>
  </si>
  <si>
    <t>4124</t>
  </si>
  <si>
    <t>4125</t>
  </si>
  <si>
    <t>4126</t>
  </si>
  <si>
    <t>4130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</si>
  <si>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</si>
  <si>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</si>
  <si>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</si>
  <si>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</si>
  <si>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</si>
  <si>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</si>
  <si>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</si>
  <si>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</si>
  <si>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</si>
  <si>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</si>
  <si>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</si>
  <si>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</si>
  <si>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</si>
  <si>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</si>
  <si>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</si>
  <si>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</si>
  <si>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</si>
  <si>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</si>
  <si>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4165</t>
  </si>
  <si>
    <t>4166</t>
  </si>
  <si>
    <t>4167</t>
  </si>
  <si>
    <t>4168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</si>
  <si>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</si>
  <si>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</si>
  <si>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</si>
  <si>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</si>
  <si>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</si>
  <si>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</si>
  <si>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</si>
  <si>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</si>
  <si>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</si>
  <si>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</si>
  <si>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</si>
  <si>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</si>
  <si>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</si>
  <si>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</si>
  <si>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</si>
  <si>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</si>
  <si>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</si>
  <si>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</si>
  <si>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</si>
  <si>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</si>
  <si>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</si>
  <si>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</si>
  <si>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</si>
  <si>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</si>
  <si>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</si>
  <si>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</si>
  <si>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</si>
  <si>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</si>
  <si>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</si>
  <si>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</si>
  <si>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</si>
  <si>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</si>
  <si>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</si>
  <si>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</si>
  <si>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</si>
  <si>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</si>
  <si>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</si>
  <si>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</si>
  <si>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</si>
  <si>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</si>
  <si>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</si>
  <si>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</si>
  <si>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</si>
  <si>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</si>
  <si>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</si>
  <si>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</si>
  <si>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</si>
  <si>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</si>
  <si>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</si>
  <si>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</si>
  <si>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</si>
  <si>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</si>
  <si>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</si>
  <si>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</si>
  <si>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</si>
  <si>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</si>
  <si>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</si>
  <si>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</si>
  <si>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</si>
  <si>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</si>
  <si>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</si>
  <si>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</si>
  <si>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</si>
  <si>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</si>
  <si>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</si>
  <si>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</si>
  <si>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</si>
  <si>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</si>
  <si>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</si>
  <si>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</si>
  <si>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</si>
  <si>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</si>
  <si>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</si>
  <si>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</si>
  <si>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</si>
  <si>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</si>
  <si>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</si>
  <si>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</si>
  <si>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</si>
  <si>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</si>
  <si>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</si>
  <si>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</si>
  <si>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</si>
  <si>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</si>
  <si>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</si>
  <si>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</si>
  <si>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</si>
  <si>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</si>
  <si>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</si>
  <si>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</si>
  <si>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</si>
  <si>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</si>
  <si>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</si>
  <si>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</si>
  <si>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</si>
  <si>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</si>
  <si>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</si>
  <si>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</si>
  <si>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</si>
  <si>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</si>
  <si>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</si>
  <si>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</si>
  <si>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</si>
  <si>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</si>
  <si>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</si>
  <si>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</si>
  <si>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</si>
  <si>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</si>
  <si>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</si>
  <si>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</si>
  <si>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</si>
  <si>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</si>
  <si>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</si>
  <si>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</si>
  <si>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</si>
  <si>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</si>
  <si>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</si>
  <si>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</si>
  <si>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</si>
  <si>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</si>
  <si>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</si>
  <si>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</si>
  <si>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</si>
  <si>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</si>
  <si>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</si>
  <si>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</si>
  <si>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</si>
  <si>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</si>
  <si>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</si>
  <si>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</si>
  <si>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</si>
  <si>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</si>
  <si>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</si>
  <si>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</si>
  <si>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</si>
  <si>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</si>
  <si>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</si>
  <si>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</si>
  <si>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</si>
  <si>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</si>
  <si>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</si>
  <si>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</si>
  <si>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</si>
  <si>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</si>
  <si>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</si>
  <si>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</si>
  <si>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</si>
  <si>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</si>
  <si>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</si>
  <si>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</si>
  <si>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</si>
  <si>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</si>
  <si>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</si>
  <si>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</si>
  <si>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</si>
  <si>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</si>
  <si>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</si>
  <si>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</si>
  <si>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</si>
  <si>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</si>
  <si>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</si>
  <si>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</si>
  <si>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</si>
  <si>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</si>
  <si>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</si>
  <si>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</si>
  <si>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</si>
  <si>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</si>
  <si>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</si>
  <si>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</si>
  <si>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</si>
  <si>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</si>
  <si>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</si>
  <si>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</si>
  <si>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</si>
  <si>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</si>
  <si>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</si>
  <si>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</si>
  <si>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</si>
  <si>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</si>
  <si>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</si>
  <si>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</si>
  <si>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</si>
  <si>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</si>
  <si>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</si>
  <si>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</si>
  <si>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</si>
  <si>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</si>
  <si>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</si>
  <si>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</si>
  <si>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</si>
  <si>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</si>
  <si>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</si>
  <si>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</si>
  <si>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</si>
  <si>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</si>
  <si>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</si>
  <si>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</si>
  <si>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</si>
  <si>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</si>
  <si>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</si>
  <si>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</si>
  <si>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</si>
  <si>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</si>
  <si>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5114</t>
  </si>
  <si>
    <t>5118</t>
  </si>
  <si>
    <t>5119</t>
  </si>
  <si>
    <t>5120</t>
  </si>
  <si>
    <t>5121</t>
  </si>
  <si>
    <t>5122</t>
  </si>
  <si>
    <t>5123</t>
  </si>
  <si>
    <t>5124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</si>
  <si>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</si>
  <si>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</si>
  <si>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</si>
  <si>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</si>
  <si>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</si>
  <si>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</si>
  <si>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</si>
  <si>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</si>
  <si>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</si>
  <si>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</si>
  <si>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</si>
  <si>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</si>
  <si>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</si>
  <si>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</si>
  <si>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</si>
  <si>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</si>
  <si>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</si>
  <si>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</si>
  <si>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</si>
  <si>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</si>
  <si>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</si>
  <si>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</si>
  <si>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</si>
  <si>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</si>
  <si>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</si>
  <si>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</si>
  <si>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</si>
  <si>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</si>
  <si>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</si>
  <si>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</si>
  <si>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</si>
  <si>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</si>
  <si>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</si>
  <si>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</si>
  <si>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</si>
  <si>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</si>
  <si>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</si>
  <si>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</si>
  <si>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</si>
  <si>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</si>
  <si>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</si>
  <si>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</si>
  <si>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</si>
  <si>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</si>
  <si>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</si>
  <si>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</si>
  <si>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</si>
  <si>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</si>
  <si>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</si>
  <si>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</si>
  <si>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</si>
  <si>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</si>
  <si>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</si>
  <si>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</si>
  <si>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</si>
  <si>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</si>
  <si>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</si>
  <si>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</si>
  <si>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6031</t>
  </si>
  <si>
    <t>6032</t>
  </si>
  <si>
    <t>6033</t>
  </si>
  <si>
    <t>6034</t>
  </si>
  <si>
    <t>6035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</si>
  <si>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</si>
  <si>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</si>
  <si>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</si>
  <si>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</si>
  <si>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</si>
  <si>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</si>
  <si>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</si>
  <si>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</si>
  <si>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</si>
  <si>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</si>
  <si>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</si>
  <si>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</si>
  <si>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</si>
  <si>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6067</t>
  </si>
  <si>
    <t>6068</t>
  </si>
  <si>
    <t>6070</t>
  </si>
  <si>
    <t>6071</t>
  </si>
  <si>
    <t>6072</t>
  </si>
  <si>
    <t>6073</t>
  </si>
  <si>
    <t>6074</t>
  </si>
  <si>
    <t>6075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</si>
  <si>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</si>
  <si>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</si>
  <si>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</si>
  <si>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</si>
  <si>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</si>
  <si>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</si>
  <si>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</si>
  <si>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</si>
  <si>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</si>
  <si>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</si>
  <si>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</si>
  <si>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</si>
  <si>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</si>
  <si>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6111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</si>
  <si>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</si>
  <si>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</si>
  <si>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</si>
  <si>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</si>
  <si>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</si>
  <si>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</si>
  <si>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</si>
  <si>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</si>
  <si>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</si>
  <si>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</si>
  <si>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</si>
  <si>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</si>
  <si>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</si>
  <si>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</si>
  <si>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</si>
  <si>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</si>
  <si>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</si>
  <si>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</si>
  <si>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</si>
  <si>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</si>
  <si>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</si>
  <si>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</si>
  <si>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</si>
  <si>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</si>
  <si>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</si>
  <si>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</si>
  <si>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6161</t>
  </si>
  <si>
    <t>6176</t>
  </si>
  <si>
    <t>6177</t>
  </si>
  <si>
    <t>6178</t>
  </si>
  <si>
    <t>6179</t>
  </si>
  <si>
    <t>6181</t>
  </si>
  <si>
    <t>6207</t>
  </si>
  <si>
    <t>6208</t>
  </si>
  <si>
    <t>6209</t>
  </si>
  <si>
    <t>6211</t>
  </si>
  <si>
    <t>6212</t>
  </si>
  <si>
    <t>6213</t>
  </si>
  <si>
    <t>6214</t>
  </si>
  <si>
    <t>6991</t>
  </si>
  <si>
    <t>6997</t>
  </si>
  <si>
    <t>6998</t>
  </si>
  <si>
    <t>6999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</si>
  <si>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</si>
  <si>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</si>
  <si>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</si>
  <si>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</si>
  <si>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</si>
  <si>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</si>
  <si>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</si>
  <si>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</si>
  <si>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</si>
  <si>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</si>
  <si>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</si>
  <si>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</si>
  <si>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</si>
  <si>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</si>
  <si>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</si>
  <si>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</si>
  <si>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</si>
  <si>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</si>
  <si>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</si>
  <si>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</si>
  <si>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</si>
  <si>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</si>
  <si>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</si>
  <si>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</si>
  <si>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</si>
  <si>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</si>
  <si>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</si>
  <si>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</si>
  <si>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</si>
  <si>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</si>
  <si>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</si>
  <si>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</si>
  <si>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</si>
  <si>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</si>
  <si>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</si>
  <si>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</si>
  <si>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</si>
  <si>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</si>
  <si>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</si>
  <si>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</si>
  <si>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</si>
  <si>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</si>
  <si>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</si>
  <si>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</si>
  <si>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</si>
  <si>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</si>
  <si>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</si>
  <si>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</si>
  <si>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</si>
  <si>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</si>
  <si>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</si>
  <si>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</si>
  <si>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</si>
  <si>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</si>
  <si>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</si>
  <si>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</si>
  <si>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</si>
  <si>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</si>
  <si>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</si>
  <si>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</si>
  <si>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</si>
  <si>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</si>
  <si>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</si>
  <si>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</si>
  <si>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</si>
  <si>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</si>
  <si>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</si>
  <si>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</si>
  <si>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</si>
  <si>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</si>
  <si>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</si>
  <si>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</si>
  <si>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</si>
  <si>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</si>
  <si>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</si>
  <si>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</si>
  <si>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</si>
  <si>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</si>
  <si>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</si>
  <si>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</si>
  <si>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</si>
  <si>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</si>
  <si>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</si>
  <si>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</si>
  <si>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</si>
  <si>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</si>
  <si>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</si>
  <si>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</si>
  <si>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</si>
  <si>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</si>
  <si>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</si>
  <si>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</si>
  <si>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</si>
  <si>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</si>
  <si>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</si>
  <si>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</si>
  <si>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</si>
  <si>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</si>
  <si>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</si>
  <si>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</si>
  <si>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</si>
  <si>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</si>
  <si>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</si>
  <si>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</si>
  <si>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</si>
  <si>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</si>
  <si>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</si>
  <si>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</si>
  <si>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</si>
  <si>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</si>
  <si>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</si>
  <si>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</si>
  <si>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</si>
  <si>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</si>
  <si>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</si>
  <si>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</si>
  <si>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</si>
  <si>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</si>
  <si>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</si>
  <si>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</si>
  <si>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</si>
  <si>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</si>
  <si>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</si>
  <si>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</si>
  <si>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</si>
  <si>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</si>
  <si>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</si>
  <si>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</si>
  <si>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</si>
  <si>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</si>
  <si>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</si>
  <si>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</si>
  <si>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</si>
  <si>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</si>
  <si>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</si>
  <si>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</si>
  <si>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</si>
  <si>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</si>
  <si>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</si>
  <si>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</si>
  <si>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</si>
  <si>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</si>
  <si>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</si>
  <si>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</si>
  <si>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</si>
  <si>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</si>
  <si>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</si>
  <si>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</si>
  <si>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</si>
  <si>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</si>
  <si>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</si>
  <si>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</si>
  <si>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</si>
  <si>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</si>
  <si>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</si>
  <si>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</si>
  <si>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</si>
  <si>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</si>
  <si>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</si>
  <si>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</si>
  <si>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</si>
  <si>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</si>
  <si>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</si>
  <si>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</si>
  <si>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</si>
  <si>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</si>
  <si>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</si>
  <si>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</si>
  <si>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</si>
  <si>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</si>
  <si>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</si>
  <si>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</si>
  <si>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</si>
  <si>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</si>
  <si>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</si>
  <si>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</si>
  <si>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</si>
  <si>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</si>
  <si>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</si>
  <si>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</si>
  <si>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</si>
  <si>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</si>
  <si>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</si>
  <si>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</si>
  <si>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</si>
  <si>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</si>
  <si>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</si>
  <si>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</si>
  <si>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</si>
  <si>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</si>
  <si>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</si>
  <si>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</si>
  <si>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</si>
  <si>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</si>
  <si>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</si>
  <si>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</si>
  <si>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</si>
  <si>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</si>
  <si>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</si>
  <si>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</si>
  <si>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</si>
  <si>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</si>
  <si>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</si>
  <si>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</si>
  <si>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</si>
  <si>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</si>
  <si>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</si>
  <si>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</si>
  <si>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</si>
  <si>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</si>
  <si>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</si>
  <si>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</si>
  <si>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</si>
  <si>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</si>
  <si>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</si>
  <si>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</si>
  <si>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</si>
  <si>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</si>
  <si>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</si>
  <si>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</si>
  <si>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</si>
  <si>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</si>
  <si>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</si>
  <si>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</si>
  <si>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</si>
  <si>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</si>
  <si>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</si>
  <si>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</si>
  <si>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</si>
  <si>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</si>
  <si>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</si>
  <si>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</si>
  <si>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</si>
  <si>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</si>
  <si>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</si>
  <si>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</si>
  <si>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</si>
  <si>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</si>
  <si>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</si>
  <si>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</si>
  <si>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</si>
  <si>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</si>
  <si>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</si>
  <si>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</si>
  <si>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</si>
  <si>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</si>
  <si>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</si>
  <si>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</si>
  <si>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</si>
  <si>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</si>
  <si>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</si>
  <si>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</si>
  <si>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</si>
  <si>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</si>
  <si>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</si>
  <si>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</si>
  <si>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</si>
  <si>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</si>
  <si>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</si>
  <si>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</si>
  <si>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</si>
  <si>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</si>
  <si>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</si>
  <si>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</si>
  <si>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</si>
  <si>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</si>
  <si>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</si>
  <si>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</si>
  <si>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</si>
  <si>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</si>
  <si>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</si>
  <si>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</si>
  <si>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</si>
  <si>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</si>
  <si>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</si>
  <si>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</si>
  <si>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</si>
  <si>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</si>
  <si>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</si>
  <si>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</si>
  <si>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</si>
  <si>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</si>
  <si>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</si>
  <si>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</si>
  <si>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</si>
  <si>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</si>
  <si>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</si>
  <si>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</si>
  <si>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</si>
  <si>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</si>
  <si>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</si>
  <si>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</si>
  <si>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</si>
  <si>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</si>
  <si>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</si>
  <si>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</si>
  <si>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</si>
  <si>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</si>
  <si>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</si>
  <si>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</si>
  <si>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</si>
  <si>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</si>
  <si>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</si>
  <si>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</si>
  <si>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</si>
  <si>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</si>
  <si>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</si>
  <si>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</si>
  <si>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</si>
  <si>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</si>
  <si>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</si>
  <si>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</si>
  <si>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</si>
  <si>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</si>
  <si>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</si>
  <si>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</si>
  <si>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</si>
  <si>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</si>
  <si>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</si>
  <si>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</si>
  <si>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</si>
  <si>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</si>
  <si>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</si>
  <si>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</si>
  <si>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</si>
  <si>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</si>
  <si>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</si>
  <si>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</si>
  <si>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</si>
  <si>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</si>
  <si>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</si>
  <si>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</si>
  <si>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</si>
  <si>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</si>
  <si>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</si>
  <si>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</si>
  <si>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</si>
  <si>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</si>
  <si>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</si>
  <si>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</si>
  <si>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</si>
  <si>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</si>
  <si>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</si>
  <si>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</si>
  <si>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</si>
  <si>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</si>
  <si>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</si>
  <si>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</si>
  <si>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</si>
  <si>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</si>
  <si>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</si>
  <si>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</si>
  <si>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</si>
  <si>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</si>
  <si>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</si>
  <si>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</si>
  <si>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</si>
  <si>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</si>
  <si>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</si>
  <si>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</si>
  <si>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</si>
  <si>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</si>
  <si>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</si>
  <si>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</si>
  <si>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</si>
  <si>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</si>
  <si>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</si>
  <si>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</si>
  <si>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</si>
  <si>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</si>
  <si>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</si>
  <si>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</si>
  <si>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</si>
  <si>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</si>
  <si>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</si>
  <si>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</si>
  <si>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</si>
  <si>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</si>
  <si>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</si>
  <si>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</si>
  <si>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</si>
  <si>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</si>
  <si>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</si>
  <si>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</si>
  <si>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</si>
  <si>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</si>
  <si>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</si>
  <si>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</si>
  <si>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</si>
  <si>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</si>
  <si>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</si>
  <si>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</si>
  <si>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</si>
  <si>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</si>
  <si>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</si>
  <si>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</si>
  <si>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</si>
  <si>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</si>
  <si>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</si>
  <si>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</si>
  <si>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</si>
  <si>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</si>
  <si>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</si>
  <si>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</si>
  <si>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</si>
  <si>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</si>
  <si>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</si>
  <si>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</si>
  <si>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</si>
  <si>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</si>
  <si>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</si>
  <si>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</si>
  <si>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</si>
  <si>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</si>
  <si>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</si>
  <si>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</si>
  <si>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</si>
  <si>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</si>
  <si>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</si>
  <si>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</si>
  <si>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</si>
  <si>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</si>
  <si>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</si>
  <si>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</si>
  <si>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</si>
  <si>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</si>
  <si>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</si>
  <si>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</si>
  <si>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</si>
  <si>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</si>
  <si>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</si>
  <si>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</si>
  <si>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</si>
  <si>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</si>
  <si>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</si>
  <si>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</si>
  <si>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</si>
  <si>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</si>
  <si>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</si>
  <si>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</si>
  <si>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</si>
  <si>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</si>
  <si>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</si>
  <si>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</si>
  <si>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</si>
  <si>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</si>
  <si>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</si>
  <si>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</si>
  <si>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</si>
  <si>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</si>
  <si>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</si>
  <si>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</si>
  <si>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</si>
  <si>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</si>
  <si>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</si>
  <si>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</si>
  <si>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</si>
  <si>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</si>
  <si>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</si>
  <si>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</si>
  <si>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</si>
  <si>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</si>
  <si>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</si>
  <si>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</si>
  <si>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</si>
  <si>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</si>
  <si>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</si>
  <si>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</si>
  <si>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</si>
  <si>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</si>
  <si>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</si>
  <si>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</si>
  <si>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</si>
  <si>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</si>
  <si>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</si>
  <si>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</si>
  <si>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</si>
  <si>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</si>
  <si>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</si>
  <si>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</si>
  <si>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</si>
  <si>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</si>
  <si>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</si>
  <si>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</si>
  <si>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</si>
  <si>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</si>
  <si>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</si>
  <si>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</si>
  <si>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</si>
  <si>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</si>
  <si>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</si>
  <si>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</si>
  <si>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</si>
  <si>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</si>
  <si>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</si>
  <si>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</si>
  <si>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</si>
  <si>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</si>
  <si>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</si>
  <si>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</si>
  <si>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</si>
  <si>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</si>
  <si>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</si>
  <si>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</si>
  <si>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</si>
  <si>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</si>
  <si>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</si>
  <si>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</si>
  <si>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</si>
  <si>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</si>
  <si>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</si>
  <si>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</si>
  <si>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</si>
  <si>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</si>
  <si>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</si>
  <si>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</si>
  <si>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</si>
  <si>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</si>
  <si>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</si>
  <si>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</si>
  <si>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</si>
  <si>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</si>
  <si>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</si>
  <si>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</si>
  <si>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</si>
  <si>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</si>
  <si>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</si>
  <si>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</si>
  <si>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</si>
  <si>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</si>
  <si>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</si>
  <si>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</si>
  <si>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</si>
  <si>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</si>
  <si>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</si>
  <si>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</si>
  <si>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</si>
  <si>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</si>
  <si>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</si>
  <si>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</si>
  <si>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</si>
  <si>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</si>
  <si>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</si>
  <si>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</si>
  <si>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</si>
  <si>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</si>
  <si>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</si>
  <si>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</si>
  <si>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</si>
  <si>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</si>
  <si>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</si>
  <si>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</si>
  <si>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</si>
  <si>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</si>
  <si>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</si>
  <si>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</si>
  <si>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</si>
  <si>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</si>
  <si>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</si>
  <si>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</si>
  <si>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</si>
  <si>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</si>
  <si>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</si>
  <si>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</si>
  <si>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</si>
  <si>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</si>
  <si>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</si>
  <si>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</si>
  <si>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</si>
  <si>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</si>
  <si>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</si>
  <si>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</si>
  <si>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</si>
  <si>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</si>
  <si>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</si>
  <si>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</si>
  <si>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</si>
  <si>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</si>
  <si>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</si>
  <si>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</si>
  <si>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</si>
  <si>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</si>
  <si>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</si>
  <si>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</si>
  <si>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</si>
  <si>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</si>
  <si>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</si>
  <si>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</si>
  <si>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</si>
  <si>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</si>
  <si>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</si>
  <si>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</si>
  <si>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</si>
  <si>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</si>
  <si>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</si>
  <si>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</si>
  <si>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</si>
  <si>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</si>
  <si>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</si>
  <si>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</si>
  <si>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</si>
  <si>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</si>
  <si>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</si>
  <si>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</si>
  <si>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</si>
  <si>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</si>
  <si>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</si>
  <si>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</si>
  <si>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</si>
  <si>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</si>
  <si>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</si>
  <si>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</si>
  <si>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</si>
  <si>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</si>
  <si>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</si>
  <si>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</si>
  <si>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</si>
  <si>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</si>
  <si>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</si>
  <si>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</si>
  <si>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</si>
  <si>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</si>
  <si>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</si>
  <si>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</si>
  <si>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</si>
  <si>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</si>
  <si>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</si>
  <si>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</si>
  <si>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</si>
  <si>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</si>
  <si>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</si>
  <si>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</si>
  <si>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</si>
  <si>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</si>
  <si>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</si>
  <si>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</si>
  <si>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</si>
  <si>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</si>
  <si>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</si>
  <si>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</si>
  <si>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</si>
  <si>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</si>
  <si>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</si>
  <si>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</si>
  <si>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</si>
  <si>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</si>
  <si>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</si>
  <si>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</si>
  <si>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</si>
  <si>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</si>
  <si>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</si>
  <si>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</si>
  <si>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</si>
  <si>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</si>
  <si>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</si>
  <si>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</si>
  <si>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</si>
  <si>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</si>
  <si>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</si>
  <si>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</si>
  <si>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</si>
  <si>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</si>
  <si>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</si>
  <si>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</si>
  <si>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</si>
  <si>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</si>
  <si>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</si>
  <si>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</si>
  <si>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</si>
  <si>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</si>
  <si>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</si>
  <si>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</si>
  <si>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</si>
  <si>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</si>
  <si>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</si>
  <si>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</si>
  <si>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</si>
  <si>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</si>
  <si>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</si>
  <si>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</si>
  <si>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</si>
  <si>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</si>
  <si>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</si>
  <si>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</si>
  <si>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</si>
  <si>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</si>
  <si>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</si>
  <si>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</si>
  <si>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</si>
  <si>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</si>
  <si>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</si>
  <si>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</si>
  <si>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</si>
  <si>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</si>
  <si>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</si>
  <si>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</si>
  <si>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</si>
  <si>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</si>
  <si>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</si>
  <si>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</si>
  <si>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</si>
  <si>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</si>
  <si>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</si>
  <si>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</si>
  <si>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</si>
  <si>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</si>
  <si>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</si>
  <si>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</si>
  <si>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</si>
  <si>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</si>
  <si>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</si>
  <si>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</si>
  <si>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</si>
  <si>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</si>
  <si>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</si>
  <si>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</si>
  <si>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</si>
  <si>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</si>
  <si>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</si>
  <si>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</si>
  <si>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</si>
  <si>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</si>
  <si>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</si>
  <si>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</si>
  <si>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</si>
  <si>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</si>
  <si>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</si>
  <si>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</si>
  <si>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</si>
  <si>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</si>
  <si>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</si>
  <si>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</si>
  <si>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</si>
  <si>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</si>
  <si>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</si>
  <si>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</si>
  <si>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</si>
  <si>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</si>
  <si>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</si>
  <si>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</si>
  <si>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</si>
  <si>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</si>
  <si>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</si>
  <si>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</si>
  <si>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</si>
  <si>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</si>
  <si>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</si>
  <si>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</si>
  <si>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</si>
  <si>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</si>
  <si>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</si>
  <si>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</si>
  <si>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</si>
  <si>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</si>
  <si>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</si>
  <si>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</si>
  <si>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</si>
  <si>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</si>
  <si>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</si>
  <si>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</si>
  <si>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</si>
  <si>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</si>
  <si>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</si>
  <si>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</si>
  <si>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</si>
  <si>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</si>
  <si>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</si>
  <si>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</si>
  <si>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</si>
  <si>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</si>
  <si>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</si>
  <si>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</si>
  <si>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</si>
  <si>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</si>
  <si>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</si>
  <si>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</si>
  <si>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</si>
  <si>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</si>
  <si>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</si>
  <si>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</si>
  <si>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</si>
  <si>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</si>
  <si>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</si>
  <si>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</si>
  <si>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2898</t>
  </si>
  <si>
    <t>2899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</si>
  <si>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</si>
  <si>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</si>
  <si>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</si>
  <si>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</si>
  <si>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</si>
  <si>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</si>
  <si>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</si>
  <si>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</si>
  <si>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</si>
  <si>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</si>
  <si>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</si>
  <si>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</si>
  <si>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</si>
  <si>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</si>
  <si>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</si>
  <si>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</si>
  <si>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</si>
  <si>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</si>
  <si>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</si>
  <si>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</si>
  <si>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</si>
  <si>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</si>
  <si>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</si>
  <si>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</si>
  <si>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</si>
  <si>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</si>
  <si>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</si>
  <si>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</si>
  <si>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</si>
  <si>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</si>
  <si>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</si>
  <si>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</si>
  <si>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</si>
  <si>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</si>
  <si>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</si>
  <si>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</si>
  <si>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</si>
  <si>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</si>
  <si>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</si>
  <si>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</si>
  <si>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</si>
  <si>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</si>
  <si>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</si>
  <si>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</si>
  <si>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</si>
  <si>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</si>
  <si>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</si>
  <si>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</si>
  <si>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</si>
  <si>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</si>
  <si>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</si>
  <si>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</si>
  <si>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</si>
  <si>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</si>
  <si>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</si>
  <si>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</si>
  <si>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</si>
  <si>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</si>
  <si>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</si>
  <si>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</si>
  <si>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</si>
  <si>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</si>
  <si>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</si>
  <si>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</si>
  <si>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</si>
  <si>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</si>
  <si>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</si>
  <si>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</si>
  <si>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</si>
  <si>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</si>
  <si>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</si>
  <si>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</si>
  <si>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</si>
  <si>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</si>
  <si>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</si>
  <si>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</si>
  <si>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</si>
  <si>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</si>
  <si>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</si>
  <si>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</si>
  <si>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</si>
  <si>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</si>
  <si>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</si>
  <si>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</si>
  <si>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</si>
  <si>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</si>
  <si>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</si>
  <si>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</si>
  <si>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</si>
  <si>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</si>
  <si>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</si>
  <si>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</si>
  <si>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</si>
  <si>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</si>
  <si>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</si>
  <si>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</si>
  <si>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</si>
  <si>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</si>
  <si>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</si>
  <si>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</si>
  <si>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</si>
  <si>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</si>
  <si>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</si>
  <si>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</si>
  <si>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</si>
  <si>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</si>
  <si>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</si>
  <si>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</si>
  <si>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</si>
  <si>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</si>
  <si>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</si>
  <si>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</si>
  <si>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</si>
  <si>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</si>
  <si>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3342</t>
  </si>
  <si>
    <t>3343</t>
  </si>
  <si>
    <t>3344</t>
  </si>
  <si>
    <t>3345</t>
  </si>
  <si>
    <t>3346</t>
  </si>
  <si>
    <t>3347</t>
  </si>
  <si>
    <t>3348</t>
  </si>
  <si>
    <t>3349</t>
  </si>
  <si>
    <t>3351</t>
  </si>
  <si>
    <t>3352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</si>
  <si>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</si>
  <si>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</si>
  <si>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</si>
  <si>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</si>
  <si>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</si>
  <si>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</si>
  <si>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</si>
  <si>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</si>
  <si>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</si>
  <si>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</si>
  <si>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</si>
  <si>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</si>
  <si>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</si>
  <si>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</si>
  <si>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</si>
  <si>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</si>
  <si>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</si>
  <si>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</si>
  <si>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</si>
  <si>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</si>
  <si>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</si>
  <si>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</si>
  <si>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</si>
  <si>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</si>
  <si>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</si>
  <si>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</si>
  <si>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</si>
  <si>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</si>
  <si>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</si>
  <si>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</si>
  <si>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</si>
  <si>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</si>
  <si>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</si>
  <si>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</si>
  <si>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</si>
  <si>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</si>
  <si>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</si>
  <si>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</si>
  <si>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</si>
  <si>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</si>
  <si>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</si>
  <si>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</si>
  <si>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</si>
  <si>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</si>
  <si>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</si>
  <si>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</si>
  <si>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</si>
  <si>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</si>
  <si>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</si>
  <si>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</si>
  <si>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</si>
  <si>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</si>
  <si>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</si>
  <si>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</si>
  <si>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</si>
  <si>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</si>
  <si>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</si>
  <si>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</si>
  <si>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</si>
  <si>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</si>
  <si>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</si>
  <si>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</si>
  <si>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</si>
  <si>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</si>
  <si>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</si>
  <si>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</si>
  <si>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</si>
  <si>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</si>
  <si>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</si>
  <si>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</si>
  <si>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</si>
  <si>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</si>
  <si>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</si>
  <si>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</si>
  <si>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</si>
  <si>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</si>
  <si>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</si>
  <si>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</si>
  <si>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</si>
  <si>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</si>
  <si>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</si>
  <si>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</si>
  <si>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</si>
  <si>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</si>
  <si>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</si>
  <si>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</si>
  <si>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</si>
  <si>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</si>
  <si>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</si>
  <si>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</si>
  <si>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</si>
  <si>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</si>
  <si>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</si>
  <si>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</si>
  <si>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</si>
  <si>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</si>
  <si>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</si>
  <si>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</si>
  <si>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</si>
  <si>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</si>
  <si>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</si>
  <si>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</si>
  <si>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</si>
  <si>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</si>
  <si>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</si>
  <si>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</si>
  <si>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</si>
  <si>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</si>
  <si>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</si>
  <si>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</si>
  <si>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</si>
  <si>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</si>
  <si>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</si>
  <si>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</si>
  <si>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</si>
  <si>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</si>
  <si>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</si>
  <si>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</si>
  <si>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</si>
  <si>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</si>
  <si>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</si>
  <si>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</si>
  <si>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</si>
  <si>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</si>
  <si>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</si>
  <si>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</si>
  <si>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</si>
  <si>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</si>
  <si>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</si>
  <si>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</si>
  <si>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</si>
  <si>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</si>
  <si>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</si>
  <si>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</si>
  <si>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</si>
  <si>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</si>
  <si>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</si>
  <si>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</si>
  <si>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</si>
  <si>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</si>
  <si>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</si>
  <si>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</si>
  <si>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</si>
  <si>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</si>
  <si>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</si>
  <si>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</si>
  <si>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</si>
  <si>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</si>
  <si>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</si>
  <si>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</si>
  <si>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</si>
  <si>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</si>
  <si>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</si>
  <si>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</si>
  <si>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</si>
  <si>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</si>
  <si>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</si>
  <si>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</si>
  <si>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</si>
  <si>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</si>
  <si>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</si>
  <si>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</si>
  <si>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</si>
  <si>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</si>
  <si>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</si>
  <si>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</si>
  <si>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</si>
  <si>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</si>
  <si>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</si>
  <si>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</si>
  <si>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</si>
  <si>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</si>
  <si>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</si>
  <si>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</si>
  <si>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</si>
  <si>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</si>
  <si>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</si>
  <si>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</si>
  <si>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</si>
  <si>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</si>
  <si>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</si>
  <si>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</si>
  <si>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</si>
  <si>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</si>
  <si>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</si>
  <si>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</si>
  <si>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</si>
  <si>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</si>
  <si>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</si>
  <si>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</si>
  <si>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</si>
  <si>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</si>
  <si>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</si>
  <si>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</si>
  <si>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</si>
  <si>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</si>
  <si>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</si>
  <si>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</si>
  <si>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</si>
  <si>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</si>
  <si>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</si>
  <si>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</si>
  <si>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</si>
  <si>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</si>
  <si>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</si>
  <si>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</si>
  <si>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</si>
  <si>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</si>
  <si>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</si>
  <si>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</si>
  <si>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</si>
  <si>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</si>
  <si>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</si>
  <si>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</si>
  <si>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</si>
  <si>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</si>
  <si>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</si>
  <si>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</si>
  <si>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</si>
  <si>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</si>
  <si>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</si>
  <si>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</si>
  <si>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</si>
  <si>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</si>
  <si>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</si>
  <si>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</si>
  <si>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</si>
  <si>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</si>
  <si>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</si>
  <si>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</si>
  <si>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</si>
  <si>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</si>
  <si>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</si>
  <si>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</si>
  <si>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</si>
  <si>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</si>
  <si>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</si>
  <si>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</si>
  <si>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</si>
  <si>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</si>
  <si>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</si>
  <si>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</si>
  <si>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</si>
  <si>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</si>
  <si>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</si>
  <si>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</si>
  <si>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</si>
  <si>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</si>
  <si>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</si>
  <si>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</si>
  <si>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</si>
  <si>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</si>
  <si>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</si>
  <si>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</si>
  <si>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</si>
  <si>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</si>
  <si>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</si>
  <si>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</si>
  <si>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</si>
  <si>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</si>
  <si>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</si>
  <si>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</si>
  <si>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</si>
  <si>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</si>
  <si>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</si>
  <si>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</si>
  <si>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</si>
  <si>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</si>
  <si>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</si>
  <si>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</si>
  <si>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</si>
  <si>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</si>
  <si>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</si>
  <si>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</si>
  <si>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</si>
  <si>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</si>
  <si>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</si>
  <si>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</si>
  <si>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</si>
  <si>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</si>
  <si>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</si>
  <si>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</si>
  <si>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</si>
  <si>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</si>
  <si>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</si>
  <si>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</si>
  <si>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</si>
  <si>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</si>
  <si>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</si>
  <si>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</si>
  <si>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</si>
  <si>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</si>
  <si>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</si>
  <si>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</si>
  <si>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</si>
  <si>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</si>
  <si>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</si>
  <si>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</si>
  <si>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</si>
  <si>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</si>
  <si>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</si>
  <si>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</si>
  <si>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</si>
  <si>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</si>
  <si>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</si>
  <si>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</si>
  <si>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</si>
  <si>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</si>
  <si>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</si>
  <si>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</si>
  <si>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</si>
  <si>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</si>
  <si>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</si>
  <si>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</si>
  <si>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</si>
  <si>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</si>
  <si>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</si>
  <si>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</si>
  <si>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</si>
  <si>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</si>
  <si>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</si>
  <si>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</si>
  <si>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</si>
  <si>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</si>
  <si>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</si>
  <si>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</si>
  <si>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</si>
  <si>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</si>
  <si>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</si>
  <si>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</si>
  <si>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</si>
  <si>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</si>
  <si>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</si>
  <si>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</si>
  <si>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</si>
  <si>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</si>
  <si>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</si>
  <si>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</si>
  <si>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</si>
  <si>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</si>
  <si>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</si>
  <si>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</si>
  <si>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</si>
  <si>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</si>
  <si>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</si>
  <si>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</si>
  <si>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</si>
  <si>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</si>
  <si>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</si>
  <si>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</si>
  <si>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</si>
  <si>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</si>
  <si>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</si>
  <si>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</si>
  <si>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</si>
  <si>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</si>
  <si>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</si>
  <si>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</si>
  <si>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</si>
  <si>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</si>
  <si>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</si>
  <si>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</si>
  <si>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</si>
  <si>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</si>
  <si>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</si>
  <si>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</si>
  <si>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</si>
  <si>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</si>
  <si>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</si>
  <si>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</si>
  <si>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</si>
  <si>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</si>
  <si>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</si>
  <si>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</si>
  <si>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</si>
  <si>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</si>
  <si>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</si>
  <si>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</si>
  <si>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</si>
  <si>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</si>
  <si>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</si>
  <si>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</si>
  <si>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</si>
  <si>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</si>
  <si>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</si>
  <si>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</si>
  <si>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</si>
  <si>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</si>
  <si>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</si>
  <si>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</si>
  <si>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</si>
  <si>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</si>
  <si>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</si>
  <si>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</si>
  <si>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</si>
  <si>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</si>
  <si>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</si>
  <si>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</si>
  <si>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</si>
  <si>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</si>
  <si>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</si>
  <si>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</si>
  <si>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</si>
  <si>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</si>
  <si>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</si>
  <si>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</si>
  <si>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</si>
  <si>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</si>
  <si>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</si>
  <si>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</si>
  <si>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</si>
  <si>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</si>
  <si>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</si>
  <si>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</si>
  <si>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</si>
  <si>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</si>
  <si>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</si>
  <si>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</si>
  <si>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</si>
  <si>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</si>
  <si>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</si>
  <si>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</si>
  <si>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</si>
  <si>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</si>
  <si>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</si>
  <si>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</si>
  <si>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</si>
  <si>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</si>
  <si>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</si>
  <si>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</si>
  <si>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</si>
  <si>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</si>
  <si>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</si>
  <si>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</si>
  <si>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</si>
  <si>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</si>
  <si>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</si>
  <si>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</si>
  <si>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</si>
  <si>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</si>
  <si>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</si>
  <si>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</si>
  <si>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</si>
  <si>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</si>
  <si>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</si>
  <si>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</si>
  <si>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</si>
  <si>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</si>
  <si>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</si>
  <si>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</si>
  <si>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</si>
  <si>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</si>
  <si>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</si>
  <si>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</si>
  <si>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</si>
  <si>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</si>
  <si>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</si>
  <si>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</si>
  <si>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</si>
  <si>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</si>
  <si>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</si>
  <si>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</si>
  <si>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</si>
  <si>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</si>
  <si>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</si>
  <si>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</si>
  <si>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</si>
  <si>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</si>
  <si>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</si>
  <si>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</si>
  <si>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</si>
  <si>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</si>
  <si>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3921</t>
  </si>
  <si>
    <t>3922</t>
  </si>
  <si>
    <t>3923</t>
  </si>
  <si>
    <t>3924</t>
  </si>
  <si>
    <t>3925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</si>
  <si>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</si>
  <si>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</si>
  <si>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</si>
  <si>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</si>
  <si>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</si>
  <si>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</si>
  <si>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</si>
  <si>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</si>
  <si>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</si>
  <si>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</si>
  <si>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</si>
  <si>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</si>
  <si>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</si>
  <si>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</si>
  <si>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</si>
  <si>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</si>
  <si>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</si>
  <si>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</si>
  <si>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</si>
  <si>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</si>
  <si>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</si>
  <si>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</si>
  <si>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</si>
  <si>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</si>
  <si>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</si>
  <si>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</si>
  <si>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</si>
  <si>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</si>
  <si>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</si>
  <si>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</si>
  <si>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3979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</si>
  <si>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</si>
  <si>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</si>
  <si>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</si>
  <si>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</si>
  <si>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</si>
  <si>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</si>
  <si>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</si>
  <si>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</si>
  <si>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</si>
  <si>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</si>
  <si>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</si>
  <si>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</si>
  <si>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</si>
  <si>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</si>
  <si>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</si>
  <si>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</si>
  <si>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</si>
  <si>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</si>
  <si>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</si>
  <si>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</si>
  <si>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</si>
  <si>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</si>
  <si>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</si>
  <si>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</si>
  <si>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</si>
  <si>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</si>
  <si>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</si>
  <si>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</si>
  <si>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</si>
  <si>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</si>
  <si>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</si>
  <si>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</si>
  <si>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</si>
  <si>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</si>
  <si>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</si>
  <si>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</si>
  <si>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</si>
  <si>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</si>
  <si>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</si>
  <si>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</si>
  <si>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</si>
  <si>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</si>
  <si>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</si>
  <si>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</si>
  <si>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</si>
  <si>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</si>
  <si>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</si>
  <si>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</si>
  <si>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</si>
  <si>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</si>
  <si>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</si>
  <si>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</si>
  <si>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</si>
  <si>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</si>
  <si>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</si>
  <si>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</si>
  <si>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</si>
  <si>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</si>
  <si>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</si>
  <si>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</si>
  <si>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</si>
  <si>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</si>
  <si>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</si>
  <si>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</si>
  <si>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</si>
  <si>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</si>
  <si>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</si>
  <si>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</si>
  <si>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</si>
  <si>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</si>
  <si>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</si>
  <si>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</si>
  <si>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</si>
  <si>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</si>
  <si>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</si>
  <si>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</si>
  <si>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</si>
  <si>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</si>
  <si>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</si>
  <si>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</si>
  <si>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</si>
  <si>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</si>
  <si>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</si>
  <si>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</si>
  <si>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</si>
  <si>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</si>
  <si>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</si>
  <si>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</si>
  <si>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</si>
  <si>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</si>
  <si>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</si>
  <si>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</si>
  <si>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</si>
  <si>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</si>
  <si>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</si>
  <si>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</si>
  <si>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</si>
  <si>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</si>
  <si>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</si>
  <si>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</si>
  <si>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</si>
  <si>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</si>
  <si>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</si>
  <si>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</si>
  <si>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</si>
  <si>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</si>
  <si>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</si>
  <si>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</si>
  <si>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</si>
  <si>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</si>
  <si>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</si>
  <si>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</si>
  <si>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</si>
  <si>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</si>
  <si>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</si>
  <si>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</si>
  <si>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</si>
  <si>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</si>
  <si>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</si>
  <si>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</si>
  <si>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</si>
  <si>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</si>
  <si>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</si>
  <si>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</si>
  <si>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</si>
  <si>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</si>
  <si>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</si>
  <si>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</si>
  <si>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</si>
  <si>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</si>
  <si>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</si>
  <si>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</si>
  <si>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</si>
  <si>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</si>
  <si>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</si>
  <si>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</si>
  <si>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</si>
  <si>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</si>
  <si>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</si>
  <si>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</si>
  <si>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</si>
  <si>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</si>
  <si>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</si>
  <si>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</si>
  <si>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</si>
  <si>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</si>
  <si>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</si>
  <si>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</si>
  <si>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</si>
  <si>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</si>
  <si>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</si>
  <si>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</si>
  <si>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</si>
  <si>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</si>
  <si>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</si>
  <si>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</si>
  <si>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</si>
  <si>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</si>
  <si>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</si>
  <si>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</si>
  <si>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</si>
  <si>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</si>
  <si>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</si>
  <si>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</si>
  <si>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</si>
  <si>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</si>
  <si>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</si>
  <si>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</si>
  <si>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</si>
  <si>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</si>
  <si>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</si>
  <si>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</si>
  <si>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</si>
  <si>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</si>
  <si>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</si>
  <si>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</si>
  <si>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</si>
  <si>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</si>
  <si>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</si>
  <si>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</si>
  <si>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</si>
  <si>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</si>
  <si>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</si>
  <si>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</si>
  <si>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</si>
  <si>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</si>
  <si>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</si>
  <si>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</si>
  <si>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</si>
  <si>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</si>
  <si>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</si>
  <si>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</si>
  <si>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</si>
  <si>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</si>
  <si>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</si>
  <si>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</si>
  <si>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</si>
  <si>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</si>
  <si>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</si>
  <si>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</si>
  <si>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</si>
  <si>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</si>
  <si>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</si>
  <si>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</si>
  <si>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</si>
  <si>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</si>
  <si>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</si>
  <si>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</si>
  <si>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</si>
  <si>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</si>
  <si>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</si>
  <si>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</si>
  <si>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</si>
  <si>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</si>
  <si>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</si>
  <si>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</si>
  <si>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</si>
  <si>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</si>
  <si>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</si>
  <si>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</si>
  <si>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</si>
  <si>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</si>
  <si>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</si>
  <si>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</si>
  <si>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</si>
  <si>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</si>
  <si>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</si>
  <si>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</si>
  <si>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</si>
  <si>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</si>
  <si>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</si>
  <si>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</si>
  <si>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</si>
  <si>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</si>
  <si>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</si>
  <si>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</si>
  <si>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</si>
  <si>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</si>
  <si>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</si>
  <si>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</si>
  <si>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</si>
  <si>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</si>
  <si>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</si>
  <si>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</si>
  <si>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</si>
  <si>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</si>
  <si>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</si>
  <si>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</si>
  <si>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</si>
  <si>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</si>
  <si>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</si>
  <si>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</si>
  <si>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</si>
  <si>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</si>
  <si>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</si>
  <si>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</si>
  <si>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</si>
  <si>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</si>
  <si>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</si>
  <si>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</si>
  <si>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</si>
  <si>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</si>
  <si>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</si>
  <si>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</si>
  <si>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</si>
  <si>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</si>
  <si>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</si>
  <si>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</si>
  <si>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</si>
  <si>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</si>
  <si>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</si>
  <si>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</si>
  <si>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</si>
  <si>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</si>
  <si>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</si>
  <si>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</si>
  <si>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</si>
  <si>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</si>
  <si>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</si>
  <si>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</si>
  <si>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</si>
  <si>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</si>
  <si>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</si>
  <si>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</si>
  <si>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</si>
  <si>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</si>
  <si>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</si>
  <si>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</si>
  <si>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</si>
  <si>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</si>
  <si>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</si>
  <si>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</si>
  <si>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</si>
  <si>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</si>
  <si>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</si>
  <si>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</si>
  <si>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</si>
  <si>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</si>
  <si>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</si>
  <si>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</si>
  <si>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</si>
  <si>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</si>
  <si>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</si>
  <si>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</si>
  <si>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</si>
  <si>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</si>
  <si>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</si>
  <si>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</si>
  <si>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</si>
  <si>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</si>
  <si>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</si>
  <si>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</si>
  <si>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</si>
  <si>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</si>
  <si>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</si>
  <si>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</si>
  <si>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</si>
  <si>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</si>
  <si>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</si>
  <si>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</si>
  <si>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</si>
  <si>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</si>
  <si>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</si>
  <si>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</si>
  <si>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</si>
  <si>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</si>
  <si>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</si>
  <si>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</si>
  <si>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</si>
  <si>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</si>
  <si>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</si>
  <si>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</si>
  <si>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</si>
  <si>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</si>
  <si>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</si>
  <si>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</si>
  <si>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</si>
  <si>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</si>
  <si>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</si>
  <si>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</si>
  <si>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</si>
  <si>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</si>
  <si>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</si>
  <si>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</si>
  <si>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</si>
  <si>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</si>
  <si>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</si>
  <si>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</si>
  <si>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</si>
  <si>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</si>
  <si>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</si>
  <si>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</si>
  <si>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</si>
  <si>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</si>
  <si>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</si>
  <si>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</si>
  <si>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</si>
  <si>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</si>
  <si>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</si>
  <si>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</si>
  <si>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</si>
  <si>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</si>
  <si>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</si>
  <si>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</si>
  <si>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</si>
  <si>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</si>
  <si>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</si>
  <si>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</si>
  <si>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</si>
  <si>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</si>
  <si>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</si>
  <si>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</si>
  <si>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</si>
  <si>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</si>
  <si>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</si>
  <si>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</si>
  <si>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</si>
  <si>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</si>
  <si>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</si>
  <si>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</si>
  <si>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</si>
  <si>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</si>
  <si>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</si>
  <si>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</si>
  <si>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</si>
  <si>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</si>
  <si>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</si>
  <si>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</si>
  <si>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</si>
  <si>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</si>
  <si>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</si>
  <si>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</si>
  <si>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</si>
  <si>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</si>
  <si>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</si>
  <si>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</si>
  <si>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</si>
  <si>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</si>
  <si>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</si>
  <si>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</si>
  <si>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</si>
  <si>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</si>
  <si>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</si>
  <si>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</si>
  <si>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</si>
  <si>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</si>
  <si>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</si>
  <si>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</si>
  <si>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</si>
  <si>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</si>
  <si>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</si>
  <si>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</si>
  <si>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</si>
  <si>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</si>
  <si>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</si>
  <si>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</si>
  <si>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</si>
  <si>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</si>
  <si>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</si>
  <si>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</si>
  <si>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</si>
  <si>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</si>
  <si>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</si>
  <si>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</si>
  <si>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</si>
  <si>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</si>
  <si>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</si>
  <si>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</si>
  <si>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</si>
  <si>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</si>
  <si>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</si>
  <si>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</si>
  <si>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</si>
  <si>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</si>
  <si>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</si>
  <si>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</si>
  <si>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</si>
  <si>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</si>
  <si>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</si>
  <si>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</si>
  <si>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</si>
  <si>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</si>
  <si>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</si>
  <si>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</si>
  <si>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</si>
  <si>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</si>
  <si>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</si>
  <si>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</si>
  <si>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</si>
  <si>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</si>
  <si>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</si>
  <si>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</si>
  <si>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</si>
  <si>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</si>
  <si>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</si>
  <si>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</si>
  <si>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</si>
  <si>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</si>
  <si>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</si>
  <si>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</si>
  <si>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</si>
  <si>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</si>
  <si>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</si>
  <si>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</si>
  <si>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</si>
  <si>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</si>
  <si>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</si>
  <si>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</si>
  <si>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</si>
  <si>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</si>
  <si>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</si>
  <si>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</si>
  <si>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</si>
  <si>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</si>
  <si>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</si>
  <si>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</si>
  <si>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</si>
  <si>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</si>
  <si>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</si>
  <si>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</si>
  <si>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</si>
  <si>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</si>
  <si>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</si>
  <si>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</si>
  <si>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</si>
  <si>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</si>
  <si>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</si>
  <si>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</si>
  <si>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</si>
  <si>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</si>
  <si>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</si>
  <si>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</si>
  <si>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</si>
  <si>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</si>
  <si>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</si>
  <si>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</si>
  <si>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</si>
  <si>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</si>
  <si>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</si>
  <si>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</si>
  <si>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</si>
  <si>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</si>
  <si>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</si>
  <si>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</si>
  <si>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</si>
  <si>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</si>
  <si>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</si>
  <si>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</si>
  <si>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</si>
  <si>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</si>
  <si>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</si>
  <si>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</si>
  <si>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</si>
  <si>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</si>
  <si>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</si>
  <si>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</si>
  <si>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</si>
  <si>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</si>
  <si>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</si>
  <si>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</si>
  <si>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</si>
  <si>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</si>
  <si>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</si>
  <si>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</si>
  <si>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</si>
  <si>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</si>
  <si>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</si>
  <si>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</si>
  <si>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</si>
  <si>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</si>
  <si>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</si>
  <si>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</si>
  <si>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</si>
  <si>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</si>
  <si>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</si>
  <si>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</si>
  <si>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</si>
  <si>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</si>
  <si>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</si>
  <si>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</si>
  <si>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</si>
  <si>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</si>
  <si>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</si>
  <si>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</si>
  <si>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</si>
  <si>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</si>
  <si>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</si>
  <si>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</si>
  <si>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</si>
  <si>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</si>
  <si>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</si>
  <si>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</si>
  <si>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</si>
  <si>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</si>
  <si>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</si>
  <si>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</si>
  <si>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</si>
  <si>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</si>
  <si>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</si>
  <si>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</si>
  <si>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</si>
  <si>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</si>
  <si>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</si>
  <si>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</si>
  <si>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</si>
  <si>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</si>
  <si>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</si>
  <si>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</si>
  <si>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</si>
  <si>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</si>
  <si>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</si>
  <si>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</si>
  <si>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</si>
  <si>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</si>
  <si>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</si>
  <si>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</si>
  <si>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</si>
  <si>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</si>
  <si>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</si>
  <si>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</si>
  <si>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</si>
  <si>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</si>
  <si>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</si>
  <si>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</si>
  <si>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</si>
  <si>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</si>
  <si>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</si>
  <si>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</si>
  <si>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</si>
  <si>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</si>
  <si>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</si>
  <si>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</si>
  <si>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</si>
  <si>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</si>
  <si>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</si>
  <si>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</si>
  <si>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</si>
  <si>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</si>
  <si>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</si>
  <si>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</si>
  <si>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</si>
  <si>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</si>
  <si>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</si>
  <si>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</si>
  <si>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</si>
  <si>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</si>
  <si>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</si>
  <si>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</si>
  <si>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</si>
  <si>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</si>
  <si>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</si>
  <si>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</si>
  <si>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</si>
  <si>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</si>
  <si>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</si>
  <si>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</si>
  <si>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</si>
  <si>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</si>
  <si>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</si>
  <si>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</si>
  <si>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</si>
  <si>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</si>
  <si>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</si>
  <si>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</si>
  <si>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</si>
  <si>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</si>
  <si>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</si>
  <si>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</si>
  <si>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</si>
  <si>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</si>
  <si>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</si>
  <si>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</si>
  <si>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</si>
  <si>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</si>
  <si>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</si>
  <si>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</si>
  <si>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</si>
  <si>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</si>
  <si>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</si>
  <si>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</si>
  <si>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</si>
  <si>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</si>
  <si>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</si>
  <si>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</si>
  <si>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</si>
  <si>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</si>
  <si>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</si>
  <si>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</si>
  <si>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</si>
  <si>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</si>
  <si>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</si>
  <si>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</si>
  <si>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</si>
  <si>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</si>
  <si>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</si>
  <si>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</si>
  <si>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</si>
  <si>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</si>
  <si>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</si>
  <si>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</si>
  <si>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</si>
  <si>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</si>
  <si>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</si>
  <si>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</si>
  <si>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</si>
  <si>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</si>
  <si>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</si>
  <si>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</si>
  <si>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</si>
  <si>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</si>
  <si>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</si>
  <si>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</si>
  <si>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</si>
  <si>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</si>
  <si>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</si>
  <si>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</si>
  <si>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</si>
  <si>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</si>
  <si>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</si>
  <si>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</si>
  <si>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</si>
  <si>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</si>
  <si>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</si>
  <si>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</si>
  <si>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</si>
  <si>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</si>
  <si>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</si>
  <si>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</si>
  <si>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</si>
  <si>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</si>
  <si>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</si>
  <si>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</si>
  <si>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</si>
  <si>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</si>
  <si>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</si>
  <si>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</si>
  <si>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</si>
  <si>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</si>
  <si>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</si>
  <si>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</si>
  <si>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</si>
  <si>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</si>
  <si>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</si>
  <si>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</si>
  <si>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</si>
  <si>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</si>
  <si>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</si>
  <si>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</si>
  <si>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</si>
  <si>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</si>
  <si>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</si>
  <si>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</si>
  <si>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</si>
  <si>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</si>
  <si>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</si>
  <si>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</si>
  <si>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</si>
  <si>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</si>
  <si>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</si>
  <si>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</si>
  <si>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</si>
  <si>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</si>
  <si>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</si>
  <si>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</si>
  <si>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</si>
  <si>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</si>
  <si>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</si>
  <si>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</si>
  <si>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</si>
  <si>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</si>
  <si>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</si>
  <si>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</si>
  <si>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</si>
  <si>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</si>
  <si>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</si>
  <si>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</si>
  <si>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</si>
  <si>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</si>
  <si>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</si>
  <si>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</si>
  <si>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</si>
  <si>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</si>
  <si>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</si>
  <si>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</si>
  <si>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</si>
  <si>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</si>
  <si>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</si>
  <si>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</si>
  <si>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</si>
  <si>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</si>
  <si>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</si>
  <si>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</si>
  <si>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</si>
  <si>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</si>
  <si>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</si>
  <si>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</si>
  <si>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</si>
  <si>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</si>
  <si>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</si>
  <si>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</si>
  <si>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</si>
  <si>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</si>
  <si>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</si>
  <si>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</si>
  <si>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</si>
  <si>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</si>
  <si>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</si>
  <si>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</si>
  <si>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</si>
  <si>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</si>
  <si>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</si>
  <si>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</si>
  <si>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</si>
  <si>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</si>
  <si>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</si>
  <si>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</si>
  <si>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</si>
  <si>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</si>
  <si>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</si>
  <si>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</si>
  <si>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</si>
  <si>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</si>
  <si>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</si>
  <si>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</si>
  <si>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</si>
  <si>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</si>
  <si>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</si>
  <si>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</si>
  <si>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</si>
  <si>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</si>
  <si>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</si>
  <si>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</si>
  <si>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</si>
  <si>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</si>
  <si>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</si>
  <si>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</si>
  <si>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</si>
  <si>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</si>
  <si>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</si>
  <si>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</si>
  <si>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</si>
  <si>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</si>
  <si>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</si>
  <si>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</si>
  <si>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</si>
  <si>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</si>
  <si>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</si>
  <si>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</si>
  <si>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</si>
  <si>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</si>
  <si>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</si>
  <si>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</si>
  <si>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</si>
  <si>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</si>
  <si>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</si>
  <si>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</si>
  <si>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</si>
  <si>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</si>
  <si>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</si>
  <si>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</si>
  <si>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</si>
  <si>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</si>
  <si>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</si>
  <si>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</si>
  <si>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</si>
  <si>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</si>
  <si>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</si>
  <si>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</si>
  <si>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</si>
  <si>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</si>
  <si>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</si>
  <si>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</si>
  <si>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</si>
  <si>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</si>
  <si>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</si>
  <si>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</si>
  <si>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</si>
  <si>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</si>
  <si>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</si>
  <si>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</si>
  <si>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</si>
  <si>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</si>
  <si>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</si>
  <si>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</si>
  <si>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</si>
  <si>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</si>
  <si>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</si>
  <si>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</si>
  <si>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</si>
  <si>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</si>
  <si>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</si>
  <si>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</si>
  <si>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</si>
  <si>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</si>
  <si>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</si>
  <si>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</si>
  <si>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</si>
  <si>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</si>
  <si>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</si>
  <si>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</si>
  <si>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</si>
  <si>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</si>
  <si>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</si>
  <si>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</si>
  <si>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</si>
  <si>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</si>
  <si>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</si>
  <si>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</si>
  <si>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</si>
  <si>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</si>
  <si>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</si>
  <si>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</si>
  <si>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</si>
  <si>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</si>
  <si>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</si>
  <si>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</si>
  <si>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</si>
  <si>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</si>
  <si>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</si>
  <si>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</si>
  <si>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</si>
  <si>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</si>
  <si>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</si>
  <si>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</si>
  <si>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</si>
  <si>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</si>
  <si>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</si>
  <si>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</si>
  <si>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</si>
  <si>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</si>
  <si>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</si>
  <si>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</si>
  <si>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</si>
  <si>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</si>
  <si>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</si>
  <si>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</si>
  <si>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</si>
  <si>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</si>
  <si>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</si>
  <si>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</si>
  <si>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</si>
  <si>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</si>
  <si>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</si>
  <si>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</si>
  <si>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</si>
  <si>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</si>
  <si>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</si>
  <si>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</si>
  <si>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</si>
  <si>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</si>
  <si>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</si>
  <si>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</si>
  <si>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</si>
  <si>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</si>
  <si>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</si>
  <si>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</si>
  <si>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</si>
  <si>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</si>
  <si>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</si>
  <si>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</si>
  <si>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</si>
  <si>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</si>
  <si>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</si>
  <si>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</si>
  <si>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</si>
  <si>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</si>
  <si>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</si>
  <si>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</si>
  <si>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</si>
  <si>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</si>
  <si>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</si>
  <si>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</si>
  <si>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</si>
  <si>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</si>
  <si>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</si>
  <si>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</si>
  <si>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</si>
  <si>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</si>
  <si>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</si>
  <si>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</si>
  <si>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</si>
  <si>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</si>
  <si>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</si>
  <si>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</si>
  <si>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</si>
  <si>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</si>
  <si>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</si>
  <si>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</si>
  <si>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</si>
  <si>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</si>
  <si>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</si>
  <si>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</si>
  <si>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</si>
  <si>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</si>
  <si>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</si>
  <si>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</si>
  <si>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</si>
  <si>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</si>
  <si>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</si>
  <si>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</si>
  <si>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</si>
  <si>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</si>
  <si>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</si>
  <si>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</si>
  <si>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</si>
  <si>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</si>
  <si>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</si>
  <si>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</si>
  <si>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</si>
  <si>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</si>
  <si>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</si>
  <si>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</si>
  <si>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</si>
  <si>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</si>
  <si>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</si>
  <si>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</si>
  <si>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</si>
  <si>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</si>
  <si>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</si>
  <si>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</si>
  <si>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</si>
  <si>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</si>
  <si>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</si>
  <si>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</si>
  <si>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</si>
  <si>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</si>
  <si>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</si>
  <si>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</si>
  <si>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</si>
  <si>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</si>
  <si>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</si>
  <si>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</si>
  <si>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</si>
  <si>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</si>
  <si>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</si>
  <si>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</si>
  <si>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</si>
  <si>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</si>
  <si>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</si>
  <si>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</si>
  <si>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</si>
  <si>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</si>
  <si>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</si>
  <si>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</si>
  <si>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</si>
  <si>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</si>
  <si>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</si>
  <si>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</si>
  <si>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</si>
  <si>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</si>
  <si>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</si>
  <si>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</si>
  <si>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</si>
  <si>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</si>
  <si>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</si>
  <si>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</si>
  <si>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</si>
  <si>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</si>
  <si>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</si>
  <si>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</si>
  <si>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</si>
  <si>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</si>
  <si>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</si>
  <si>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</si>
  <si>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</si>
  <si>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</si>
  <si>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</si>
  <si>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</si>
  <si>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</si>
  <si>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</si>
  <si>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</si>
  <si>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</si>
  <si>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</si>
  <si>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</si>
  <si>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</si>
  <si>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</si>
  <si>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</si>
  <si>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</si>
  <si>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</si>
  <si>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</si>
  <si>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</si>
  <si>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</si>
  <si>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</si>
  <si>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</si>
  <si>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</si>
  <si>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</si>
  <si>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</si>
  <si>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</si>
  <si>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</si>
  <si>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</si>
  <si>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</si>
  <si>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</si>
  <si>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</si>
  <si>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</si>
  <si>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</si>
  <si>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</si>
  <si>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</si>
  <si>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</si>
  <si>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</si>
  <si>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</si>
  <si>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</si>
  <si>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</si>
  <si>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</si>
  <si>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</si>
  <si>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</si>
  <si>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</si>
  <si>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</si>
  <si>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</si>
  <si>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</si>
  <si>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</si>
  <si>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</si>
  <si>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</si>
  <si>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</si>
  <si>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</si>
  <si>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</si>
  <si>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</si>
  <si>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</si>
  <si>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</si>
  <si>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</si>
  <si>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</si>
  <si>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</si>
  <si>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</si>
  <si>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</si>
  <si>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</si>
  <si>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</si>
  <si>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</si>
  <si>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</si>
  <si>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</si>
  <si>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</si>
  <si>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</si>
  <si>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</si>
  <si>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</si>
  <si>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</si>
  <si>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</si>
  <si>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</si>
  <si>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</si>
  <si>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</si>
  <si>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</si>
  <si>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</si>
  <si>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</si>
  <si>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</si>
  <si>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</si>
  <si>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</si>
  <si>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</si>
  <si>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</si>
  <si>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</si>
  <si>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</si>
  <si>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</si>
  <si>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</si>
  <si>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</si>
  <si>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</si>
  <si>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</si>
  <si>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</si>
  <si>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</si>
  <si>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</si>
  <si>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</si>
  <si>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</si>
  <si>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</si>
  <si>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</si>
  <si>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</si>
  <si>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</si>
  <si>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</si>
  <si>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</si>
  <si>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</si>
  <si>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</si>
  <si>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</si>
  <si>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</si>
  <si>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</si>
  <si>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</si>
  <si>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</si>
  <si>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</si>
  <si>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</si>
  <si>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</si>
  <si>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</si>
  <si>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</si>
  <si>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</si>
  <si>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</si>
  <si>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</si>
  <si>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</si>
  <si>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</si>
  <si>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</si>
  <si>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</si>
  <si>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</si>
  <si>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</si>
  <si>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</si>
  <si>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</si>
  <si>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</si>
  <si>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</si>
  <si>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</si>
  <si>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</si>
  <si>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</si>
  <si>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</si>
  <si>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</si>
  <si>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</si>
  <si>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</si>
  <si>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</si>
  <si>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</si>
  <si>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</si>
  <si>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</si>
  <si>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</si>
  <si>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</si>
  <si>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</si>
  <si>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</si>
  <si>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</si>
  <si>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</si>
  <si>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</si>
  <si>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</si>
  <si>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</si>
  <si>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</si>
  <si>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</si>
  <si>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</si>
  <si>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</si>
  <si>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</si>
  <si>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</si>
  <si>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</si>
  <si>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</si>
  <si>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6002</t>
  </si>
  <si>
    <t>6013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</si>
  <si>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</si>
  <si>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</si>
  <si>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</si>
  <si>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</si>
  <si>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</si>
  <si>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</si>
  <si>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</si>
  <si>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</si>
  <si>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</si>
  <si>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6113</t>
  </si>
  <si>
    <t>6114</t>
  </si>
  <si>
    <t>6115</t>
  </si>
  <si>
    <t>6116</t>
  </si>
  <si>
    <t>6117</t>
  </si>
  <si>
    <t>6118</t>
  </si>
  <si>
    <t>6119</t>
  </si>
  <si>
    <t>6120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</si>
  <si>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</si>
  <si>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</si>
  <si>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</si>
  <si>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</si>
  <si>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</si>
  <si>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</si>
  <si>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</si>
  <si>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</si>
  <si>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</si>
  <si>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</si>
  <si>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</si>
  <si>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</si>
  <si>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</si>
  <si>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</si>
  <si>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</si>
  <si>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</si>
  <si>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</si>
  <si>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</si>
  <si>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</si>
  <si>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</si>
  <si>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</si>
  <si>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</si>
  <si>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</si>
  <si>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</si>
  <si>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</si>
  <si>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</si>
  <si>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</si>
  <si>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</si>
  <si>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</si>
  <si>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</si>
  <si>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</si>
  <si>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</si>
  <si>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</si>
  <si>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</si>
  <si>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</si>
  <si>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</si>
  <si>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</si>
  <si>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</si>
  <si>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</si>
  <si>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</si>
  <si>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</si>
  <si>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</si>
  <si>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</si>
  <si>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</si>
  <si>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</si>
  <si>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</si>
  <si>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</si>
  <si>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</si>
  <si>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</si>
  <si>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</si>
  <si>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</si>
  <si>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</si>
  <si>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</si>
  <si>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</si>
  <si>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</si>
  <si>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</si>
  <si>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</si>
  <si>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</si>
  <si>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</si>
  <si>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</si>
  <si>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</si>
  <si>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</si>
  <si>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</si>
  <si>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</si>
  <si>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</si>
  <si>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</si>
  <si>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</si>
  <si>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</si>
  <si>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</si>
  <si>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</si>
  <si>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</si>
  <si>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</si>
  <si>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</si>
  <si>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</si>
  <si>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</si>
  <si>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</si>
  <si>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</si>
  <si>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</si>
  <si>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</si>
  <si>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</si>
  <si>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</si>
  <si>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</si>
  <si>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</si>
  <si>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</si>
  <si>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</si>
  <si>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</si>
  <si>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</si>
  <si>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</si>
  <si>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</si>
  <si>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</si>
  <si>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</si>
  <si>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</si>
  <si>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</si>
  <si>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</si>
  <si>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</si>
  <si>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</si>
  <si>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</si>
  <si>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</si>
  <si>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</si>
  <si>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</si>
  <si>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</si>
  <si>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</si>
  <si>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</si>
  <si>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</si>
  <si>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</si>
  <si>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</si>
  <si>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</si>
  <si>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</si>
  <si>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</si>
  <si>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</si>
  <si>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</si>
  <si>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</si>
  <si>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</si>
  <si>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</si>
  <si>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</si>
  <si>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</si>
  <si>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</si>
  <si>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</si>
  <si>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</si>
  <si>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</si>
  <si>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</si>
  <si>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</si>
  <si>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</si>
  <si>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</si>
  <si>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</si>
  <si>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</si>
  <si>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</si>
  <si>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</si>
  <si>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</si>
  <si>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</si>
  <si>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</si>
  <si>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</si>
  <si>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</si>
  <si>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</si>
  <si>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</si>
  <si>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</si>
  <si>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</si>
  <si>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</si>
  <si>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</si>
  <si>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</si>
  <si>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</si>
  <si>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</si>
  <si>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</si>
  <si>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</si>
  <si>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</si>
  <si>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</si>
  <si>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</si>
  <si>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</si>
  <si>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</si>
  <si>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</si>
  <si>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</si>
  <si>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</si>
  <si>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</si>
  <si>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</si>
  <si>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</si>
  <si>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</si>
  <si>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</si>
  <si>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</si>
  <si>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</si>
  <si>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</si>
  <si>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</si>
  <si>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</si>
  <si>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</si>
  <si>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</si>
  <si>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</si>
  <si>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</si>
  <si>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</si>
  <si>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</si>
  <si>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</si>
  <si>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</si>
  <si>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</si>
  <si>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</si>
  <si>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</si>
  <si>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</si>
  <si>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</si>
  <si>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</si>
  <si>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</si>
  <si>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</si>
  <si>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</si>
  <si>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</si>
  <si>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</si>
  <si>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</si>
  <si>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</si>
  <si>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</si>
  <si>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</si>
  <si>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</si>
  <si>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</si>
  <si>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</si>
  <si>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</si>
  <si>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</si>
  <si>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</si>
  <si>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</si>
  <si>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</si>
  <si>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</si>
  <si>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</si>
  <si>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</si>
  <si>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</si>
  <si>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</si>
  <si>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</si>
  <si>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</si>
  <si>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</si>
  <si>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</si>
  <si>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</si>
  <si>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</si>
  <si>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</si>
  <si>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</si>
  <si>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</si>
  <si>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</si>
  <si>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</si>
  <si>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</si>
  <si>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</si>
  <si>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</si>
  <si>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</si>
  <si>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</si>
  <si>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</si>
  <si>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</si>
  <si>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</si>
  <si>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</si>
  <si>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</si>
  <si>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</si>
  <si>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</si>
  <si>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</si>
  <si>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</si>
  <si>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</si>
  <si>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</si>
  <si>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</si>
  <si>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</si>
  <si>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</si>
  <si>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</si>
  <si>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</si>
  <si>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</si>
  <si>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</si>
  <si>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</si>
  <si>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</si>
  <si>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</si>
  <si>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</si>
  <si>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</si>
  <si>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</si>
  <si>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</si>
  <si>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</si>
  <si>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</si>
  <si>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</si>
  <si>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</si>
  <si>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</si>
  <si>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</si>
  <si>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</si>
  <si>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</si>
  <si>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</si>
  <si>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</si>
  <si>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</si>
  <si>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</si>
  <si>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</si>
  <si>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</si>
  <si>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</si>
  <si>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</si>
  <si>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</si>
  <si>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</si>
  <si>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</si>
  <si>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</si>
  <si>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</si>
  <si>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</si>
  <si>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</si>
  <si>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</si>
  <si>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</si>
  <si>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</si>
  <si>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</si>
  <si>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</si>
  <si>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</si>
  <si>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</si>
  <si>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</si>
  <si>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</si>
  <si>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</si>
  <si>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</si>
  <si>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</si>
  <si>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</si>
  <si>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</si>
  <si>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</si>
  <si>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</si>
  <si>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</si>
  <si>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</si>
  <si>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</si>
  <si>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</si>
  <si>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</si>
  <si>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</si>
  <si>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</si>
  <si>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</si>
  <si>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</si>
  <si>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</si>
  <si>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</si>
  <si>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</si>
  <si>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</si>
  <si>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</si>
  <si>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</si>
  <si>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</si>
  <si>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</si>
  <si>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</si>
  <si>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</si>
  <si>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</si>
  <si>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</si>
  <si>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</si>
  <si>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</si>
  <si>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</si>
  <si>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</si>
  <si>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</si>
  <si>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</si>
  <si>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</si>
  <si>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</si>
  <si>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</si>
  <si>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</si>
  <si>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</si>
  <si>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</si>
  <si>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</si>
  <si>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</si>
  <si>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</si>
  <si>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</si>
  <si>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</si>
  <si>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</si>
  <si>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</si>
  <si>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</si>
  <si>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</si>
  <si>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</si>
  <si>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</si>
  <si>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</si>
  <si>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</si>
  <si>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</si>
  <si>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</si>
  <si>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</si>
  <si>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</si>
  <si>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</si>
  <si>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</si>
  <si>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</si>
  <si>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</si>
  <si>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</si>
  <si>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</si>
  <si>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</si>
  <si>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</si>
  <si>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</si>
  <si>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</si>
  <si>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</si>
  <si>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</si>
  <si>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</si>
  <si>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</si>
  <si>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</si>
  <si>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</si>
  <si>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</si>
  <si>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</si>
  <si>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</si>
  <si>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</si>
  <si>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</si>
  <si>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</si>
  <si>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</si>
  <si>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</si>
  <si>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</si>
  <si>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</si>
  <si>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</si>
  <si>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</si>
  <si>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</si>
  <si>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</si>
  <si>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</si>
  <si>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</si>
  <si>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</si>
  <si>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</si>
  <si>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</si>
  <si>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</si>
  <si>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</si>
  <si>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</si>
  <si>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</si>
  <si>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</si>
  <si>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</si>
  <si>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</si>
  <si>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</si>
  <si>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</si>
  <si>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</si>
  <si>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</si>
  <si>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</si>
  <si>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</si>
  <si>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</si>
  <si>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</si>
  <si>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</si>
  <si>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</si>
  <si>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</si>
  <si>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</si>
  <si>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</si>
  <si>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</si>
  <si>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</si>
  <si>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</si>
  <si>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</si>
  <si>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</si>
  <si>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</si>
  <si>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</si>
  <si>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</si>
  <si>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</si>
  <si>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</si>
  <si>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</si>
  <si>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</si>
  <si>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</si>
  <si>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</si>
  <si>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</si>
  <si>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</si>
  <si>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</si>
  <si>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</si>
  <si>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</si>
  <si>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</si>
  <si>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</si>
  <si>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</si>
  <si>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</si>
  <si>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</si>
  <si>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</si>
  <si>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</si>
  <si>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</si>
  <si>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</si>
  <si>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</si>
  <si>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</si>
  <si>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</si>
  <si>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</si>
  <si>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</si>
  <si>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</si>
  <si>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</si>
  <si>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</si>
  <si>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</si>
  <si>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</si>
  <si>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</si>
  <si>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</si>
  <si>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</si>
  <si>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</si>
  <si>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</si>
  <si>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</si>
  <si>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</si>
  <si>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</si>
  <si>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</si>
  <si>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</si>
  <si>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</si>
  <si>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</si>
  <si>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</si>
  <si>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</si>
  <si>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</si>
  <si>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</si>
  <si>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</si>
  <si>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</si>
  <si>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</si>
  <si>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</si>
  <si>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</si>
  <si>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</si>
  <si>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</si>
  <si>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</si>
  <si>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</si>
  <si>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</si>
  <si>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</si>
  <si>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</si>
  <si>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</si>
  <si>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</si>
  <si>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</si>
  <si>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</si>
  <si>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</si>
  <si>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</si>
  <si>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</si>
  <si>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</si>
  <si>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</si>
  <si>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</si>
  <si>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</si>
  <si>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</si>
  <si>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</si>
  <si>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</si>
  <si>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</si>
  <si>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</si>
  <si>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</si>
  <si>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</si>
  <si>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</si>
  <si>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</si>
  <si>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</si>
  <si>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</si>
  <si>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</si>
  <si>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</si>
  <si>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</si>
  <si>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</si>
  <si>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</si>
  <si>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</si>
  <si>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</si>
  <si>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</si>
  <si>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</si>
  <si>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</si>
  <si>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</si>
  <si>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</si>
  <si>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</si>
  <si>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</si>
  <si>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</si>
  <si>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</si>
  <si>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</si>
  <si>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</si>
  <si>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</si>
  <si>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</si>
  <si>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</si>
  <si>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</si>
  <si>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</si>
  <si>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</si>
  <si>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</si>
  <si>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</si>
  <si>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</si>
  <si>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</si>
  <si>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</si>
  <si>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</si>
  <si>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</si>
  <si>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</si>
  <si>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</si>
  <si>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</si>
  <si>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</si>
  <si>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</si>
  <si>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</si>
  <si>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</si>
  <si>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</si>
  <si>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</si>
  <si>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</si>
  <si>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</si>
  <si>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</si>
  <si>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</si>
  <si>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</si>
  <si>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</si>
  <si>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</si>
  <si>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</si>
  <si>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</si>
  <si>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</si>
  <si>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</si>
  <si>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</si>
  <si>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</si>
  <si>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</si>
  <si>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</si>
  <si>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</si>
  <si>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</si>
  <si>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</si>
  <si>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</si>
  <si>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</si>
  <si>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</si>
  <si>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</si>
  <si>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</si>
  <si>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</si>
  <si>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</si>
  <si>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</si>
  <si>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</si>
  <si>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</si>
  <si>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</si>
  <si>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</si>
  <si>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</si>
  <si>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</si>
  <si>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</si>
  <si>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</si>
  <si>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</si>
  <si>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</si>
  <si>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</si>
  <si>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</si>
  <si>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</si>
  <si>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</si>
  <si>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</si>
  <si>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</si>
  <si>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</si>
  <si>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</si>
  <si>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</si>
  <si>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</si>
  <si>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</si>
  <si>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</si>
  <si>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</si>
  <si>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</si>
  <si>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</si>
  <si>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</si>
  <si>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</si>
  <si>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</si>
  <si>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</si>
  <si>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</si>
  <si>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</si>
  <si>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</si>
  <si>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</si>
  <si>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</si>
  <si>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</si>
  <si>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</si>
  <si>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</si>
  <si>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</si>
  <si>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</si>
  <si>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</si>
  <si>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</si>
  <si>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</si>
  <si>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</si>
  <si>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</si>
  <si>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</si>
  <si>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</si>
  <si>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</si>
  <si>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</si>
  <si>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</si>
  <si>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</si>
  <si>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</si>
  <si>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</si>
  <si>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</si>
  <si>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</si>
  <si>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</si>
  <si>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</si>
  <si>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</si>
  <si>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</si>
  <si>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</si>
  <si>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</si>
  <si>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</si>
  <si>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</si>
  <si>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</si>
  <si>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</si>
  <si>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</si>
  <si>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</si>
  <si>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</si>
  <si>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</si>
  <si>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</si>
  <si>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</si>
  <si>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</si>
  <si>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</si>
  <si>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6801</t>
  </si>
  <si>
    <t>6802</t>
  </si>
  <si>
    <t>6803</t>
  </si>
  <si>
    <t>6804</t>
  </si>
  <si>
    <t>6805</t>
  </si>
  <si>
    <t>6806</t>
  </si>
  <si>
    <t>6807</t>
  </si>
  <si>
    <t>6808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</si>
  <si>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</si>
  <si>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</si>
  <si>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</si>
  <si>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</si>
  <si>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</si>
  <si>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</si>
  <si>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</si>
  <si>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</si>
  <si>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</si>
  <si>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</si>
  <si>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</si>
  <si>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</si>
  <si>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</si>
  <si>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</si>
  <si>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</si>
  <si>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</si>
  <si>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</si>
  <si>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6828</t>
  </si>
  <si>
    <t>6829</t>
  </si>
  <si>
    <t>6832</t>
  </si>
  <si>
    <t>6833</t>
  </si>
  <si>
    <t>6834</t>
  </si>
  <si>
    <t>6835</t>
  </si>
  <si>
    <t>6836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</si>
  <si>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</si>
  <si>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</si>
  <si>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</si>
  <si>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</si>
  <si>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</si>
  <si>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</si>
  <si>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</si>
  <si>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</si>
  <si>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</si>
  <si>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</si>
  <si>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</si>
  <si>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</si>
  <si>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</si>
  <si>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</si>
  <si>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6866</t>
  </si>
  <si>
    <t>6867</t>
  </si>
  <si>
    <t>6868</t>
  </si>
  <si>
    <t>6869</t>
  </si>
  <si>
    <t>6870</t>
  </si>
  <si>
    <t>6871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</si>
  <si>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</si>
  <si>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</si>
  <si>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</si>
  <si>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</si>
  <si>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</si>
  <si>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</si>
  <si>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</si>
  <si>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</si>
  <si>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</si>
  <si>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</si>
  <si>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</si>
  <si>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</si>
  <si>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</si>
  <si>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</si>
  <si>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</si>
  <si>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</si>
  <si>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</si>
  <si>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</si>
  <si>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</si>
  <si>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6893</t>
  </si>
  <si>
    <t>6894</t>
  </si>
  <si>
    <t>6895</t>
  </si>
  <si>
    <t>6896</t>
  </si>
  <si>
    <t>6897</t>
  </si>
  <si>
    <t>6898</t>
  </si>
  <si>
    <t>6899</t>
  </si>
  <si>
    <t>6908</t>
  </si>
  <si>
    <t>6927</t>
  </si>
  <si>
    <t>6928</t>
  </si>
  <si>
    <t>6930</t>
  </si>
  <si>
    <t>6937</t>
  </si>
  <si>
    <t>6938</t>
  </si>
  <si>
    <t>6940</t>
  </si>
  <si>
    <t>6948</t>
  </si>
  <si>
    <t>6949</t>
  </si>
  <si>
    <t>6950</t>
  </si>
  <si>
    <t>6962</t>
  </si>
  <si>
    <t>6971</t>
  </si>
  <si>
    <t>6972</t>
  </si>
  <si>
    <t>6973</t>
  </si>
  <si>
    <t>6974</t>
  </si>
  <si>
    <t>6975</t>
  </si>
  <si>
    <t>6976</t>
  </si>
  <si>
    <t>6977</t>
  </si>
  <si>
    <t>6978</t>
  </si>
  <si>
    <t>6980</t>
  </si>
  <si>
    <t>6993</t>
  </si>
  <si>
    <t>6994</t>
  </si>
  <si>
    <t>6995</t>
  </si>
  <si>
    <t>6996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</si>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</sst>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.00_ ;[Red]\-#,##0.00\ "/>
  </numFmts>
  <fonts count="3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26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8"/>
      <name val="宋体"/>
      <charset val="134"/>
      <scheme val="minor"/>
    </font>
    <font>
      <sz val="36"/>
      <name val="宋体"/>
      <charset val="134"/>
      <scheme val="minor"/>
    </font>
    <font>
      <sz val="22"/>
      <name val="宋体"/>
      <charset val="134"/>
      <scheme val="minor"/>
    </font>
    <font>
      <sz val="11"/>
      <name val="Calibri"/>
      <charset val="134"/>
    </font>
    <font>
      <sz val="14"/>
      <name val="quote-cjk-patch"/>
      <charset val="134"/>
    </font>
    <font>
      <b/>
      <sz val="12"/>
      <color rgb="FFFFFFFF"/>
      <name val="微软雅黑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CD9DFD"/>
        <bgColor indexed="64"/>
      </patternFill>
    </fill>
    <fill>
      <patternFill patternType="solid">
        <fgColor rgb="FFFFCC65"/>
        <bgColor indexed="64"/>
      </patternFill>
    </fill>
    <fill>
      <patternFill patternType="solid">
        <fgColor rgb="FFB4C5FA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0E7E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E7E80"/>
      </left>
      <right style="thin">
        <color rgb="FF0E7E80"/>
      </right>
      <top style="thin">
        <color rgb="FF0E7E80"/>
      </top>
      <bottom style="thin">
        <color rgb="FF0E7E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5E2281"/>
      </left>
      <right/>
      <top style="medium">
        <color rgb="FF5E2281"/>
      </top>
      <bottom style="medium">
        <color rgb="FF5E2281"/>
      </bottom>
      <diagonal/>
    </border>
    <border>
      <left/>
      <right/>
      <top style="medium">
        <color rgb="FF5E2281"/>
      </top>
      <bottom/>
      <diagonal/>
    </border>
    <border>
      <left style="medium">
        <color rgb="FF5E2281"/>
      </left>
      <right style="medium">
        <color rgb="FF5E2281"/>
      </right>
      <top style="medium">
        <color rgb="FF5E2281"/>
      </top>
      <bottom/>
      <diagonal/>
    </border>
    <border>
      <left/>
      <right/>
      <top/>
      <bottom style="medium">
        <color rgb="FF5E2281"/>
      </bottom>
      <diagonal/>
    </border>
    <border>
      <left style="medium">
        <color rgb="FF5E2281"/>
      </left>
      <right style="medium">
        <color rgb="FF5E2281"/>
      </right>
      <top/>
      <bottom style="medium">
        <color rgb="FF5E228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1" borderId="3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2" borderId="41" applyNumberFormat="0" applyAlignment="0" applyProtection="0">
      <alignment vertical="center"/>
    </xf>
    <xf numFmtId="0" fontId="28" fillId="23" borderId="42" applyNumberFormat="0" applyAlignment="0" applyProtection="0">
      <alignment vertical="center"/>
    </xf>
    <xf numFmtId="0" fontId="29" fillId="23" borderId="41" applyNumberFormat="0" applyAlignment="0" applyProtection="0">
      <alignment vertical="center"/>
    </xf>
    <xf numFmtId="0" fontId="30" fillId="24" borderId="43" applyNumberFormat="0" applyAlignment="0" applyProtection="0">
      <alignment vertical="center"/>
    </xf>
    <xf numFmtId="0" fontId="31" fillId="0" borderId="44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horizontal="center" vertical="center"/>
    </xf>
    <xf numFmtId="0" fontId="0" fillId="2" borderId="0" xfId="0" applyNumberFormat="1" applyFill="1" applyBorder="1" applyAlignment="1">
      <alignment vertical="center"/>
    </xf>
    <xf numFmtId="0" fontId="5" fillId="0" borderId="0" xfId="0" applyFont="1">
      <alignment vertical="center"/>
    </xf>
    <xf numFmtId="176" fontId="6" fillId="3" borderId="2" xfId="0" applyNumberFormat="1" applyFont="1" applyFill="1" applyBorder="1" applyAlignment="1">
      <alignment horizontal="center" vertical="center" wrapText="1"/>
    </xf>
    <xf numFmtId="176" fontId="5" fillId="4" borderId="3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176" fontId="7" fillId="5" borderId="7" xfId="0" applyNumberFormat="1" applyFont="1" applyFill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176" fontId="8" fillId="5" borderId="5" xfId="0" applyNumberFormat="1" applyFont="1" applyFill="1" applyBorder="1" applyAlignment="1">
      <alignment horizontal="center" vertical="center"/>
    </xf>
    <xf numFmtId="176" fontId="5" fillId="6" borderId="8" xfId="0" applyNumberFormat="1" applyFont="1" applyFill="1" applyBorder="1" applyAlignment="1">
      <alignment horizontal="center" vertical="center"/>
    </xf>
    <xf numFmtId="176" fontId="5" fillId="6" borderId="9" xfId="0" applyNumberFormat="1" applyFont="1" applyFill="1" applyBorder="1" applyAlignment="1">
      <alignment horizontal="center" vertical="center"/>
    </xf>
    <xf numFmtId="176" fontId="5" fillId="6" borderId="10" xfId="0" applyNumberFormat="1" applyFont="1" applyFill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0" fontId="9" fillId="0" borderId="7" xfId="0" applyFont="1" applyBorder="1">
      <alignment vertical="center"/>
    </xf>
    <xf numFmtId="176" fontId="10" fillId="6" borderId="9" xfId="0" applyNumberFormat="1" applyFont="1" applyFill="1" applyBorder="1" applyAlignment="1">
      <alignment horizontal="center" vertical="center"/>
    </xf>
    <xf numFmtId="176" fontId="10" fillId="6" borderId="10" xfId="0" applyNumberFormat="1" applyFont="1" applyFill="1" applyBorder="1" applyAlignment="1">
      <alignment horizontal="center" vertical="center"/>
    </xf>
    <xf numFmtId="176" fontId="11" fillId="7" borderId="12" xfId="0" applyNumberFormat="1" applyFont="1" applyFill="1" applyBorder="1" applyAlignment="1">
      <alignment horizontal="center" vertical="center"/>
    </xf>
    <xf numFmtId="176" fontId="6" fillId="3" borderId="13" xfId="0" applyNumberFormat="1" applyFont="1" applyFill="1" applyBorder="1" applyAlignment="1">
      <alignment horizontal="center" vertical="center" wrapText="1"/>
    </xf>
    <xf numFmtId="176" fontId="6" fillId="3" borderId="14" xfId="0" applyNumberFormat="1" applyFont="1" applyFill="1" applyBorder="1" applyAlignment="1">
      <alignment horizontal="center" vertical="center" wrapText="1"/>
    </xf>
    <xf numFmtId="176" fontId="5" fillId="3" borderId="15" xfId="0" applyNumberFormat="1" applyFont="1" applyFill="1" applyBorder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5" fillId="3" borderId="16" xfId="0" applyNumberFormat="1" applyFont="1" applyFill="1" applyBorder="1" applyAlignment="1">
      <alignment horizontal="center" vertical="center"/>
    </xf>
    <xf numFmtId="176" fontId="8" fillId="3" borderId="0" xfId="0" applyNumberFormat="1" applyFont="1" applyFill="1" applyAlignment="1">
      <alignment horizontal="center" vertical="center"/>
    </xf>
    <xf numFmtId="176" fontId="8" fillId="3" borderId="17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176" fontId="5" fillId="8" borderId="14" xfId="0" applyNumberFormat="1" applyFont="1" applyFill="1" applyBorder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6" fontId="5" fillId="9" borderId="16" xfId="0" applyNumberFormat="1" applyFont="1" applyFill="1" applyBorder="1" applyAlignment="1">
      <alignment horizontal="center" vertical="center"/>
    </xf>
    <xf numFmtId="176" fontId="5" fillId="9" borderId="0" xfId="0" applyNumberFormat="1" applyFont="1" applyFill="1" applyAlignment="1">
      <alignment horizontal="center" vertical="center"/>
    </xf>
    <xf numFmtId="176" fontId="5" fillId="9" borderId="17" xfId="0" applyNumberFormat="1" applyFont="1" applyFill="1" applyBorder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76" fontId="5" fillId="6" borderId="0" xfId="0" applyNumberFormat="1" applyFont="1" applyFill="1" applyAlignment="1">
      <alignment horizontal="center" vertical="center"/>
    </xf>
    <xf numFmtId="176" fontId="5" fillId="6" borderId="18" xfId="0" applyNumberFormat="1" applyFont="1" applyFill="1" applyBorder="1" applyAlignment="1">
      <alignment horizontal="center" vertical="center"/>
    </xf>
    <xf numFmtId="176" fontId="5" fillId="3" borderId="12" xfId="0" applyNumberFormat="1" applyFont="1" applyFill="1" applyBorder="1" applyAlignment="1">
      <alignment horizontal="center" vertical="center"/>
    </xf>
    <xf numFmtId="176" fontId="8" fillId="10" borderId="19" xfId="0" applyNumberFormat="1" applyFont="1" applyFill="1" applyBorder="1" applyAlignment="1">
      <alignment horizontal="center" vertical="center"/>
    </xf>
    <xf numFmtId="176" fontId="8" fillId="10" borderId="12" xfId="0" applyNumberFormat="1" applyFont="1" applyFill="1" applyBorder="1" applyAlignment="1">
      <alignment horizontal="center" vertical="center"/>
    </xf>
    <xf numFmtId="176" fontId="10" fillId="3" borderId="17" xfId="0" applyNumberFormat="1" applyFont="1" applyFill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77" fontId="5" fillId="11" borderId="21" xfId="0" applyNumberFormat="1" applyFont="1" applyFill="1" applyBorder="1" applyAlignment="1">
      <alignment horizontal="center" vertical="center"/>
    </xf>
    <xf numFmtId="177" fontId="5" fillId="11" borderId="20" xfId="0" applyNumberFormat="1" applyFont="1" applyFill="1" applyBorder="1" applyAlignment="1">
      <alignment horizontal="center" vertical="center"/>
    </xf>
    <xf numFmtId="176" fontId="5" fillId="5" borderId="15" xfId="0" applyNumberFormat="1" applyFont="1" applyFill="1" applyBorder="1" applyAlignment="1">
      <alignment horizontal="center" vertical="center"/>
    </xf>
    <xf numFmtId="176" fontId="6" fillId="12" borderId="22" xfId="0" applyNumberFormat="1" applyFont="1" applyFill="1" applyBorder="1" applyAlignment="1">
      <alignment horizontal="left" vertical="center" wrapText="1"/>
    </xf>
    <xf numFmtId="0" fontId="9" fillId="0" borderId="22" xfId="0" applyFont="1" applyBorder="1">
      <alignment vertical="center"/>
    </xf>
    <xf numFmtId="176" fontId="12" fillId="13" borderId="15" xfId="0" applyNumberFormat="1" applyFont="1" applyFill="1" applyBorder="1" applyAlignment="1">
      <alignment horizontal="center" vertical="center"/>
    </xf>
    <xf numFmtId="0" fontId="9" fillId="0" borderId="15" xfId="0" applyFont="1" applyBorder="1">
      <alignment vertical="center"/>
    </xf>
    <xf numFmtId="176" fontId="8" fillId="3" borderId="6" xfId="0" applyNumberFormat="1" applyFont="1" applyFill="1" applyBorder="1" applyAlignment="1">
      <alignment horizontal="center" vertical="center"/>
    </xf>
    <xf numFmtId="176" fontId="8" fillId="3" borderId="19" xfId="0" applyNumberFormat="1" applyFont="1" applyFill="1" applyBorder="1" applyAlignment="1">
      <alignment horizontal="center" vertical="center"/>
    </xf>
    <xf numFmtId="176" fontId="5" fillId="9" borderId="15" xfId="0" applyNumberFormat="1" applyFont="1" applyFill="1" applyBorder="1" applyAlignment="1">
      <alignment horizontal="center" vertical="center"/>
    </xf>
    <xf numFmtId="176" fontId="8" fillId="3" borderId="15" xfId="0" applyNumberFormat="1" applyFont="1" applyFill="1" applyBorder="1" applyAlignment="1">
      <alignment horizontal="center" vertical="center"/>
    </xf>
    <xf numFmtId="176" fontId="12" fillId="13" borderId="11" xfId="0" applyNumberFormat="1" applyFont="1" applyFill="1" applyBorder="1" applyAlignment="1">
      <alignment horizontal="center" vertical="center"/>
    </xf>
    <xf numFmtId="0" fontId="9" fillId="0" borderId="11" xfId="0" applyFont="1" applyBorder="1">
      <alignment vertical="center"/>
    </xf>
    <xf numFmtId="176" fontId="5" fillId="9" borderId="23" xfId="0" applyNumberFormat="1" applyFont="1" applyFill="1" applyBorder="1" applyAlignment="1">
      <alignment horizontal="center" vertical="center"/>
    </xf>
    <xf numFmtId="176" fontId="6" fillId="3" borderId="9" xfId="0" applyNumberFormat="1" applyFont="1" applyFill="1" applyBorder="1" applyAlignment="1">
      <alignment horizontal="center" vertical="center"/>
    </xf>
    <xf numFmtId="176" fontId="13" fillId="14" borderId="14" xfId="0" applyNumberFormat="1" applyFont="1" applyFill="1" applyBorder="1" applyAlignment="1">
      <alignment horizontal="left" vertical="center" wrapText="1"/>
    </xf>
    <xf numFmtId="176" fontId="13" fillId="14" borderId="13" xfId="0" applyNumberFormat="1" applyFont="1" applyFill="1" applyBorder="1" applyAlignment="1">
      <alignment horizontal="left" vertical="center" wrapText="1"/>
    </xf>
    <xf numFmtId="176" fontId="13" fillId="15" borderId="14" xfId="0" applyNumberFormat="1" applyFont="1" applyFill="1" applyBorder="1" applyAlignment="1">
      <alignment horizontal="left" vertical="center" wrapText="1"/>
    </xf>
    <xf numFmtId="176" fontId="13" fillId="16" borderId="14" xfId="0" applyNumberFormat="1" applyFont="1" applyFill="1" applyBorder="1" applyAlignment="1">
      <alignment horizontal="left" vertical="center" wrapText="1"/>
    </xf>
    <xf numFmtId="176" fontId="13" fillId="17" borderId="13" xfId="0" applyNumberFormat="1" applyFont="1" applyFill="1" applyBorder="1" applyAlignment="1">
      <alignment horizontal="left" vertical="center" wrapText="1"/>
    </xf>
    <xf numFmtId="176" fontId="14" fillId="0" borderId="0" xfId="0" applyNumberFormat="1" applyFont="1" applyAlignment="1">
      <alignment horizontal="center" vertical="center"/>
    </xf>
    <xf numFmtId="0" fontId="15" fillId="18" borderId="24" xfId="0" applyFont="1" applyFill="1" applyBorder="1" applyAlignment="1">
      <alignment horizontal="center" vertical="center" wrapText="1"/>
    </xf>
    <xf numFmtId="176" fontId="16" fillId="0" borderId="0" xfId="0" applyNumberFormat="1" applyFont="1" applyAlignment="1">
      <alignment horizontal="center" vertical="center" wrapText="1"/>
    </xf>
    <xf numFmtId="0" fontId="17" fillId="0" borderId="0" xfId="0" applyFont="1">
      <alignment vertical="center"/>
    </xf>
    <xf numFmtId="0" fontId="18" fillId="19" borderId="25" xfId="0" applyFont="1" applyFill="1" applyBorder="1" applyAlignment="1">
      <alignment horizontal="center" vertical="center" wrapText="1"/>
    </xf>
    <xf numFmtId="1" fontId="18" fillId="19" borderId="25" xfId="0" applyNumberFormat="1" applyFont="1" applyFill="1" applyBorder="1" applyAlignment="1">
      <alignment horizontal="center" vertical="center" wrapText="1"/>
    </xf>
    <xf numFmtId="0" fontId="0" fillId="20" borderId="0" xfId="0" applyFill="1">
      <alignment vertical="center"/>
    </xf>
    <xf numFmtId="176" fontId="5" fillId="3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5" fillId="5" borderId="5" xfId="0" applyFont="1" applyFill="1" applyBorder="1">
      <alignment vertical="center"/>
    </xf>
    <xf numFmtId="0" fontId="5" fillId="6" borderId="10" xfId="0" applyFont="1" applyFill="1" applyBorder="1" applyAlignment="1">
      <alignment horizontal="center" vertical="center"/>
    </xf>
    <xf numFmtId="176" fontId="6" fillId="3" borderId="15" xfId="0" applyNumberFormat="1" applyFont="1" applyFill="1" applyBorder="1" applyAlignment="1">
      <alignment horizontal="center" vertical="center" wrapText="1"/>
    </xf>
    <xf numFmtId="176" fontId="6" fillId="3" borderId="27" xfId="0" applyNumberFormat="1" applyFont="1" applyFill="1" applyBorder="1" applyAlignment="1">
      <alignment horizontal="center" vertical="center" wrapText="1"/>
    </xf>
    <xf numFmtId="176" fontId="6" fillId="3" borderId="28" xfId="0" applyNumberFormat="1" applyFont="1" applyFill="1" applyBorder="1" applyAlignment="1">
      <alignment horizontal="center" vertical="center" wrapText="1"/>
    </xf>
    <xf numFmtId="176" fontId="6" fillId="3" borderId="29" xfId="0" applyNumberFormat="1" applyFont="1" applyFill="1" applyBorder="1" applyAlignment="1">
      <alignment horizontal="center" vertical="center" wrapText="1"/>
    </xf>
    <xf numFmtId="176" fontId="8" fillId="3" borderId="30" xfId="0" applyNumberFormat="1" applyFont="1" applyFill="1" applyBorder="1" applyAlignment="1">
      <alignment horizontal="center" vertical="center"/>
    </xf>
    <xf numFmtId="176" fontId="6" fillId="3" borderId="3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18" xfId="0" applyNumberFormat="1" applyFont="1" applyFill="1" applyBorder="1" applyAlignment="1">
      <alignment horizontal="center" vertical="center"/>
    </xf>
    <xf numFmtId="176" fontId="5" fillId="9" borderId="30" xfId="0" applyNumberFormat="1" applyFont="1" applyFill="1" applyBorder="1" applyAlignment="1">
      <alignment horizontal="center" vertical="center"/>
    </xf>
    <xf numFmtId="176" fontId="6" fillId="3" borderId="8" xfId="0" applyNumberFormat="1" applyFont="1" applyFill="1" applyBorder="1" applyAlignment="1">
      <alignment horizontal="center" vertical="center"/>
    </xf>
    <xf numFmtId="176" fontId="5" fillId="3" borderId="19" xfId="0" applyNumberFormat="1" applyFont="1" applyFill="1" applyBorder="1" applyAlignment="1">
      <alignment horizontal="center" vertical="center"/>
    </xf>
    <xf numFmtId="176" fontId="8" fillId="10" borderId="6" xfId="0" applyNumberFormat="1" applyFont="1" applyFill="1" applyBorder="1" applyAlignment="1">
      <alignment horizontal="center" vertical="center"/>
    </xf>
    <xf numFmtId="176" fontId="17" fillId="11" borderId="15" xfId="0" applyNumberFormat="1" applyFont="1" applyFill="1" applyBorder="1" applyAlignment="1">
      <alignment horizontal="center" vertical="center"/>
    </xf>
    <xf numFmtId="176" fontId="17" fillId="11" borderId="16" xfId="0" applyNumberFormat="1" applyFont="1" applyFill="1" applyBorder="1" applyAlignment="1">
      <alignment horizontal="center" vertical="center"/>
    </xf>
    <xf numFmtId="176" fontId="12" fillId="13" borderId="0" xfId="0" applyNumberFormat="1" applyFont="1" applyFill="1" applyAlignment="1">
      <alignment horizontal="center" vertical="center"/>
    </xf>
    <xf numFmtId="176" fontId="7" fillId="5" borderId="31" xfId="0" applyNumberFormat="1" applyFont="1" applyFill="1" applyBorder="1" applyAlignment="1">
      <alignment horizontal="center" vertical="center"/>
    </xf>
    <xf numFmtId="176" fontId="8" fillId="5" borderId="32" xfId="0" applyNumberFormat="1" applyFont="1" applyFill="1" applyBorder="1" applyAlignment="1">
      <alignment horizontal="center" vertical="center"/>
    </xf>
    <xf numFmtId="176" fontId="7" fillId="11" borderId="33" xfId="0" applyNumberFormat="1" applyFont="1" applyFill="1" applyBorder="1" applyAlignment="1">
      <alignment horizontal="center" vertical="center"/>
    </xf>
    <xf numFmtId="176" fontId="11" fillId="7" borderId="12" xfId="0" applyNumberFormat="1" applyFont="1" applyFill="1" applyBorder="1" applyAlignment="1">
      <alignment horizontal="center" vertical="center"/>
    </xf>
    <xf numFmtId="176" fontId="6" fillId="3" borderId="5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Border="1">
      <alignment vertical="center"/>
    </xf>
    <xf numFmtId="0" fontId="9" fillId="0" borderId="31" xfId="0" applyFont="1" applyFill="1" applyBorder="1">
      <alignment vertical="center"/>
    </xf>
    <xf numFmtId="176" fontId="10" fillId="6" borderId="34" xfId="0" applyNumberFormat="1" applyFont="1" applyFill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0" fontId="9" fillId="0" borderId="12" xfId="0" applyFont="1" applyFill="1" applyBorder="1">
      <alignment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176" fontId="5" fillId="3" borderId="15" xfId="0" applyNumberFormat="1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176" fontId="5" fillId="3" borderId="16" xfId="0" applyNumberFormat="1" applyFont="1" applyFill="1" applyBorder="1" applyAlignment="1">
      <alignment horizontal="center" vertical="center"/>
    </xf>
    <xf numFmtId="176" fontId="8" fillId="3" borderId="0" xfId="0" applyNumberFormat="1" applyFont="1" applyFill="1" applyBorder="1" applyAlignment="1">
      <alignment horizontal="center" vertical="center"/>
    </xf>
    <xf numFmtId="176" fontId="8" fillId="3" borderId="17" xfId="0" applyNumberFormat="1" applyFont="1" applyFill="1" applyBorder="1" applyAlignment="1">
      <alignment horizontal="center" vertical="center"/>
    </xf>
    <xf numFmtId="176" fontId="11" fillId="7" borderId="20" xfId="0" applyNumberFormat="1" applyFont="1" applyFill="1" applyBorder="1" applyAlignment="1">
      <alignment horizontal="center" vertical="center"/>
    </xf>
    <xf numFmtId="176" fontId="5" fillId="6" borderId="9" xfId="0" applyNumberFormat="1" applyFont="1" applyFill="1" applyBorder="1" applyAlignment="1">
      <alignment horizontal="center" vertical="center"/>
    </xf>
    <xf numFmtId="176" fontId="5" fillId="6" borderId="18" xfId="0" applyNumberFormat="1" applyFont="1" applyFill="1" applyBorder="1" applyAlignment="1">
      <alignment horizontal="center" vertical="center"/>
    </xf>
    <xf numFmtId="176" fontId="5" fillId="8" borderId="14" xfId="0" applyNumberFormat="1" applyFont="1" applyFill="1" applyBorder="1" applyAlignment="1">
      <alignment horizontal="center" vertical="center"/>
    </xf>
    <xf numFmtId="176" fontId="10" fillId="9" borderId="0" xfId="0" applyNumberFormat="1" applyFont="1" applyFill="1" applyBorder="1" applyAlignment="1">
      <alignment horizontal="center" vertical="center"/>
    </xf>
    <xf numFmtId="176" fontId="5" fillId="9" borderId="16" xfId="0" applyNumberFormat="1" applyFont="1" applyFill="1" applyBorder="1" applyAlignment="1">
      <alignment horizontal="center" vertical="center"/>
    </xf>
    <xf numFmtId="176" fontId="5" fillId="9" borderId="0" xfId="0" applyNumberFormat="1" applyFont="1" applyFill="1" applyBorder="1" applyAlignment="1">
      <alignment horizontal="center" vertical="center"/>
    </xf>
    <xf numFmtId="176" fontId="5" fillId="9" borderId="23" xfId="0" applyNumberFormat="1" applyFont="1" applyFill="1" applyBorder="1" applyAlignment="1">
      <alignment horizontal="center" vertical="center"/>
    </xf>
    <xf numFmtId="0" fontId="9" fillId="0" borderId="20" xfId="0" applyFont="1" applyFill="1" applyBorder="1">
      <alignment vertical="center"/>
    </xf>
    <xf numFmtId="176" fontId="6" fillId="3" borderId="16" xfId="0" applyNumberFormat="1" applyFont="1" applyFill="1" applyBorder="1" applyAlignment="1">
      <alignment horizontal="center" vertical="center" wrapText="1"/>
    </xf>
    <xf numFmtId="176" fontId="6" fillId="3" borderId="13" xfId="0" applyNumberFormat="1" applyFont="1" applyFill="1" applyBorder="1" applyAlignment="1">
      <alignment horizontal="center" vertical="center" wrapText="1"/>
    </xf>
    <xf numFmtId="176" fontId="6" fillId="3" borderId="15" xfId="0" applyNumberFormat="1" applyFont="1" applyFill="1" applyBorder="1" applyAlignment="1">
      <alignment horizontal="center" vertical="center" wrapText="1"/>
    </xf>
    <xf numFmtId="176" fontId="6" fillId="3" borderId="27" xfId="0" applyNumberFormat="1" applyFont="1" applyFill="1" applyBorder="1" applyAlignment="1">
      <alignment horizontal="center" vertical="center" wrapText="1"/>
    </xf>
    <xf numFmtId="176" fontId="6" fillId="3" borderId="28" xfId="0" applyNumberFormat="1" applyFont="1" applyFill="1" applyBorder="1" applyAlignment="1">
      <alignment horizontal="center" vertical="center" wrapText="1"/>
    </xf>
    <xf numFmtId="176" fontId="6" fillId="3" borderId="29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/>
    </xf>
    <xf numFmtId="176" fontId="5" fillId="3" borderId="19" xfId="0" applyNumberFormat="1" applyFont="1" applyFill="1" applyBorder="1" applyAlignment="1">
      <alignment horizontal="center" vertical="center"/>
    </xf>
    <xf numFmtId="176" fontId="8" fillId="10" borderId="6" xfId="0" applyNumberFormat="1" applyFont="1" applyFill="1" applyBorder="1" applyAlignment="1">
      <alignment horizontal="center" vertical="center"/>
    </xf>
    <xf numFmtId="176" fontId="8" fillId="10" borderId="12" xfId="0" applyNumberFormat="1" applyFont="1" applyFill="1" applyBorder="1" applyAlignment="1">
      <alignment horizontal="center" vertical="center"/>
    </xf>
    <xf numFmtId="176" fontId="10" fillId="3" borderId="17" xfId="0" applyNumberFormat="1" applyFont="1" applyFill="1" applyBorder="1" applyAlignment="1">
      <alignment horizontal="center" vertical="center"/>
    </xf>
    <xf numFmtId="176" fontId="6" fillId="3" borderId="3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18" xfId="0" applyNumberFormat="1" applyFont="1" applyFill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7" fontId="5" fillId="11" borderId="15" xfId="0" applyNumberFormat="1" applyFont="1" applyFill="1" applyBorder="1" applyAlignment="1">
      <alignment horizontal="center" vertical="center"/>
    </xf>
    <xf numFmtId="177" fontId="5" fillId="11" borderId="16" xfId="0" applyNumberFormat="1" applyFont="1" applyFill="1" applyBorder="1" applyAlignment="1">
      <alignment horizontal="center" vertical="center"/>
    </xf>
    <xf numFmtId="176" fontId="5" fillId="9" borderId="17" xfId="0" applyNumberFormat="1" applyFont="1" applyFill="1" applyBorder="1" applyAlignment="1">
      <alignment horizontal="center" vertical="center"/>
    </xf>
    <xf numFmtId="176" fontId="6" fillId="3" borderId="8" xfId="0" applyNumberFormat="1" applyFont="1" applyFill="1" applyBorder="1" applyAlignment="1">
      <alignment horizontal="center" vertical="center"/>
    </xf>
    <xf numFmtId="176" fontId="5" fillId="6" borderId="10" xfId="0" applyNumberFormat="1" applyFont="1" applyFill="1" applyBorder="1" applyAlignment="1">
      <alignment horizontal="center" vertical="center"/>
    </xf>
    <xf numFmtId="176" fontId="5" fillId="5" borderId="15" xfId="0" applyNumberFormat="1" applyFont="1" applyFill="1" applyBorder="1" applyAlignment="1">
      <alignment horizontal="center" vertical="center"/>
    </xf>
    <xf numFmtId="176" fontId="5" fillId="6" borderId="0" xfId="0" applyNumberFormat="1" applyFont="1" applyFill="1" applyBorder="1" applyAlignment="1">
      <alignment horizontal="center" vertical="center"/>
    </xf>
    <xf numFmtId="176" fontId="6" fillId="12" borderId="22" xfId="0" applyNumberFormat="1" applyFont="1" applyFill="1" applyBorder="1" applyAlignment="1">
      <alignment horizontal="left" vertical="center" wrapText="1"/>
    </xf>
    <xf numFmtId="0" fontId="9" fillId="0" borderId="22" xfId="0" applyFont="1" applyFill="1" applyBorder="1">
      <alignment vertical="center"/>
    </xf>
    <xf numFmtId="176" fontId="12" fillId="13" borderId="0" xfId="0" applyNumberFormat="1" applyFont="1" applyFill="1" applyBorder="1" applyAlignment="1">
      <alignment horizontal="center" vertical="center"/>
    </xf>
    <xf numFmtId="176" fontId="6" fillId="3" borderId="0" xfId="0" applyNumberFormat="1" applyFont="1" applyFill="1" applyBorder="1" applyAlignment="1">
      <alignment horizontal="center" vertical="center"/>
    </xf>
    <xf numFmtId="176" fontId="8" fillId="3" borderId="6" xfId="0" applyNumberFormat="1" applyFont="1" applyFill="1" applyBorder="1" applyAlignment="1">
      <alignment horizontal="center" vertical="center"/>
    </xf>
    <xf numFmtId="176" fontId="8" fillId="3" borderId="19" xfId="0" applyNumberFormat="1" applyFont="1" applyFill="1" applyBorder="1" applyAlignment="1">
      <alignment horizontal="center" vertical="center"/>
    </xf>
    <xf numFmtId="176" fontId="8" fillId="3" borderId="15" xfId="0" applyNumberFormat="1" applyFont="1" applyFill="1" applyBorder="1" applyAlignment="1">
      <alignment horizontal="center" vertical="center"/>
    </xf>
    <xf numFmtId="176" fontId="5" fillId="9" borderId="15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0" fontId="9" fillId="0" borderId="15" xfId="0" applyFont="1" applyFill="1" applyBorder="1">
      <alignment vertical="center"/>
    </xf>
    <xf numFmtId="176" fontId="10" fillId="0" borderId="36" xfId="0" applyNumberFormat="1" applyFont="1" applyBorder="1" applyAlignment="1">
      <alignment horizontal="left" vertical="center" wrapText="1"/>
    </xf>
    <xf numFmtId="0" fontId="9" fillId="0" borderId="36" xfId="0" applyFont="1" applyBorder="1">
      <alignment vertical="center"/>
    </xf>
    <xf numFmtId="176" fontId="5" fillId="9" borderId="18" xfId="0" applyNumberFormat="1" applyFont="1" applyFill="1" applyBorder="1" applyAlignment="1">
      <alignment horizontal="center" vertical="center"/>
    </xf>
    <xf numFmtId="176" fontId="10" fillId="3" borderId="18" xfId="0" applyNumberFormat="1" applyFont="1" applyFill="1" applyBorder="1" applyAlignment="1">
      <alignment horizontal="center" vertical="center"/>
    </xf>
    <xf numFmtId="176" fontId="12" fillId="13" borderId="11" xfId="0" applyNumberFormat="1" applyFont="1" applyFill="1" applyBorder="1" applyAlignment="1">
      <alignment horizontal="center" vertical="center"/>
    </xf>
    <xf numFmtId="0" fontId="9" fillId="0" borderId="11" xfId="0" applyFont="1" applyFill="1" applyBorder="1">
      <alignment vertical="center"/>
    </xf>
    <xf numFmtId="0" fontId="5" fillId="9" borderId="37" xfId="0" applyFont="1" applyFill="1" applyBorder="1" applyAlignment="1">
      <alignment horizontal="center" vertical="center"/>
    </xf>
    <xf numFmtId="176" fontId="6" fillId="3" borderId="21" xfId="0" applyNumberFormat="1" applyFont="1" applyFill="1" applyBorder="1" applyAlignment="1">
      <alignment horizontal="center" vertical="center"/>
    </xf>
    <xf numFmtId="176" fontId="5" fillId="6" borderId="21" xfId="0" applyNumberFormat="1" applyFont="1" applyFill="1" applyBorder="1" applyAlignment="1">
      <alignment horizontal="center" vertical="center"/>
    </xf>
    <xf numFmtId="176" fontId="5" fillId="6" borderId="37" xfId="0" applyNumberFormat="1" applyFont="1" applyFill="1" applyBorder="1" applyAlignment="1">
      <alignment horizontal="center" vertical="center"/>
    </xf>
    <xf numFmtId="2" fontId="18" fillId="19" borderId="2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110"/>
  <sheetViews>
    <sheetView tabSelected="1" topLeftCell="A18" workbookViewId="0">
      <selection activeCell="C43" sqref="C43"/>
    </sheetView>
  </sheetViews>
  <sheetFormatPr defaultColWidth="8.88888888888889" defaultRowHeight="14.4"/>
  <cols>
    <col min="3" max="3" width="24" customWidth="1"/>
    <col min="4" max="4" width="23" customWidth="1"/>
    <col min="5" max="5" width="21.5555555555556" customWidth="1"/>
    <col min="6" max="6" width="16.5555555555556" customWidth="1"/>
    <col min="7" max="7" width="15" customWidth="1"/>
    <col min="8" max="8" width="16.5555555555556" customWidth="1"/>
    <col min="9" max="9" width="25.2222222222222" customWidth="1"/>
    <col min="10" max="10" width="24.4444444444444" customWidth="1"/>
    <col min="11" max="14" width="9" customWidth="1"/>
    <col min="15" max="15" width="8.66666666666667" customWidth="1"/>
    <col min="16" max="16" width="9" customWidth="1"/>
    <col min="17" max="17" width="8.66666666666667" customWidth="1"/>
    <col min="18" max="18" width="9" customWidth="1"/>
    <col min="19" max="19" width="8.66666666666667" customWidth="1"/>
    <col min="20" max="21" width="9" customWidth="1"/>
  </cols>
  <sheetData>
    <row r="1" customHeight="1"/>
    <row r="2" ht="15.15"/>
    <row r="3" ht="49.05" customHeight="1" spans="3:168">
      <c r="C3" s="9"/>
      <c r="D3" s="9"/>
      <c r="E3" s="9"/>
      <c r="F3" s="9"/>
      <c r="G3" s="9"/>
      <c r="H3" s="9"/>
      <c r="I3" s="9"/>
      <c r="J3" s="9"/>
      <c r="K3" s="10" t="s">
        <v>0</v>
      </c>
      <c r="L3" s="10" t="s">
        <v>1</v>
      </c>
      <c r="M3" s="10" t="s">
        <v>2</v>
      </c>
      <c r="N3" s="10" t="s">
        <v>3</v>
      </c>
      <c r="O3" s="10" t="s">
        <v>4</v>
      </c>
      <c r="P3" s="10" t="s">
        <v>5</v>
      </c>
      <c r="Q3" s="10" t="s">
        <v>6</v>
      </c>
      <c r="R3" s="10" t="s">
        <v>7</v>
      </c>
      <c r="S3" s="10" t="s">
        <v>8</v>
      </c>
      <c r="T3" s="10" t="s">
        <v>9</v>
      </c>
      <c r="U3" s="10" t="s">
        <v>10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</row>
    <row r="4" ht="15.15" spans="3:168">
      <c r="C4" s="9"/>
      <c r="D4" s="9"/>
      <c r="E4" s="9"/>
      <c r="F4" s="9"/>
      <c r="G4" s="9"/>
      <c r="H4" s="9"/>
      <c r="I4" s="9"/>
      <c r="J4" s="9"/>
      <c r="K4" s="11">
        <f>C8</f>
        <v>68</v>
      </c>
      <c r="L4" s="12">
        <f>C8*1.2</f>
        <v>81.6</v>
      </c>
      <c r="M4" s="12">
        <f>C8*1.4</f>
        <v>95.2</v>
      </c>
      <c r="N4" s="12">
        <f>C8*1.6</f>
        <v>108.8</v>
      </c>
      <c r="O4" s="12">
        <f>C8*1.8</f>
        <v>122.4</v>
      </c>
      <c r="P4" s="12">
        <f>C8*2</f>
        <v>136</v>
      </c>
      <c r="Q4" s="12">
        <f>C8*2.2</f>
        <v>149.6</v>
      </c>
      <c r="R4" s="12">
        <f>C8*2.4</f>
        <v>163.2</v>
      </c>
      <c r="S4" s="12">
        <f>C8*2.6</f>
        <v>176.8</v>
      </c>
      <c r="T4" s="12">
        <f>C8*2.8</f>
        <v>190.4</v>
      </c>
      <c r="U4" s="13">
        <f>C8*3</f>
        <v>204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</row>
    <row r="5" ht="33.15" customHeight="1" spans="3:168">
      <c r="C5" s="14" t="s">
        <v>11</v>
      </c>
      <c r="D5" s="15" t="s">
        <v>12</v>
      </c>
      <c r="E5" s="16" t="s">
        <v>13</v>
      </c>
      <c r="F5" s="16" t="s">
        <v>14</v>
      </c>
      <c r="G5" s="16" t="s">
        <v>15</v>
      </c>
      <c r="H5" s="16" t="s">
        <v>16</v>
      </c>
      <c r="I5" s="17" t="s">
        <v>17</v>
      </c>
      <c r="J5" s="9"/>
      <c r="K5" s="18">
        <f>(K4-F8)*4.7</f>
        <v>251.6</v>
      </c>
      <c r="L5" s="19">
        <f>(L4-F8)*4.7</f>
        <v>315.52</v>
      </c>
      <c r="M5" s="19">
        <f>(M4-F8)*4.7</f>
        <v>379.44</v>
      </c>
      <c r="N5" s="19">
        <f>(N4-F8)*4.7</f>
        <v>443.36</v>
      </c>
      <c r="O5" s="19">
        <f>(O4-F8)*4.7</f>
        <v>507.28</v>
      </c>
      <c r="P5" s="19">
        <f>(P4-F8)*4.7</f>
        <v>571.2</v>
      </c>
      <c r="Q5" s="19">
        <f>(Q4-F8)*4.7</f>
        <v>635.12</v>
      </c>
      <c r="R5" s="19">
        <f>(R4-F8)*4.7</f>
        <v>699.04</v>
      </c>
      <c r="S5" s="19">
        <f>(S4-F8)*4.7</f>
        <v>762.96</v>
      </c>
      <c r="T5" s="19">
        <f>(T4-F8)*4.7</f>
        <v>826.88</v>
      </c>
      <c r="U5" s="20">
        <f>(U4-F8)*4.7</f>
        <v>890.8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</row>
    <row r="6" ht="63.9" customHeight="1" spans="3:168">
      <c r="C6" s="21">
        <f>K15</f>
        <v>59.4925531914894</v>
      </c>
      <c r="D6" s="22"/>
      <c r="E6" s="23" t="s">
        <v>18</v>
      </c>
      <c r="F6" s="23">
        <f>_xlfn.LET(_xlpm.KG,D8/1000,IF(_xlpm.KG&lt;=25,_xlpm.KG*87,"超出25kg"))</f>
        <v>47.85</v>
      </c>
      <c r="G6" s="23">
        <f>_xlfn.LET(_xlpm.KG,D8/1000,IF(_xlpm.KG&lt;=25,17,"超出 25kg"))</f>
        <v>17</v>
      </c>
      <c r="H6" s="23">
        <f>(F6+G6)/4.7</f>
        <v>13.7978723404255</v>
      </c>
      <c r="I6" s="24">
        <f>F8+H6</f>
        <v>28.2659574468085</v>
      </c>
      <c r="J6" s="25" t="s">
        <v>19</v>
      </c>
      <c r="K6" s="26" t="s">
        <v>20</v>
      </c>
      <c r="L6" s="26" t="s">
        <v>21</v>
      </c>
      <c r="M6" s="26" t="s">
        <v>22</v>
      </c>
      <c r="N6" s="26" t="s">
        <v>23</v>
      </c>
      <c r="O6" s="26" t="s">
        <v>24</v>
      </c>
      <c r="P6" s="26" t="s">
        <v>25</v>
      </c>
      <c r="Q6" s="26" t="s">
        <v>26</v>
      </c>
      <c r="R6" s="26" t="s">
        <v>27</v>
      </c>
      <c r="S6" s="26" t="s">
        <v>28</v>
      </c>
      <c r="T6" s="26" t="s">
        <v>29</v>
      </c>
      <c r="U6" s="26" t="s">
        <v>30</v>
      </c>
      <c r="V6" s="27" t="s">
        <v>31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</row>
    <row r="7" ht="17.4" customHeight="1" spans="3:168">
      <c r="C7" s="28" t="s">
        <v>32</v>
      </c>
      <c r="D7" s="29" t="s">
        <v>33</v>
      </c>
      <c r="E7" s="29" t="s">
        <v>13</v>
      </c>
      <c r="F7" s="30" t="s">
        <v>17</v>
      </c>
      <c r="G7" s="31" t="s">
        <v>14</v>
      </c>
      <c r="H7" s="31" t="s">
        <v>15</v>
      </c>
      <c r="I7" s="32" t="s">
        <v>17</v>
      </c>
      <c r="J7" s="33" t="s">
        <v>34</v>
      </c>
      <c r="K7" s="12">
        <f>F8*1.2</f>
        <v>17.3617021276596</v>
      </c>
      <c r="L7" s="12">
        <f>F8*1.4</f>
        <v>20.2553191489362</v>
      </c>
      <c r="M7" s="12">
        <f>F8*1.6</f>
        <v>23.1489361702128</v>
      </c>
      <c r="N7" s="12">
        <f>F8*1.8</f>
        <v>26.0425531914894</v>
      </c>
      <c r="O7" s="12">
        <f>F8*2</f>
        <v>28.936170212766</v>
      </c>
      <c r="P7" s="12">
        <f>F8*2.2</f>
        <v>31.8297872340426</v>
      </c>
      <c r="Q7" s="12">
        <f>F8*2.4</f>
        <v>34.7234042553191</v>
      </c>
      <c r="R7" s="12">
        <f>F8*2.6</f>
        <v>37.6170212765957</v>
      </c>
      <c r="S7" s="12">
        <f>F8*2.8</f>
        <v>40.5106382978723</v>
      </c>
      <c r="T7" s="12">
        <f>F8*3</f>
        <v>43.4042553191489</v>
      </c>
      <c r="U7" s="12">
        <f>F8*3.2</f>
        <v>46.2978723404255</v>
      </c>
      <c r="V7" s="13">
        <f>F8*3.4</f>
        <v>49.1914893617021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</row>
    <row r="8" ht="22.95" spans="3:168">
      <c r="C8" s="34">
        <v>68</v>
      </c>
      <c r="D8" s="34">
        <v>550</v>
      </c>
      <c r="E8" s="35" t="str">
        <f>IF(D8/1000&lt;0.3,"【0-0.3kg】",IF(D8/1000&lt;0.5,"【0.3-0.5kg】",IF(D8/1000&lt;1,"【0.5-1kg】",IF(D8/1000&lt;3,"【1-3kg】",IF(D8/1000&lt;=20,"【3-20kg】","超出20kg")))))</f>
        <v>【0.5-1kg】</v>
      </c>
      <c r="F8" s="36">
        <f>(C8)/4.7</f>
        <v>14.468085106383</v>
      </c>
      <c r="G8" s="37">
        <f>_xlfn.LET(_xlpm.KG,D8/1000,IF(_xlpm.KG&lt;=0.3,_xlpm.KG*34,IF(_xlpm.KG&lt;=0.5,_xlpm.KG*34,IF(_xlpm.KG&lt;=1,_xlpm.KG*34,IF(_xlpm.KG&lt;=3,_xlpm.KG*34,IF(_xlpm.KG&lt;=20,_xlpm.KG*34,"超出20kg"))))))</f>
        <v>18.7</v>
      </c>
      <c r="H8" s="37">
        <f>_xlfn.LET(_xlpm.KG,D8/1000,IF(_xlpm.KG&lt;=0.3,21,IF(_xlpm.KG&lt;=0.5,24,IF(_xlpm.KG&lt;=1,25,IF(_xlpm.KG&lt;=3,27,IF(_xlpm.KG&lt;=20,42,"超出20kg"))))))</f>
        <v>25</v>
      </c>
      <c r="I8" s="38">
        <f>F8</f>
        <v>14.468085106383</v>
      </c>
      <c r="J8" s="39" t="s">
        <v>35</v>
      </c>
      <c r="K8" s="40">
        <f>(K7-F8)*4.7</f>
        <v>13.6</v>
      </c>
      <c r="L8" s="40">
        <f>(L7-F8)*4.7</f>
        <v>27.2</v>
      </c>
      <c r="M8" s="40">
        <f>(M7-F8)*4.7</f>
        <v>40.8</v>
      </c>
      <c r="N8" s="40">
        <f>(N7-F8)*4.7</f>
        <v>54.4</v>
      </c>
      <c r="O8" s="40">
        <f>(O7-F8)*4.7</f>
        <v>68</v>
      </c>
      <c r="P8" s="40">
        <f>(P7-F8)*4.7</f>
        <v>81.6</v>
      </c>
      <c r="Q8" s="40">
        <f>(Q7-F8)*4.7</f>
        <v>95.2</v>
      </c>
      <c r="R8" s="40">
        <f>(R7-F8)*4.7</f>
        <v>108.8</v>
      </c>
      <c r="S8" s="40">
        <f>(S7-F8)*4.7</f>
        <v>122.4</v>
      </c>
      <c r="T8" s="40">
        <f>(T7-F8)*4.7</f>
        <v>136</v>
      </c>
      <c r="U8" s="40">
        <f>(U7-F8)*4.7</f>
        <v>149.6</v>
      </c>
      <c r="V8" s="41">
        <f>(V7-F8)*4.7</f>
        <v>163.2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</row>
    <row r="9" ht="22.2" customHeight="1" spans="3:168">
      <c r="C9" s="14" t="s">
        <v>36</v>
      </c>
      <c r="D9" s="42" t="s">
        <v>37</v>
      </c>
      <c r="E9" s="43" t="s">
        <v>38</v>
      </c>
      <c r="F9" s="44" t="s">
        <v>39</v>
      </c>
      <c r="G9" s="31" t="s">
        <v>40</v>
      </c>
      <c r="H9" s="31" t="s">
        <v>16</v>
      </c>
      <c r="I9" s="45" t="s">
        <v>41</v>
      </c>
      <c r="J9" s="33" t="s">
        <v>42</v>
      </c>
      <c r="K9" s="12">
        <f>(F8+I10)+((F8+I10)*0.05)</f>
        <v>40.1457446808511</v>
      </c>
      <c r="L9" s="12">
        <f>(F8+I10)+((F8+I10)*0.08)</f>
        <v>41.2927659574468</v>
      </c>
      <c r="M9" s="12">
        <f>(F8+I10)+((F8+I10)*0.1)</f>
        <v>42.0574468085106</v>
      </c>
      <c r="N9" s="12">
        <f>(F8+I10)+((F8+I10)*0.15)</f>
        <v>43.9691489361702</v>
      </c>
      <c r="O9" s="12">
        <f>(F8+I10)+((F8+I10)*0.2)</f>
        <v>45.8808510638298</v>
      </c>
      <c r="P9" s="12">
        <f>(F8+I10)+((F8+I10)*0.25)</f>
        <v>47.7925531914894</v>
      </c>
      <c r="Q9" s="12">
        <f>(F8+I10)+((F8+I10)*0.3)</f>
        <v>49.7042553191489</v>
      </c>
      <c r="R9" s="12">
        <f>(F8+I10)+((F8+I10)*0.35)</f>
        <v>51.6159574468085</v>
      </c>
      <c r="S9" s="12">
        <f>(F8+I10)+((F8+I10)*0.4)</f>
        <v>53.5276595744681</v>
      </c>
      <c r="T9" s="12">
        <f>(F8+I10)+((F8+I10)*0.45)</f>
        <v>55.4393617021277</v>
      </c>
      <c r="U9" s="12">
        <f>(F8+I10)+((F8+I10)*0.5)</f>
        <v>57.3510638297872</v>
      </c>
      <c r="V9" s="13">
        <f>(F8+I10)+((F8+I10)*0.6)</f>
        <v>61.1744680851064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</row>
    <row r="10" ht="17.1" customHeight="1" spans="3:168">
      <c r="C10" s="21">
        <f>C6+C6*0.08</f>
        <v>64.2519574468085</v>
      </c>
      <c r="D10" s="46">
        <f>C10/0.9</f>
        <v>71.3910638297872</v>
      </c>
      <c r="E10" s="47">
        <f>C6-I16</f>
        <v>17.3010638297872</v>
      </c>
      <c r="F10" s="48">
        <f>E10*4.7</f>
        <v>81.315</v>
      </c>
      <c r="G10" s="37">
        <f>MAX((G8+H8)*0.07,5)</f>
        <v>5</v>
      </c>
      <c r="H10" s="37">
        <f>G8+H8</f>
        <v>43.7</v>
      </c>
      <c r="I10" s="38">
        <f>F8+H10/4.7</f>
        <v>23.7659574468085</v>
      </c>
      <c r="J10" s="39" t="s">
        <v>35</v>
      </c>
      <c r="K10" s="40">
        <f>(K9-I10)*4.7</f>
        <v>76.985</v>
      </c>
      <c r="L10" s="40">
        <f>(L9-I10)*4.7</f>
        <v>82.376</v>
      </c>
      <c r="M10" s="40">
        <f>(M9-I10)*4.7</f>
        <v>85.97</v>
      </c>
      <c r="N10" s="40">
        <f>(N9-I10)*4.7</f>
        <v>94.955</v>
      </c>
      <c r="O10" s="40">
        <f>(O9-I10)*4.7</f>
        <v>103.94</v>
      </c>
      <c r="P10" s="40">
        <f>(P9-I10)*4.7</f>
        <v>112.925</v>
      </c>
      <c r="Q10" s="40">
        <f>(Q9-I10)*4.7</f>
        <v>121.91</v>
      </c>
      <c r="R10" s="40">
        <f>(R9-I10)*4.7</f>
        <v>130.895</v>
      </c>
      <c r="S10" s="40">
        <f>(S9-I10)*4.7</f>
        <v>139.88</v>
      </c>
      <c r="T10" s="40">
        <f>(T9-I10)*4.7</f>
        <v>148.865</v>
      </c>
      <c r="U10" s="40">
        <f>(U9-I10)*4.7</f>
        <v>157.85</v>
      </c>
      <c r="V10" s="41">
        <f>(V9-I10)*4.7</f>
        <v>175.82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</row>
    <row r="11" ht="36.75" customHeight="1" spans="3:168">
      <c r="C11" s="49" t="s">
        <v>43</v>
      </c>
      <c r="D11" s="40">
        <f>(C6-I8)*4.7</f>
        <v>211.615</v>
      </c>
      <c r="E11" s="50" t="s">
        <v>44</v>
      </c>
      <c r="F11" s="51"/>
      <c r="G11" s="52" t="s">
        <v>45</v>
      </c>
      <c r="H11" s="53"/>
      <c r="I11" s="45" t="s">
        <v>46</v>
      </c>
      <c r="J11" s="33" t="s">
        <v>47</v>
      </c>
      <c r="K11" s="12">
        <f>(F8+I12)+((F8+I12)*0.05)</f>
        <v>42.1563829787234</v>
      </c>
      <c r="L11" s="12">
        <f>(F8+I12)+((F8+I12)*0.08)</f>
        <v>43.3608510638298</v>
      </c>
      <c r="M11" s="12">
        <f>(F8+I12)+((F8+I12)*0.1)</f>
        <v>44.163829787234</v>
      </c>
      <c r="N11" s="12">
        <f>(F8+I12)+((F8+I12)*0.15)</f>
        <v>46.1712765957447</v>
      </c>
      <c r="O11" s="12">
        <f>(F8+I12)+((F8+I12)*0.2)</f>
        <v>48.1787234042553</v>
      </c>
      <c r="P11" s="12">
        <f>(F8+I12)+((F8+I12)*0.25)</f>
        <v>50.186170212766</v>
      </c>
      <c r="Q11" s="12">
        <f>(F8+I12)+((F8+I12)*0.3)</f>
        <v>52.1936170212766</v>
      </c>
      <c r="R11" s="12">
        <f>(F8+I12)+((F8+I12)*0.35)</f>
        <v>54.2010638297872</v>
      </c>
      <c r="S11" s="12">
        <f>(F8+I12)+((F8+I12)*0.4)</f>
        <v>56.2085106382979</v>
      </c>
      <c r="T11" s="12">
        <f>(F8+I12)+((F8+I12)*0.45)</f>
        <v>58.2159574468085</v>
      </c>
      <c r="U11" s="12">
        <f>(F8+I12)+((F8+I12)*0.5)</f>
        <v>60.2234042553191</v>
      </c>
      <c r="V11" s="13">
        <f>(F8+I12)+((F8+I12)*0.6)</f>
        <v>64.2382978723404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</row>
    <row r="12" ht="18.9" customHeight="1" spans="3:168">
      <c r="C12" s="54" t="s">
        <v>14</v>
      </c>
      <c r="D12" s="55" t="s">
        <v>15</v>
      </c>
      <c r="E12" s="54" t="s">
        <v>14</v>
      </c>
      <c r="F12" s="55" t="s">
        <v>15</v>
      </c>
      <c r="G12" s="54" t="s">
        <v>14</v>
      </c>
      <c r="H12" s="55" t="s">
        <v>15</v>
      </c>
      <c r="I12" s="38">
        <f>F8+D15/4.7</f>
        <v>25.6808510638298</v>
      </c>
      <c r="J12" s="39" t="s">
        <v>35</v>
      </c>
      <c r="K12" s="40">
        <f>(K11-I12)*4.7</f>
        <v>77.435</v>
      </c>
      <c r="L12" s="40">
        <f>(L11-I12)*4.7</f>
        <v>83.096</v>
      </c>
      <c r="M12" s="40">
        <f>(M11-I12)*4.7</f>
        <v>86.87</v>
      </c>
      <c r="N12" s="40">
        <f>(N11-I12)*4.7</f>
        <v>96.305</v>
      </c>
      <c r="O12" s="40">
        <f>(O11-I12)*4.7</f>
        <v>105.74</v>
      </c>
      <c r="P12" s="40">
        <f>(P11-I12)*4.7</f>
        <v>115.175</v>
      </c>
      <c r="Q12" s="40">
        <f>(Q11-I12)*4.7</f>
        <v>124.61</v>
      </c>
      <c r="R12" s="40">
        <f>(R11-I12)*4.7</f>
        <v>134.045</v>
      </c>
      <c r="S12" s="40">
        <f>(S11-I12)*4.7</f>
        <v>143.48</v>
      </c>
      <c r="T12" s="40">
        <f>(T11-I12)*4.7</f>
        <v>152.915</v>
      </c>
      <c r="U12" s="40">
        <f>(U11-I12)*4.7</f>
        <v>162.35</v>
      </c>
      <c r="V12" s="41">
        <f>(V11-I12)*4.7</f>
        <v>181.22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</row>
    <row r="13" ht="22.2" spans="3:168">
      <c r="C13" s="56">
        <f>_xlfn.LET(_xlpm.KG,D8/1000,IF(_xlpm.KG&lt;=0.3,_xlpm.KG*34,IF(_xlpm.KG&lt;=0.5,_xlpm.KG*34,IF(_xlpm.KG&lt;=1,_xlpm.KG*34,IF(_xlpm.KG&lt;=3,_xlpm.KG*34,IF(_xlpm.KG&lt;=20,_xlpm.KG*34,"超出20kg"))))))</f>
        <v>18.7</v>
      </c>
      <c r="D13" s="37">
        <f>_xlfn.LET(_xlpm.KG,D8/1000,IF(_xlpm.KG&lt;=0.3,29,IF(_xlpm.KG&lt;=0.5,30,IF(_xlpm.KG&lt;=1,34,IF(_xlpm.KG&lt;=3,36,IF(_xlpm.KG&lt;=20,53,"超出20kg"))))))</f>
        <v>34</v>
      </c>
      <c r="E13" s="56">
        <f>_xlfn.LET(_xlpm.KG,D8/1000,IF(_xlpm.KG&lt;=0.3,_xlpm.KG*39,IF(_xlpm.KG&lt;=0.5,_xlpm.KG*39,IF(_xlpm.KG&lt;=1,_xlpm.KG*39,IF(_xlpm.KG&lt;=3,_xlpm.KG*39,IF(_xlpm.KG&lt;=20,_xlpm.KG*39,"超出 20kg"))))))</f>
        <v>21.45</v>
      </c>
      <c r="F13" s="37">
        <f>_xlfn.LET(_xlpm.KG,D8/1000,IF(_xlpm.KG&lt;=0.3,55,IF(_xlpm.KG&lt;=0.5,56,IF(_xlpm.KG&lt;=1,79,IF(_xlpm.KG&lt;=3,81,IF(_xlpm.KG&lt;=20,120,"超出 20kg"))))))</f>
        <v>79</v>
      </c>
      <c r="G13" s="56">
        <f>_xlfn.LET(_xlpm.KG,D8/1000,IF(_xlpm.KG&lt;0.3,_xlpm.KG*46,IF(_xlpm.KG&lt;0.5,_xlpm.KG*46,IF(_xlpm.KG&lt;1,_xlpm.KG*46,IF(_xlpm.KG&lt;3,_xlpm.KG*54,IF(_xlpm.KG&lt;=20,_xlpm.KG*54,"超出20kg"))))))</f>
        <v>25.3</v>
      </c>
      <c r="H13" s="37">
        <f>IF(D8/1000&lt;0.5,62,IF(D8/1000&lt;1,105,IF(D8/1000&lt;3,130,IF(#REF!/1000&lt;=20,160,D8))))</f>
        <v>105</v>
      </c>
      <c r="I13" s="45" t="s">
        <v>48</v>
      </c>
      <c r="J13" s="33" t="s">
        <v>49</v>
      </c>
      <c r="K13" s="12">
        <f>(F8+I14)+((F8+I14)*0.05)</f>
        <v>52.8239361702128</v>
      </c>
      <c r="L13" s="12">
        <f>(F8+I14)+((F8+I14)*0.08)</f>
        <v>54.3331914893617</v>
      </c>
      <c r="M13" s="12">
        <f>(F8+I14)+((F8+I14)*0.1)</f>
        <v>55.3393617021277</v>
      </c>
      <c r="N13" s="12">
        <f>(F8+I14)+((F8+I14)*0.15)</f>
        <v>57.8547872340425</v>
      </c>
      <c r="O13" s="12">
        <f>(F8+I14)+((F8+I14)*0.2)</f>
        <v>60.3702127659574</v>
      </c>
      <c r="P13" s="12">
        <f>(F8+I14)+((F8+I14)*0.25)</f>
        <v>62.8856382978723</v>
      </c>
      <c r="Q13" s="12">
        <f>(F8+I14)+((F8+I14)*0.3)</f>
        <v>65.4010638297872</v>
      </c>
      <c r="R13" s="12">
        <f>(F8+I14)+((F8+I14)*0.35)</f>
        <v>67.9164893617021</v>
      </c>
      <c r="S13" s="12">
        <f>(F8+I14)+((F8+I14)*0.4)</f>
        <v>70.431914893617</v>
      </c>
      <c r="T13" s="12">
        <f>(F8+I14)+((F8+I14)*0.45)</f>
        <v>72.9473404255319</v>
      </c>
      <c r="U13" s="12">
        <f>(F8+I14)+((F8+I14)*0.5)</f>
        <v>75.4627659574468</v>
      </c>
      <c r="V13" s="13">
        <f>(F8+I14)+((F8+I14)*0.6)</f>
        <v>80.4936170212766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</row>
    <row r="14" ht="19.65" customHeight="1" spans="3:168">
      <c r="C14" s="57" t="s">
        <v>40</v>
      </c>
      <c r="D14" s="31" t="s">
        <v>16</v>
      </c>
      <c r="E14" s="57" t="s">
        <v>40</v>
      </c>
      <c r="F14" s="31" t="s">
        <v>16</v>
      </c>
      <c r="G14" s="57" t="s">
        <v>40</v>
      </c>
      <c r="H14" s="31" t="s">
        <v>16</v>
      </c>
      <c r="I14" s="38">
        <f>F8+F15/4.7</f>
        <v>35.8404255319149</v>
      </c>
      <c r="J14" s="39" t="s">
        <v>35</v>
      </c>
      <c r="K14" s="40">
        <f>(K13-I14)*4.7</f>
        <v>79.8225</v>
      </c>
      <c r="L14" s="40">
        <f>(L13-I14)*4.7</f>
        <v>86.916</v>
      </c>
      <c r="M14" s="40">
        <f>(M13-I14)*4.7</f>
        <v>91.645</v>
      </c>
      <c r="N14" s="40">
        <f>(N13-I14)*4.7</f>
        <v>103.4675</v>
      </c>
      <c r="O14" s="40">
        <f>(O13-I14)*4.7</f>
        <v>115.29</v>
      </c>
      <c r="P14" s="40">
        <f>(P13-I14)*4.7</f>
        <v>127.1125</v>
      </c>
      <c r="Q14" s="40">
        <f>(Q13-I14)*4.7</f>
        <v>138.935</v>
      </c>
      <c r="R14" s="40">
        <f>(R13-I14)*4.7</f>
        <v>150.7575</v>
      </c>
      <c r="S14" s="40">
        <f>(S13-I14)*4.7</f>
        <v>162.58</v>
      </c>
      <c r="T14" s="40">
        <f>(T13-I14)*4.7</f>
        <v>174.4025</v>
      </c>
      <c r="U14" s="40">
        <f>(U13-I14)*4.7</f>
        <v>186.225</v>
      </c>
      <c r="V14" s="41">
        <f>(V13-I14)*4.7</f>
        <v>209.87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</row>
    <row r="15" ht="22.2" spans="3:168">
      <c r="C15" s="56">
        <f>MAX((C13+D13)*0.07,5)</f>
        <v>5</v>
      </c>
      <c r="D15" s="37">
        <f>C13+D13</f>
        <v>52.7</v>
      </c>
      <c r="E15" s="56">
        <f>MAX((E13+F13)*0.07,5)</f>
        <v>7.0315</v>
      </c>
      <c r="F15" s="37">
        <f>E13+F13</f>
        <v>100.45</v>
      </c>
      <c r="G15" s="56">
        <f>MAX((G13+H13)*0.07,5)</f>
        <v>9.121</v>
      </c>
      <c r="H15" s="37">
        <f>G13+H13</f>
        <v>130.3</v>
      </c>
      <c r="I15" s="45" t="s">
        <v>50</v>
      </c>
      <c r="J15" s="33" t="s">
        <v>51</v>
      </c>
      <c r="K15" s="12">
        <f>(F8+I16)+((F8+I16)*0.05)</f>
        <v>59.4925531914894</v>
      </c>
      <c r="L15" s="12">
        <f>(F8+I16)+((F8+I16)*0.08)</f>
        <v>61.1923404255319</v>
      </c>
      <c r="M15" s="12">
        <f>(F8+I16)+((F8+I16)*0.1)</f>
        <v>62.3255319148936</v>
      </c>
      <c r="N15" s="12">
        <f>(F8+I16)+((F8+I16)*0.15)</f>
        <v>65.1585106382979</v>
      </c>
      <c r="O15" s="12">
        <f>(F8+I16)+((F8+I16)*0.2)</f>
        <v>67.9914893617021</v>
      </c>
      <c r="P15" s="12">
        <f>(F8+I16)+((F8+I16)*0.25)</f>
        <v>70.8244680851064</v>
      </c>
      <c r="Q15" s="12">
        <f>(F8+I16)+((F8+I16)*0.3)</f>
        <v>73.6574468085106</v>
      </c>
      <c r="R15" s="12">
        <f>(F8+I16)+((F8+I16)*0.35)</f>
        <v>76.4904255319149</v>
      </c>
      <c r="S15" s="12">
        <f>(F8+I16)+((F8+I16)*0.4)</f>
        <v>79.3234042553191</v>
      </c>
      <c r="T15" s="12">
        <f>(F8+I16)+((F8+I16)*0.45)</f>
        <v>82.1563829787234</v>
      </c>
      <c r="U15" s="12">
        <f>(F8+I16)+((F8+I16)*0.5)</f>
        <v>84.9893617021277</v>
      </c>
      <c r="V15" s="13">
        <f>(F8+I16)+((F8+I16)*0.6)</f>
        <v>90.6553191489362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</row>
    <row r="16" ht="28.95" spans="3:168">
      <c r="C16" s="58" t="s">
        <v>52</v>
      </c>
      <c r="D16" s="59"/>
      <c r="E16" s="58" t="s">
        <v>53</v>
      </c>
      <c r="F16" s="59"/>
      <c r="G16" s="58" t="s">
        <v>54</v>
      </c>
      <c r="H16" s="59"/>
      <c r="I16" s="60">
        <f>F8+H15/4.7</f>
        <v>42.1914893617021</v>
      </c>
      <c r="J16" s="61" t="s">
        <v>35</v>
      </c>
      <c r="K16" s="19">
        <f>(K15-I16)*4.7</f>
        <v>81.315</v>
      </c>
      <c r="L16" s="19">
        <f>(L15-I16)*4.7</f>
        <v>89.304</v>
      </c>
      <c r="M16" s="19">
        <f>(M15-I16)*4.7</f>
        <v>94.63</v>
      </c>
      <c r="N16" s="19">
        <f>(N15-I16)*4.7</f>
        <v>107.945</v>
      </c>
      <c r="O16" s="19">
        <f>(O15-I16)*4.7</f>
        <v>121.26</v>
      </c>
      <c r="P16" s="19">
        <f>(P15-I16)*4.7</f>
        <v>134.575</v>
      </c>
      <c r="Q16" s="19">
        <f>(Q15-I16)*4.7</f>
        <v>147.89</v>
      </c>
      <c r="R16" s="19">
        <f>(R15-I16)*4.7</f>
        <v>161.205</v>
      </c>
      <c r="S16" s="19">
        <f>(S15-I16)*4.7</f>
        <v>174.52</v>
      </c>
      <c r="T16" s="19">
        <f>(T15-I16)*4.7</f>
        <v>187.835</v>
      </c>
      <c r="U16" s="19">
        <f>(U15-I16)*4.7</f>
        <v>201.15</v>
      </c>
      <c r="V16" s="20">
        <f>(V15-I16)*4.7</f>
        <v>227.78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</row>
    <row r="17" ht="72" spans="3:168">
      <c r="C17" s="62" t="s">
        <v>55</v>
      </c>
      <c r="D17" s="62" t="s">
        <v>56</v>
      </c>
      <c r="E17" s="62" t="s">
        <v>57</v>
      </c>
      <c r="F17" s="62" t="s">
        <v>58</v>
      </c>
      <c r="G17" s="62" t="s">
        <v>59</v>
      </c>
      <c r="H17" s="62" t="s">
        <v>60</v>
      </c>
      <c r="I17" s="63" t="s">
        <v>61</v>
      </c>
      <c r="J17" s="62" t="s">
        <v>62</v>
      </c>
      <c r="K17" s="62" t="s">
        <v>63</v>
      </c>
      <c r="L17" s="62" t="s">
        <v>64</v>
      </c>
      <c r="M17" s="62" t="s">
        <v>65</v>
      </c>
      <c r="N17" s="62" t="s">
        <v>66</v>
      </c>
      <c r="O17" s="62" t="s">
        <v>67</v>
      </c>
      <c r="P17" s="62" t="s">
        <v>68</v>
      </c>
      <c r="Q17" s="62" t="s">
        <v>69</v>
      </c>
      <c r="R17" s="62" t="s">
        <v>70</v>
      </c>
      <c r="S17" s="64" t="s">
        <v>71</v>
      </c>
      <c r="T17" s="64" t="s">
        <v>72</v>
      </c>
      <c r="U17" s="64" t="s">
        <v>73</v>
      </c>
      <c r="V17" s="64" t="s">
        <v>74</v>
      </c>
      <c r="W17" s="64" t="s">
        <v>75</v>
      </c>
      <c r="X17" s="64" t="s">
        <v>76</v>
      </c>
      <c r="Y17" s="64" t="s">
        <v>77</v>
      </c>
      <c r="Z17" s="64" t="s">
        <v>78</v>
      </c>
      <c r="AA17" s="64" t="s">
        <v>79</v>
      </c>
      <c r="AB17" s="64" t="s">
        <v>80</v>
      </c>
      <c r="AC17" s="64" t="s">
        <v>81</v>
      </c>
      <c r="AD17" s="64" t="s">
        <v>82</v>
      </c>
      <c r="AE17" s="64" t="s">
        <v>83</v>
      </c>
      <c r="AF17" s="64" t="s">
        <v>84</v>
      </c>
      <c r="AG17" s="64" t="s">
        <v>85</v>
      </c>
      <c r="AH17" s="64" t="s">
        <v>86</v>
      </c>
      <c r="AI17" s="64" t="s">
        <v>87</v>
      </c>
      <c r="AJ17" s="64" t="s">
        <v>88</v>
      </c>
      <c r="AK17" s="64" t="s">
        <v>89</v>
      </c>
      <c r="AL17" s="64" t="s">
        <v>90</v>
      </c>
      <c r="AM17" s="64" t="s">
        <v>91</v>
      </c>
      <c r="AN17" s="64" t="s">
        <v>92</v>
      </c>
      <c r="AO17" s="64" t="s">
        <v>93</v>
      </c>
      <c r="AP17" s="64" t="s">
        <v>94</v>
      </c>
      <c r="AQ17" s="64" t="s">
        <v>95</v>
      </c>
      <c r="AR17" s="64" t="s">
        <v>96</v>
      </c>
      <c r="AS17" s="64" t="s">
        <v>97</v>
      </c>
      <c r="AT17" s="64" t="s">
        <v>98</v>
      </c>
      <c r="AU17" s="64" t="s">
        <v>99</v>
      </c>
      <c r="AV17" s="64" t="s">
        <v>100</v>
      </c>
      <c r="AW17" s="64" t="s">
        <v>101</v>
      </c>
      <c r="AX17" s="64" t="s">
        <v>102</v>
      </c>
      <c r="AY17" s="64" t="s">
        <v>103</v>
      </c>
      <c r="AZ17" s="64" t="s">
        <v>104</v>
      </c>
      <c r="BA17" s="65" t="s">
        <v>105</v>
      </c>
      <c r="BB17" s="65" t="s">
        <v>106</v>
      </c>
      <c r="BC17" s="65" t="s">
        <v>71</v>
      </c>
      <c r="BD17" s="65" t="s">
        <v>107</v>
      </c>
      <c r="BE17" s="65" t="s">
        <v>108</v>
      </c>
      <c r="BF17" s="65" t="s">
        <v>109</v>
      </c>
      <c r="BG17" s="65" t="s">
        <v>110</v>
      </c>
      <c r="BH17" s="65" t="s">
        <v>111</v>
      </c>
      <c r="BI17" s="65" t="s">
        <v>112</v>
      </c>
      <c r="BJ17" s="65" t="s">
        <v>82</v>
      </c>
      <c r="BK17" s="65" t="s">
        <v>113</v>
      </c>
      <c r="BL17" s="65" t="s">
        <v>114</v>
      </c>
      <c r="BM17" s="65" t="s">
        <v>115</v>
      </c>
      <c r="BN17" s="65" t="s">
        <v>116</v>
      </c>
      <c r="BO17" s="65" t="s">
        <v>117</v>
      </c>
      <c r="BP17" s="65" t="s">
        <v>118</v>
      </c>
      <c r="BQ17" s="65" t="s">
        <v>119</v>
      </c>
      <c r="BR17" s="65" t="s">
        <v>120</v>
      </c>
      <c r="BS17" s="65" t="s">
        <v>121</v>
      </c>
      <c r="BT17" s="65" t="s">
        <v>83</v>
      </c>
      <c r="BU17" s="65" t="s">
        <v>122</v>
      </c>
      <c r="BV17" s="65" t="s">
        <v>123</v>
      </c>
      <c r="BW17" s="65" t="s">
        <v>124</v>
      </c>
      <c r="BX17" s="65" t="s">
        <v>125</v>
      </c>
      <c r="BY17" s="65" t="s">
        <v>126</v>
      </c>
      <c r="BZ17" s="65" t="s">
        <v>127</v>
      </c>
      <c r="CA17" s="65" t="s">
        <v>79</v>
      </c>
      <c r="CB17" s="65" t="s">
        <v>128</v>
      </c>
      <c r="CC17" s="65" t="s">
        <v>129</v>
      </c>
      <c r="CD17" s="65" t="s">
        <v>84</v>
      </c>
      <c r="CE17" s="65" t="s">
        <v>130</v>
      </c>
      <c r="CF17" s="65" t="s">
        <v>131</v>
      </c>
      <c r="CG17" s="65" t="s">
        <v>132</v>
      </c>
      <c r="CH17" s="65" t="s">
        <v>133</v>
      </c>
      <c r="CI17" s="65" t="s">
        <v>134</v>
      </c>
      <c r="CJ17" s="65" t="s">
        <v>135</v>
      </c>
      <c r="CK17" s="65" t="s">
        <v>136</v>
      </c>
      <c r="CL17" s="65" t="s">
        <v>137</v>
      </c>
      <c r="CM17" s="65" t="s">
        <v>138</v>
      </c>
      <c r="CN17" s="65" t="s">
        <v>87</v>
      </c>
      <c r="CO17" s="65" t="s">
        <v>139</v>
      </c>
      <c r="CP17" s="65" t="s">
        <v>140</v>
      </c>
      <c r="CQ17" s="65" t="s">
        <v>141</v>
      </c>
      <c r="CR17" s="65" t="s">
        <v>89</v>
      </c>
      <c r="CS17" s="65" t="s">
        <v>88</v>
      </c>
      <c r="CT17" s="65" t="s">
        <v>142</v>
      </c>
      <c r="CU17" s="65" t="s">
        <v>143</v>
      </c>
      <c r="CV17" s="65" t="s">
        <v>144</v>
      </c>
      <c r="CW17" s="65" t="s">
        <v>145</v>
      </c>
      <c r="CX17" s="65" t="s">
        <v>146</v>
      </c>
      <c r="CY17" s="65" t="s">
        <v>147</v>
      </c>
      <c r="CZ17" s="65" t="s">
        <v>148</v>
      </c>
      <c r="DA17" s="65" t="s">
        <v>149</v>
      </c>
      <c r="DB17" s="65" t="s">
        <v>92</v>
      </c>
      <c r="DC17" s="65" t="s">
        <v>150</v>
      </c>
      <c r="DD17" s="65" t="s">
        <v>151</v>
      </c>
      <c r="DE17" s="65" t="s">
        <v>152</v>
      </c>
      <c r="DF17" s="65" t="s">
        <v>153</v>
      </c>
      <c r="DG17" s="65" t="s">
        <v>154</v>
      </c>
      <c r="DH17" s="65" t="s">
        <v>155</v>
      </c>
      <c r="DI17" s="65" t="s">
        <v>156</v>
      </c>
      <c r="DJ17" s="65" t="s">
        <v>90</v>
      </c>
      <c r="DK17" s="65" t="s">
        <v>157</v>
      </c>
      <c r="DL17" s="65" t="s">
        <v>158</v>
      </c>
      <c r="DM17" s="65" t="s">
        <v>159</v>
      </c>
      <c r="DN17" s="65" t="s">
        <v>160</v>
      </c>
      <c r="DO17" s="65" t="s">
        <v>75</v>
      </c>
      <c r="DP17" s="65" t="s">
        <v>161</v>
      </c>
      <c r="DQ17" s="65" t="s">
        <v>162</v>
      </c>
      <c r="DR17" s="65" t="s">
        <v>163</v>
      </c>
      <c r="DS17" s="65" t="s">
        <v>164</v>
      </c>
      <c r="DT17" s="65" t="s">
        <v>165</v>
      </c>
      <c r="DU17" s="65" t="s">
        <v>166</v>
      </c>
      <c r="DV17" s="65" t="s">
        <v>167</v>
      </c>
      <c r="DW17" s="65" t="s">
        <v>168</v>
      </c>
      <c r="DX17" s="65" t="s">
        <v>169</v>
      </c>
      <c r="DY17" s="65" t="s">
        <v>170</v>
      </c>
      <c r="DZ17" s="65" t="s">
        <v>171</v>
      </c>
      <c r="EA17" s="65" t="s">
        <v>172</v>
      </c>
      <c r="EB17" s="65" t="s">
        <v>173</v>
      </c>
      <c r="EC17" s="65" t="s">
        <v>99</v>
      </c>
      <c r="ED17" s="65" t="s">
        <v>174</v>
      </c>
      <c r="EE17" s="65" t="s">
        <v>175</v>
      </c>
      <c r="EF17" s="65" t="s">
        <v>176</v>
      </c>
      <c r="EG17" s="65" t="s">
        <v>177</v>
      </c>
      <c r="EH17" s="65" t="s">
        <v>98</v>
      </c>
      <c r="EI17" s="65" t="s">
        <v>178</v>
      </c>
      <c r="EJ17" s="65" t="s">
        <v>179</v>
      </c>
      <c r="EK17" s="65" t="s">
        <v>180</v>
      </c>
      <c r="EL17" s="65" t="s">
        <v>101</v>
      </c>
      <c r="EM17" s="65" t="s">
        <v>181</v>
      </c>
      <c r="EN17" s="65" t="s">
        <v>182</v>
      </c>
      <c r="EO17" s="65" t="s">
        <v>183</v>
      </c>
      <c r="EP17" s="65" t="s">
        <v>184</v>
      </c>
      <c r="EQ17" s="65" t="s">
        <v>185</v>
      </c>
      <c r="ER17" s="65" t="s">
        <v>186</v>
      </c>
      <c r="ES17" s="65" t="s">
        <v>187</v>
      </c>
      <c r="ET17" s="65" t="s">
        <v>188</v>
      </c>
      <c r="EU17" s="65" t="s">
        <v>189</v>
      </c>
      <c r="EV17" s="65" t="s">
        <v>190</v>
      </c>
      <c r="EW17" s="65" t="s">
        <v>191</v>
      </c>
      <c r="EX17" s="65" t="s">
        <v>192</v>
      </c>
      <c r="EY17" s="65" t="s">
        <v>193</v>
      </c>
      <c r="EZ17" s="65" t="s">
        <v>77</v>
      </c>
      <c r="FA17" s="65" t="s">
        <v>194</v>
      </c>
      <c r="FB17" s="65" t="s">
        <v>195</v>
      </c>
      <c r="FC17" s="65" t="s">
        <v>196</v>
      </c>
      <c r="FD17" s="65" t="s">
        <v>197</v>
      </c>
      <c r="FE17" s="65" t="s">
        <v>198</v>
      </c>
      <c r="FF17" s="65" t="s">
        <v>199</v>
      </c>
      <c r="FG17" s="65" t="s">
        <v>200</v>
      </c>
      <c r="FH17" s="65" t="s">
        <v>201</v>
      </c>
      <c r="FI17" s="65" t="s">
        <v>202</v>
      </c>
      <c r="FJ17" s="65" t="s">
        <v>203</v>
      </c>
      <c r="FK17" s="65" t="s">
        <v>204</v>
      </c>
      <c r="FL17" s="66" t="s">
        <v>205</v>
      </c>
    </row>
    <row r="18" ht="17.4" spans="3:168">
      <c r="C18" s="67">
        <f>D15/4.7</f>
        <v>11.2127659574468</v>
      </c>
      <c r="D18" s="67">
        <f>C18</f>
        <v>11.2127659574468</v>
      </c>
      <c r="E18" s="67">
        <f>F15/4.7</f>
        <v>21.3723404255319</v>
      </c>
      <c r="F18" s="67">
        <f>H15/4.7</f>
        <v>27.7234042553191</v>
      </c>
      <c r="G18" s="67">
        <f>F18</f>
        <v>27.7234042553191</v>
      </c>
      <c r="H18" s="67">
        <f>C18</f>
        <v>11.2127659574468</v>
      </c>
      <c r="I18" s="67">
        <f>E18</f>
        <v>21.3723404255319</v>
      </c>
      <c r="J18" s="67">
        <f>F18</f>
        <v>27.7234042553191</v>
      </c>
      <c r="K18" s="67">
        <f>H10/4.7</f>
        <v>9.29787234042553</v>
      </c>
      <c r="L18" s="67">
        <f>E18</f>
        <v>21.3723404255319</v>
      </c>
      <c r="M18" s="67">
        <f>E18</f>
        <v>21.3723404255319</v>
      </c>
      <c r="N18" s="67">
        <f>F18</f>
        <v>27.7234042553191</v>
      </c>
      <c r="O18" s="67">
        <f>C18</f>
        <v>11.2127659574468</v>
      </c>
      <c r="P18" s="67">
        <f>E18</f>
        <v>21.3723404255319</v>
      </c>
      <c r="Q18" s="67">
        <f>C18</f>
        <v>11.2127659574468</v>
      </c>
      <c r="R18" s="67">
        <f>F18</f>
        <v>27.7234042553191</v>
      </c>
      <c r="S18" s="67">
        <f>C18</f>
        <v>11.2127659574468</v>
      </c>
      <c r="T18" s="67">
        <f>F18</f>
        <v>27.7234042553191</v>
      </c>
      <c r="U18" s="67">
        <f>F18</f>
        <v>27.7234042553191</v>
      </c>
      <c r="V18" s="67">
        <f>E18</f>
        <v>21.3723404255319</v>
      </c>
      <c r="W18" s="67">
        <f>K18</f>
        <v>9.29787234042553</v>
      </c>
      <c r="X18" s="67">
        <f>E18</f>
        <v>21.3723404255319</v>
      </c>
      <c r="Y18" s="67">
        <f>C18</f>
        <v>11.2127659574468</v>
      </c>
      <c r="Z18" s="67">
        <f>E18</f>
        <v>21.3723404255319</v>
      </c>
      <c r="AA18" s="67">
        <f>C18</f>
        <v>11.2127659574468</v>
      </c>
      <c r="AB18" s="67">
        <f>C18</f>
        <v>11.2127659574468</v>
      </c>
      <c r="AC18" s="67">
        <f>E18</f>
        <v>21.3723404255319</v>
      </c>
      <c r="AD18" s="67">
        <f>C18</f>
        <v>11.2127659574468</v>
      </c>
      <c r="AE18" s="67">
        <f>C18</f>
        <v>11.2127659574468</v>
      </c>
      <c r="AF18" s="67">
        <f>C18</f>
        <v>11.2127659574468</v>
      </c>
      <c r="AG18" s="67">
        <f>C18</f>
        <v>11.2127659574468</v>
      </c>
      <c r="AH18" s="67">
        <f>E18</f>
        <v>21.3723404255319</v>
      </c>
      <c r="AI18" s="67">
        <f>C18</f>
        <v>11.2127659574468</v>
      </c>
      <c r="AJ18" s="67">
        <f>C18</f>
        <v>11.2127659574468</v>
      </c>
      <c r="AK18" s="67">
        <f>C18</f>
        <v>11.2127659574468</v>
      </c>
      <c r="AL18" s="67">
        <f>C18</f>
        <v>11.2127659574468</v>
      </c>
      <c r="AM18" s="67">
        <f>E18</f>
        <v>21.3723404255319</v>
      </c>
      <c r="AN18" s="67">
        <f>C18</f>
        <v>11.2127659574468</v>
      </c>
      <c r="AO18" s="67">
        <f>E18</f>
        <v>21.3723404255319</v>
      </c>
      <c r="AP18" s="67">
        <f>F18</f>
        <v>27.7234042553191</v>
      </c>
      <c r="AQ18" s="67">
        <f>F18</f>
        <v>27.7234042553191</v>
      </c>
      <c r="AR18" s="67">
        <f>F18</f>
        <v>27.7234042553191</v>
      </c>
      <c r="AS18" s="67">
        <f>F18</f>
        <v>27.7234042553191</v>
      </c>
      <c r="AT18" s="67">
        <f>C18</f>
        <v>11.2127659574468</v>
      </c>
      <c r="AU18" s="67">
        <f>C18</f>
        <v>11.2127659574468</v>
      </c>
      <c r="AV18" s="67">
        <f>E18</f>
        <v>21.3723404255319</v>
      </c>
      <c r="AW18" s="67">
        <f>C18</f>
        <v>11.2127659574468</v>
      </c>
      <c r="AX18" s="67">
        <f>E18</f>
        <v>21.3723404255319</v>
      </c>
      <c r="AY18" s="67">
        <f>E18</f>
        <v>21.3723404255319</v>
      </c>
      <c r="AZ18" s="67">
        <f>E18</f>
        <v>21.3723404255319</v>
      </c>
      <c r="BA18" s="67">
        <f>C18</f>
        <v>11.2127659574468</v>
      </c>
      <c r="BB18" s="67">
        <f>C18</f>
        <v>11.2127659574468</v>
      </c>
      <c r="BC18" s="67">
        <f>C18</f>
        <v>11.2127659574468</v>
      </c>
      <c r="BD18" s="67">
        <f>E18</f>
        <v>21.3723404255319</v>
      </c>
      <c r="BE18" s="67">
        <f>F18</f>
        <v>27.7234042553191</v>
      </c>
      <c r="BF18" s="67">
        <f>E18</f>
        <v>21.3723404255319</v>
      </c>
      <c r="BG18" s="67">
        <f>E18</f>
        <v>21.3723404255319</v>
      </c>
      <c r="BH18" s="67">
        <f>F18</f>
        <v>27.7234042553191</v>
      </c>
      <c r="BI18" s="67">
        <f>E18</f>
        <v>21.3723404255319</v>
      </c>
      <c r="BJ18" s="67">
        <f>C18</f>
        <v>11.2127659574468</v>
      </c>
      <c r="BK18" s="67">
        <f>C18</f>
        <v>11.2127659574468</v>
      </c>
      <c r="BL18" s="67">
        <f>E18</f>
        <v>21.3723404255319</v>
      </c>
      <c r="BM18" s="67">
        <f>E18</f>
        <v>21.3723404255319</v>
      </c>
      <c r="BN18" s="67">
        <f>F18</f>
        <v>27.7234042553191</v>
      </c>
      <c r="BO18" s="67">
        <f>E18</f>
        <v>21.3723404255319</v>
      </c>
      <c r="BP18" s="67">
        <f>E18</f>
        <v>21.3723404255319</v>
      </c>
      <c r="BQ18" s="67">
        <f>E18</f>
        <v>21.3723404255319</v>
      </c>
      <c r="BR18" s="67">
        <f>E18</f>
        <v>21.3723404255319</v>
      </c>
      <c r="BS18" s="67">
        <f>E18</f>
        <v>21.3723404255319</v>
      </c>
      <c r="BT18" s="67">
        <f>C18</f>
        <v>11.2127659574468</v>
      </c>
      <c r="BU18" s="67">
        <f>E18</f>
        <v>21.3723404255319</v>
      </c>
      <c r="BV18" s="67">
        <f>C18</f>
        <v>11.2127659574468</v>
      </c>
      <c r="BW18" s="67">
        <f>C18</f>
        <v>11.2127659574468</v>
      </c>
      <c r="BX18" s="67">
        <f>C18</f>
        <v>11.2127659574468</v>
      </c>
      <c r="BY18" s="67">
        <f>C18</f>
        <v>11.2127659574468</v>
      </c>
      <c r="BZ18" s="67">
        <f>C18</f>
        <v>11.2127659574468</v>
      </c>
      <c r="CA18" s="67">
        <f>K18</f>
        <v>9.29787234042553</v>
      </c>
      <c r="CB18" s="67">
        <f>C18</f>
        <v>11.2127659574468</v>
      </c>
      <c r="CC18" s="67">
        <f>K18</f>
        <v>9.29787234042553</v>
      </c>
      <c r="CD18" s="67">
        <f>C18</f>
        <v>11.2127659574468</v>
      </c>
      <c r="CE18" s="67">
        <f>C18</f>
        <v>11.2127659574468</v>
      </c>
      <c r="CF18" s="67">
        <f>C18</f>
        <v>11.2127659574468</v>
      </c>
      <c r="CG18" s="67">
        <f>C18</f>
        <v>11.2127659574468</v>
      </c>
      <c r="CH18" s="67">
        <f>F18</f>
        <v>27.7234042553191</v>
      </c>
      <c r="CI18" s="67">
        <f>F18</f>
        <v>27.7234042553191</v>
      </c>
      <c r="CJ18" s="67">
        <f>F18</f>
        <v>27.7234042553191</v>
      </c>
      <c r="CK18" s="67">
        <f>F18</f>
        <v>27.7234042553191</v>
      </c>
      <c r="CL18" s="67">
        <f>F18</f>
        <v>27.7234042553191</v>
      </c>
      <c r="CM18" s="67">
        <f>F18</f>
        <v>27.7234042553191</v>
      </c>
      <c r="CN18" s="67">
        <f>K18</f>
        <v>9.29787234042553</v>
      </c>
      <c r="CO18" s="67">
        <f>K18</f>
        <v>9.29787234042553</v>
      </c>
      <c r="CP18" s="67">
        <f>C18</f>
        <v>11.2127659574468</v>
      </c>
      <c r="CQ18" s="67">
        <f>C18</f>
        <v>11.2127659574468</v>
      </c>
      <c r="CR18" s="67">
        <f>C18</f>
        <v>11.2127659574468</v>
      </c>
      <c r="CS18" s="67">
        <f>C18</f>
        <v>11.2127659574468</v>
      </c>
      <c r="CT18" s="67">
        <f>C18</f>
        <v>11.2127659574468</v>
      </c>
      <c r="CU18" s="67">
        <f>C18</f>
        <v>11.2127659574468</v>
      </c>
      <c r="CV18" s="67">
        <f>C18</f>
        <v>11.2127659574468</v>
      </c>
      <c r="CW18" s="67">
        <f>C18</f>
        <v>11.2127659574468</v>
      </c>
      <c r="CX18" s="67">
        <f>E18</f>
        <v>21.3723404255319</v>
      </c>
      <c r="CY18" s="67">
        <f>C18</f>
        <v>11.2127659574468</v>
      </c>
      <c r="CZ18" s="67">
        <f>E18</f>
        <v>21.3723404255319</v>
      </c>
      <c r="DA18" s="67">
        <f>E18</f>
        <v>21.3723404255319</v>
      </c>
      <c r="DB18" s="67">
        <f>C18</f>
        <v>11.2127659574468</v>
      </c>
      <c r="DC18" s="67">
        <f>C18</f>
        <v>11.2127659574468</v>
      </c>
      <c r="DD18" s="67">
        <f>E18</f>
        <v>21.3723404255319</v>
      </c>
      <c r="DE18" s="67">
        <f>E18</f>
        <v>21.3723404255319</v>
      </c>
      <c r="DF18" s="67">
        <f>E18</f>
        <v>21.3723404255319</v>
      </c>
      <c r="DG18" s="67">
        <f>E18</f>
        <v>21.3723404255319</v>
      </c>
      <c r="DH18" s="67">
        <f>E18</f>
        <v>21.3723404255319</v>
      </c>
      <c r="DI18" s="67">
        <f>E18</f>
        <v>21.3723404255319</v>
      </c>
      <c r="DJ18" s="67">
        <f>C18</f>
        <v>11.2127659574468</v>
      </c>
      <c r="DK18" s="67">
        <f>E18</f>
        <v>21.3723404255319</v>
      </c>
      <c r="DL18" s="67">
        <f>E18</f>
        <v>21.3723404255319</v>
      </c>
      <c r="DM18" s="67">
        <f>E18</f>
        <v>21.3723404255319</v>
      </c>
      <c r="DN18" s="67">
        <f>E18</f>
        <v>21.3723404255319</v>
      </c>
      <c r="DO18" s="67">
        <f>K18</f>
        <v>9.29787234042553</v>
      </c>
      <c r="DP18" s="67">
        <f>C18</f>
        <v>11.2127659574468</v>
      </c>
      <c r="DQ18" s="67">
        <f>C18</f>
        <v>11.2127659574468</v>
      </c>
      <c r="DR18" s="67">
        <f>E18</f>
        <v>21.3723404255319</v>
      </c>
      <c r="DS18" s="67">
        <f>K18</f>
        <v>9.29787234042553</v>
      </c>
      <c r="DT18" s="67">
        <f>E18</f>
        <v>21.3723404255319</v>
      </c>
      <c r="DU18" s="67">
        <f>E18</f>
        <v>21.3723404255319</v>
      </c>
      <c r="DV18" s="67">
        <f>E18</f>
        <v>21.3723404255319</v>
      </c>
      <c r="DW18" s="67">
        <f>F18</f>
        <v>27.7234042553191</v>
      </c>
      <c r="DX18" s="67">
        <f>E18</f>
        <v>21.3723404255319</v>
      </c>
      <c r="DY18" s="67">
        <f>E18</f>
        <v>21.3723404255319</v>
      </c>
      <c r="DZ18" s="67">
        <f>E18</f>
        <v>21.3723404255319</v>
      </c>
      <c r="EA18" s="67">
        <f>E18</f>
        <v>21.3723404255319</v>
      </c>
      <c r="EB18" s="67">
        <f>E18</f>
        <v>21.3723404255319</v>
      </c>
      <c r="EC18" s="67">
        <f>C18</f>
        <v>11.2127659574468</v>
      </c>
      <c r="ED18" s="67">
        <f>E18</f>
        <v>21.3723404255319</v>
      </c>
      <c r="EE18" s="67">
        <f>C18</f>
        <v>11.2127659574468</v>
      </c>
      <c r="EF18" s="67">
        <f>C18</f>
        <v>11.2127659574468</v>
      </c>
      <c r="EG18" s="67">
        <f>E18</f>
        <v>21.3723404255319</v>
      </c>
      <c r="EH18" s="67">
        <f>K18</f>
        <v>9.29787234042553</v>
      </c>
      <c r="EI18" s="67">
        <f>K18</f>
        <v>9.29787234042553</v>
      </c>
      <c r="EJ18" s="67">
        <f>C18</f>
        <v>11.2127659574468</v>
      </c>
      <c r="EK18" s="67">
        <f>C18</f>
        <v>11.2127659574468</v>
      </c>
      <c r="EL18" s="67">
        <f>C18</f>
        <v>11.2127659574468</v>
      </c>
      <c r="EM18" s="67">
        <f>C18</f>
        <v>11.2127659574468</v>
      </c>
      <c r="EN18" s="67">
        <f>E18</f>
        <v>21.3723404255319</v>
      </c>
      <c r="EO18" s="67">
        <f>E18</f>
        <v>21.3723404255319</v>
      </c>
      <c r="EP18" s="67">
        <f>E18</f>
        <v>21.3723404255319</v>
      </c>
      <c r="EQ18" s="67">
        <f>E18</f>
        <v>21.3723404255319</v>
      </c>
      <c r="ER18" s="67">
        <f>E18</f>
        <v>21.3723404255319</v>
      </c>
      <c r="ES18" s="67">
        <f>E18</f>
        <v>21.3723404255319</v>
      </c>
      <c r="ET18" s="67">
        <f>E18</f>
        <v>21.3723404255319</v>
      </c>
      <c r="EU18" s="67">
        <f>C18</f>
        <v>11.2127659574468</v>
      </c>
      <c r="EV18" s="67">
        <f>C18</f>
        <v>11.2127659574468</v>
      </c>
      <c r="EW18" s="67">
        <f>C18</f>
        <v>11.2127659574468</v>
      </c>
      <c r="EX18" s="67">
        <f>E18</f>
        <v>21.3723404255319</v>
      </c>
      <c r="EY18" s="67">
        <f>C18</f>
        <v>11.2127659574468</v>
      </c>
      <c r="EZ18" s="67">
        <f>K18</f>
        <v>9.29787234042553</v>
      </c>
      <c r="FA18" s="67">
        <f>C18</f>
        <v>11.2127659574468</v>
      </c>
      <c r="FB18" s="67">
        <f>C18</f>
        <v>11.2127659574468</v>
      </c>
      <c r="FC18" s="67">
        <f>K18</f>
        <v>9.29787234042553</v>
      </c>
      <c r="FD18" s="67">
        <f>C18</f>
        <v>11.2127659574468</v>
      </c>
      <c r="FE18" s="67">
        <f>F18</f>
        <v>27.7234042553191</v>
      </c>
      <c r="FF18" s="67">
        <f>F18</f>
        <v>27.7234042553191</v>
      </c>
      <c r="FG18" s="67">
        <f>E18</f>
        <v>21.3723404255319</v>
      </c>
      <c r="FH18" s="67">
        <f>E18</f>
        <v>21.3723404255319</v>
      </c>
      <c r="FI18" s="67">
        <f>E18</f>
        <v>21.3723404255319</v>
      </c>
      <c r="FJ18" s="67">
        <f>E18</f>
        <v>21.3723404255319</v>
      </c>
      <c r="FK18" s="67">
        <f>E18</f>
        <v>21.3723404255319</v>
      </c>
      <c r="FL18" s="67">
        <f>G6</f>
        <v>17</v>
      </c>
    </row>
    <row r="20" s="6" customFormat="1" ht="34.8" spans="3:168">
      <c r="C20" s="68" t="s">
        <v>206</v>
      </c>
      <c r="D20" s="68" t="s">
        <v>207</v>
      </c>
      <c r="E20" s="68" t="s">
        <v>208</v>
      </c>
      <c r="F20" s="68" t="s">
        <v>209</v>
      </c>
      <c r="G20" s="68" t="s">
        <v>210</v>
      </c>
      <c r="H20" s="68" t="s">
        <v>211</v>
      </c>
      <c r="I20" s="68" t="s">
        <v>212</v>
      </c>
      <c r="J20" s="68" t="s">
        <v>213</v>
      </c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</row>
    <row r="21" s="6" customFormat="1" ht="17.4" spans="3:168">
      <c r="C21" s="71" t="s">
        <v>214</v>
      </c>
      <c r="D21" s="71" t="s">
        <v>215</v>
      </c>
      <c r="E21" s="71" t="s">
        <v>216</v>
      </c>
      <c r="F21" s="71" t="s">
        <v>217</v>
      </c>
      <c r="G21" s="71"/>
      <c r="H21" s="71"/>
      <c r="I21" s="72">
        <v>34</v>
      </c>
      <c r="J21" s="72">
        <v>21</v>
      </c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</row>
    <row r="22" s="6" customFormat="1" ht="17.4" spans="3:168">
      <c r="C22" s="71" t="s">
        <v>214</v>
      </c>
      <c r="D22" s="71" t="s">
        <v>215</v>
      </c>
      <c r="E22" s="71" t="s">
        <v>216</v>
      </c>
      <c r="F22" s="71" t="s">
        <v>218</v>
      </c>
      <c r="G22" s="71"/>
      <c r="H22" s="71"/>
      <c r="I22" s="72">
        <v>34</v>
      </c>
      <c r="J22" s="72">
        <v>24</v>
      </c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</row>
    <row r="23" s="6" customFormat="1" ht="17.4" spans="3:168">
      <c r="C23" s="71" t="s">
        <v>214</v>
      </c>
      <c r="D23" s="71" t="s">
        <v>215</v>
      </c>
      <c r="E23" s="71" t="s">
        <v>216</v>
      </c>
      <c r="F23" s="71" t="s">
        <v>219</v>
      </c>
      <c r="G23" s="71"/>
      <c r="H23" s="71"/>
      <c r="I23" s="72">
        <v>34</v>
      </c>
      <c r="J23" s="72">
        <v>25</v>
      </c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</row>
    <row r="24" s="6" customFormat="1" ht="17.4" spans="3:168">
      <c r="C24" s="71" t="s">
        <v>214</v>
      </c>
      <c r="D24" s="71" t="s">
        <v>215</v>
      </c>
      <c r="E24" s="71" t="s">
        <v>216</v>
      </c>
      <c r="F24" s="71" t="s">
        <v>220</v>
      </c>
      <c r="G24" s="71"/>
      <c r="H24" s="71"/>
      <c r="I24" s="72">
        <v>34</v>
      </c>
      <c r="J24" s="72">
        <v>27</v>
      </c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</row>
    <row r="25" s="6" customFormat="1" ht="17.4" spans="3:168">
      <c r="C25" s="71" t="s">
        <v>214</v>
      </c>
      <c r="D25" s="71" t="s">
        <v>215</v>
      </c>
      <c r="E25" s="71" t="s">
        <v>216</v>
      </c>
      <c r="F25" s="71" t="s">
        <v>221</v>
      </c>
      <c r="G25" s="71"/>
      <c r="H25" s="71"/>
      <c r="I25" s="72">
        <v>34</v>
      </c>
      <c r="J25" s="72">
        <v>42</v>
      </c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</row>
    <row r="26" s="6" customFormat="1" ht="17.4" spans="3:168">
      <c r="C26" s="71" t="s">
        <v>214</v>
      </c>
      <c r="D26" s="71" t="s">
        <v>215</v>
      </c>
      <c r="E26" s="71" t="s">
        <v>222</v>
      </c>
      <c r="F26" s="71" t="s">
        <v>217</v>
      </c>
      <c r="G26" s="71"/>
      <c r="H26" s="71"/>
      <c r="I26" s="72">
        <v>34</v>
      </c>
      <c r="J26" s="72">
        <v>29</v>
      </c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</row>
    <row r="27" s="6" customFormat="1" ht="17.4" spans="3:168">
      <c r="C27" s="71" t="s">
        <v>214</v>
      </c>
      <c r="D27" s="71" t="s">
        <v>215</v>
      </c>
      <c r="E27" s="71" t="s">
        <v>222</v>
      </c>
      <c r="F27" s="71" t="s">
        <v>218</v>
      </c>
      <c r="G27" s="71"/>
      <c r="H27" s="71"/>
      <c r="I27" s="72">
        <v>34</v>
      </c>
      <c r="J27" s="72">
        <v>30</v>
      </c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</row>
    <row r="28" s="6" customFormat="1" ht="17.4" spans="3:168">
      <c r="C28" s="71" t="s">
        <v>214</v>
      </c>
      <c r="D28" s="71" t="s">
        <v>215</v>
      </c>
      <c r="E28" s="71" t="s">
        <v>222</v>
      </c>
      <c r="F28" s="71" t="s">
        <v>219</v>
      </c>
      <c r="G28" s="71"/>
      <c r="H28" s="71"/>
      <c r="I28" s="72">
        <v>34</v>
      </c>
      <c r="J28" s="72">
        <v>34</v>
      </c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</row>
    <row r="29" s="6" customFormat="1" ht="17.4" spans="3:168">
      <c r="C29" s="71" t="s">
        <v>214</v>
      </c>
      <c r="D29" s="71" t="s">
        <v>215</v>
      </c>
      <c r="E29" s="71" t="s">
        <v>222</v>
      </c>
      <c r="F29" s="71" t="s">
        <v>220</v>
      </c>
      <c r="G29" s="71"/>
      <c r="H29" s="71"/>
      <c r="I29" s="72">
        <v>34</v>
      </c>
      <c r="J29" s="72">
        <v>36</v>
      </c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</row>
    <row r="30" s="6" customFormat="1" ht="17.4" spans="3:168">
      <c r="C30" s="71" t="s">
        <v>214</v>
      </c>
      <c r="D30" s="71" t="s">
        <v>215</v>
      </c>
      <c r="E30" s="71" t="s">
        <v>222</v>
      </c>
      <c r="F30" s="71" t="s">
        <v>221</v>
      </c>
      <c r="G30" s="71"/>
      <c r="H30" s="71"/>
      <c r="I30" s="72">
        <v>34</v>
      </c>
      <c r="J30" s="72">
        <v>53</v>
      </c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</row>
    <row r="31" s="6" customFormat="1" ht="17.4" spans="3:168">
      <c r="C31" s="71" t="s">
        <v>214</v>
      </c>
      <c r="D31" s="71" t="s">
        <v>215</v>
      </c>
      <c r="E31" s="71" t="s">
        <v>223</v>
      </c>
      <c r="F31" s="71" t="s">
        <v>217</v>
      </c>
      <c r="G31" s="71"/>
      <c r="H31" s="71"/>
      <c r="I31" s="72">
        <v>39</v>
      </c>
      <c r="J31" s="72">
        <v>55</v>
      </c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</row>
    <row r="32" s="6" customFormat="1" ht="17.4" spans="3:168">
      <c r="C32" s="71" t="s">
        <v>214</v>
      </c>
      <c r="D32" s="71" t="s">
        <v>215</v>
      </c>
      <c r="E32" s="71" t="s">
        <v>223</v>
      </c>
      <c r="F32" s="71" t="s">
        <v>218</v>
      </c>
      <c r="G32" s="71"/>
      <c r="H32" s="71"/>
      <c r="I32" s="72">
        <v>39</v>
      </c>
      <c r="J32" s="72">
        <v>56</v>
      </c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</row>
    <row r="33" s="6" customFormat="1" ht="17.4" spans="1:168">
      <c r="C33" s="71" t="s">
        <v>214</v>
      </c>
      <c r="D33" s="71" t="s">
        <v>215</v>
      </c>
      <c r="E33" s="71" t="s">
        <v>223</v>
      </c>
      <c r="F33" s="71" t="s">
        <v>219</v>
      </c>
      <c r="G33" s="71"/>
      <c r="H33" s="71"/>
      <c r="I33" s="72">
        <v>39</v>
      </c>
      <c r="J33" s="72">
        <v>79</v>
      </c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</row>
    <row r="34" s="6" customFormat="1" ht="17.4" spans="1:168">
      <c r="C34" s="71" t="s">
        <v>214</v>
      </c>
      <c r="D34" s="71" t="s">
        <v>215</v>
      </c>
      <c r="E34" s="71" t="s">
        <v>223</v>
      </c>
      <c r="F34" s="71" t="s">
        <v>220</v>
      </c>
      <c r="G34" s="71"/>
      <c r="H34" s="71"/>
      <c r="I34" s="72">
        <v>39</v>
      </c>
      <c r="J34" s="72">
        <v>81</v>
      </c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</row>
    <row r="35" s="6" customFormat="1" ht="17.4" spans="1:168">
      <c r="C35" s="71" t="s">
        <v>214</v>
      </c>
      <c r="D35" s="71" t="s">
        <v>215</v>
      </c>
      <c r="E35" s="71" t="s">
        <v>223</v>
      </c>
      <c r="F35" s="71" t="s">
        <v>221</v>
      </c>
      <c r="G35" s="71"/>
      <c r="H35" s="71"/>
      <c r="I35" s="72">
        <v>39</v>
      </c>
      <c r="J35" s="72">
        <v>120</v>
      </c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</row>
    <row r="36" s="6" customFormat="1" ht="17.4" spans="1:168">
      <c r="C36" s="71" t="s">
        <v>214</v>
      </c>
      <c r="D36" s="71" t="s">
        <v>215</v>
      </c>
      <c r="E36" s="71" t="s">
        <v>224</v>
      </c>
      <c r="F36" s="71" t="s">
        <v>217</v>
      </c>
      <c r="G36" s="71"/>
      <c r="H36" s="71"/>
      <c r="I36" s="72">
        <v>46</v>
      </c>
      <c r="J36" s="72">
        <v>62</v>
      </c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</row>
    <row r="37" s="6" customFormat="1" ht="17.4" spans="1:168">
      <c r="C37" s="71" t="s">
        <v>214</v>
      </c>
      <c r="D37" s="71" t="s">
        <v>215</v>
      </c>
      <c r="E37" s="71" t="s">
        <v>224</v>
      </c>
      <c r="F37" s="71" t="s">
        <v>218</v>
      </c>
      <c r="G37" s="71"/>
      <c r="H37" s="71"/>
      <c r="I37" s="72">
        <v>46</v>
      </c>
      <c r="J37" s="72">
        <v>62</v>
      </c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</row>
    <row r="38" s="6" customFormat="1" ht="17.4" spans="1:168">
      <c r="C38" s="71" t="s">
        <v>214</v>
      </c>
      <c r="D38" s="71" t="s">
        <v>215</v>
      </c>
      <c r="E38" s="71" t="s">
        <v>224</v>
      </c>
      <c r="F38" s="71" t="s">
        <v>219</v>
      </c>
      <c r="G38" s="71"/>
      <c r="H38" s="71"/>
      <c r="I38" s="72">
        <v>46</v>
      </c>
      <c r="J38" s="72">
        <v>105</v>
      </c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</row>
    <row r="39" s="6" customFormat="1" ht="17.4" spans="1:168">
      <c r="C39" s="71" t="s">
        <v>214</v>
      </c>
      <c r="D39" s="71" t="s">
        <v>215</v>
      </c>
      <c r="E39" s="71" t="s">
        <v>224</v>
      </c>
      <c r="F39" s="71" t="s">
        <v>220</v>
      </c>
      <c r="G39" s="71"/>
      <c r="H39" s="71"/>
      <c r="I39" s="72">
        <v>54</v>
      </c>
      <c r="J39" s="72">
        <v>130</v>
      </c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  <c r="FC39" s="70"/>
      <c r="FD39" s="70"/>
      <c r="FE39" s="70"/>
      <c r="FF39" s="70"/>
      <c r="FG39" s="70"/>
      <c r="FH39" s="70"/>
      <c r="FI39" s="70"/>
      <c r="FJ39" s="70"/>
      <c r="FK39" s="70"/>
      <c r="FL39" s="70"/>
    </row>
    <row r="40" s="6" customFormat="1" ht="17.4" spans="1:168">
      <c r="C40" s="71" t="s">
        <v>214</v>
      </c>
      <c r="D40" s="71" t="s">
        <v>215</v>
      </c>
      <c r="E40" s="71" t="s">
        <v>224</v>
      </c>
      <c r="F40" s="71" t="s">
        <v>221</v>
      </c>
      <c r="G40" s="71"/>
      <c r="H40" s="71"/>
      <c r="I40" s="72">
        <v>54</v>
      </c>
      <c r="J40" s="72">
        <v>160</v>
      </c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</row>
    <row r="41" s="7" customFormat="1" ht="15.15" spans="1:168">
      <c r="A41" s="73"/>
    </row>
    <row r="42" ht="47.55" spans="1:168">
      <c r="C42" s="74" t="s">
        <v>11</v>
      </c>
      <c r="D42" s="9"/>
      <c r="E42" s="9"/>
      <c r="F42" s="75"/>
      <c r="G42" s="9"/>
      <c r="H42" s="9"/>
      <c r="I42" s="9"/>
      <c r="J42" s="9"/>
      <c r="K42" s="10" t="s">
        <v>0</v>
      </c>
      <c r="L42" s="10" t="s">
        <v>1</v>
      </c>
      <c r="M42" s="10" t="s">
        <v>2</v>
      </c>
      <c r="N42" s="10" t="s">
        <v>3</v>
      </c>
      <c r="O42" s="10" t="s">
        <v>4</v>
      </c>
      <c r="P42" s="10" t="s">
        <v>5</v>
      </c>
      <c r="Q42" s="10" t="s">
        <v>6</v>
      </c>
      <c r="R42" s="10" t="s">
        <v>7</v>
      </c>
      <c r="S42" s="10" t="s">
        <v>8</v>
      </c>
      <c r="T42" s="10" t="s">
        <v>9</v>
      </c>
      <c r="U42" s="10" t="s">
        <v>10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</row>
    <row r="43" spans="1:168">
      <c r="C43" s="76">
        <f>Q46</f>
        <v>34.7234042553191</v>
      </c>
      <c r="D43" s="9"/>
      <c r="E43" s="9"/>
      <c r="F43" s="9"/>
      <c r="G43" s="9"/>
      <c r="H43" s="9"/>
      <c r="I43" s="9"/>
      <c r="J43" s="9"/>
      <c r="K43" s="11">
        <f>C47</f>
        <v>68</v>
      </c>
      <c r="L43" s="12">
        <f>C47*1.2</f>
        <v>81.6</v>
      </c>
      <c r="M43" s="12">
        <f>C47*1.4</f>
        <v>95.2</v>
      </c>
      <c r="N43" s="12">
        <f>C47*1.6</f>
        <v>108.8</v>
      </c>
      <c r="O43" s="12">
        <f>C47*1.8</f>
        <v>122.4</v>
      </c>
      <c r="P43" s="12">
        <f>C47*2</f>
        <v>136</v>
      </c>
      <c r="Q43" s="12">
        <f>C47*2.2</f>
        <v>149.6</v>
      </c>
      <c r="R43" s="12">
        <f>C47*2.4</f>
        <v>163.2</v>
      </c>
      <c r="S43" s="12">
        <f>C47*2.6</f>
        <v>176.8</v>
      </c>
      <c r="T43" s="12">
        <f>C47*2.8</f>
        <v>190.4</v>
      </c>
      <c r="U43" s="13">
        <f>C47*3</f>
        <v>204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</row>
    <row r="44" ht="18.15" spans="1:168">
      <c r="C44" s="15" t="s">
        <v>12</v>
      </c>
      <c r="D44" s="16" t="s">
        <v>13</v>
      </c>
      <c r="E44" s="16" t="s">
        <v>14</v>
      </c>
      <c r="F44" s="16" t="s">
        <v>15</v>
      </c>
      <c r="G44" s="16" t="s">
        <v>16</v>
      </c>
      <c r="H44" s="16" t="s">
        <v>17</v>
      </c>
      <c r="I44" s="77"/>
      <c r="J44" s="9"/>
      <c r="K44" s="18">
        <f>(K43-F47)*4.7</f>
        <v>251.6</v>
      </c>
      <c r="L44" s="19">
        <f>(L43-F47)*4.7</f>
        <v>315.52</v>
      </c>
      <c r="M44" s="19">
        <f>(M43-F47)*4.7</f>
        <v>379.44</v>
      </c>
      <c r="N44" s="19">
        <f>(N43-F47)*4.7</f>
        <v>443.36</v>
      </c>
      <c r="O44" s="19">
        <f>(O43-F47)*4.7</f>
        <v>507.28</v>
      </c>
      <c r="P44" s="19">
        <f>(P43-F47)*4.7</f>
        <v>571.2</v>
      </c>
      <c r="Q44" s="19">
        <f>(Q43-F47)*4.7</f>
        <v>635.12</v>
      </c>
      <c r="R44" s="19">
        <f>(R43-F47)*4.7</f>
        <v>699.04</v>
      </c>
      <c r="S44" s="19">
        <f>(S43-F47)*4.7</f>
        <v>762.96</v>
      </c>
      <c r="T44" s="19">
        <f>(T43-F47)*4.7</f>
        <v>826.88</v>
      </c>
      <c r="U44" s="41">
        <f>(U43-F47)*4.7</f>
        <v>890.8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</row>
    <row r="45" ht="63.15" spans="1:168">
      <c r="C45" s="22"/>
      <c r="D45" s="23" t="s">
        <v>18</v>
      </c>
      <c r="E45" s="23">
        <f>_xlfn.LET(_xlpm.KG,D47/1000,IF(_xlpm.KG&lt;=25,_xlpm.KG*101,"超出25kg"))</f>
        <v>521.665</v>
      </c>
      <c r="F45" s="23">
        <f>_xlfn.LET(_xlpm.KG,D47/1000,IF(_xlpm.KG&lt;=25,17,"超出 25kg"))</f>
        <v>17</v>
      </c>
      <c r="G45" s="23">
        <f>(E45+F45)/4.7</f>
        <v>114.609574468085</v>
      </c>
      <c r="H45" s="23">
        <f>F47+G45</f>
        <v>129.077659574468</v>
      </c>
      <c r="I45" s="78"/>
      <c r="J45" s="25" t="s">
        <v>225</v>
      </c>
      <c r="K45" s="26" t="s">
        <v>20</v>
      </c>
      <c r="L45" s="26" t="s">
        <v>21</v>
      </c>
      <c r="M45" s="26" t="s">
        <v>22</v>
      </c>
      <c r="N45" s="26" t="s">
        <v>23</v>
      </c>
      <c r="O45" s="26" t="s">
        <v>24</v>
      </c>
      <c r="P45" s="26" t="s">
        <v>25</v>
      </c>
      <c r="Q45" s="26" t="s">
        <v>26</v>
      </c>
      <c r="R45" s="26" t="s">
        <v>27</v>
      </c>
      <c r="S45" s="26" t="s">
        <v>28</v>
      </c>
      <c r="T45" s="79" t="s">
        <v>29</v>
      </c>
      <c r="U45" s="80" t="s">
        <v>30</v>
      </c>
      <c r="V45" s="81" t="s">
        <v>31</v>
      </c>
      <c r="W45" s="81" t="s">
        <v>226</v>
      </c>
      <c r="X45" s="81" t="s">
        <v>227</v>
      </c>
      <c r="Y45" s="82" t="s">
        <v>228</v>
      </c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</row>
    <row r="46" ht="17.4" spans="1:168">
      <c r="C46" s="28" t="s">
        <v>32</v>
      </c>
      <c r="D46" s="29" t="s">
        <v>33</v>
      </c>
      <c r="E46" s="29" t="s">
        <v>13</v>
      </c>
      <c r="F46" s="30" t="s">
        <v>17</v>
      </c>
      <c r="G46" s="31" t="s">
        <v>14</v>
      </c>
      <c r="H46" s="31" t="s">
        <v>15</v>
      </c>
      <c r="I46" s="83" t="s">
        <v>17</v>
      </c>
      <c r="J46" s="84" t="s">
        <v>34</v>
      </c>
      <c r="K46" s="12">
        <f>F47*1.2</f>
        <v>17.3617021276596</v>
      </c>
      <c r="L46" s="12">
        <f>F47*1.4</f>
        <v>20.2553191489362</v>
      </c>
      <c r="M46" s="12">
        <f>F47*1.6</f>
        <v>23.1489361702128</v>
      </c>
      <c r="N46" s="12">
        <f>F47*1.8</f>
        <v>26.0425531914894</v>
      </c>
      <c r="O46" s="12">
        <f>F47*2</f>
        <v>28.936170212766</v>
      </c>
      <c r="P46" s="12">
        <f>F47*2.2</f>
        <v>31.8297872340426</v>
      </c>
      <c r="Q46" s="12">
        <f>F47*2.4</f>
        <v>34.7234042553191</v>
      </c>
      <c r="R46" s="12">
        <f>F47*2.6</f>
        <v>37.6170212765957</v>
      </c>
      <c r="S46" s="12">
        <f>F47*2.8</f>
        <v>40.5106382978723</v>
      </c>
      <c r="T46" s="12">
        <f>F47*3</f>
        <v>43.4042553191489</v>
      </c>
      <c r="U46" s="85">
        <f>F47*3.2</f>
        <v>46.2978723404255</v>
      </c>
      <c r="V46" s="85">
        <f>F47*3.4</f>
        <v>49.1914893617021</v>
      </c>
      <c r="W46" s="85">
        <f>F47*3.6</f>
        <v>52.0851063829787</v>
      </c>
      <c r="X46" s="85">
        <f>F47*3.8</f>
        <v>54.9787234042553</v>
      </c>
      <c r="Y46" s="86">
        <f>F47*4</f>
        <v>57.8723404255319</v>
      </c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</row>
    <row r="47" ht="22.95" spans="1:168">
      <c r="C47" s="34">
        <v>68</v>
      </c>
      <c r="D47" s="34">
        <v>5165</v>
      </c>
      <c r="E47" s="35" t="str">
        <f>IF(D47/1000&lt;0.3,"【0-0.3kg】",IF(D47/1000&lt;0.5,"【0.3-0.5kg】",IF(D47/1000&lt;1,"【0.5-1kg】",IF(D47/1000&lt;3,"【1-3kg】",IF(D47/1000&lt;=20,"【3-20kg】","超出20kg")))))</f>
        <v>【3-20kg】</v>
      </c>
      <c r="F47" s="36">
        <f>(C47)/4.7</f>
        <v>14.468085106383</v>
      </c>
      <c r="G47" s="37">
        <f>_xlfn.LET(_xlpm.KG,D47/1000,IF(_xlpm.KG&lt;=0.3,_xlpm.KG*45,IF(_xlpm.KG&lt;=0.5,_xlpm.KG*45,IF(_xlpm.KG&lt;=1,_xlpm.KG*45,IF(_xlpm.KG&lt;=3,_xlpm.KG*45,IF(_xlpm.KG&lt;=20,_xlpm.KG*45,"超出20kg"))))))</f>
        <v>232.425</v>
      </c>
      <c r="H47" s="37">
        <f>_xlfn.LET(_xlpm.KG,D47/1000,IF(_xlpm.KG&lt;=0.3,21,IF(_xlpm.KG&lt;=0.5,24,IF(_xlpm.KG&lt;=1,25,IF(_xlpm.KG&lt;=3,27,IF(_xlpm.KG&lt;=20,42,"超出20kg"))))))</f>
        <v>42</v>
      </c>
      <c r="I47" s="87">
        <f>F47</f>
        <v>14.468085106383</v>
      </c>
      <c r="J47" s="88" t="s">
        <v>35</v>
      </c>
      <c r="K47" s="19">
        <f>(K46-F47)*4.7</f>
        <v>13.6</v>
      </c>
      <c r="L47" s="19">
        <f>(L46-F47)*4.7</f>
        <v>27.2</v>
      </c>
      <c r="M47" s="19">
        <f>(M46-F47)*4.7</f>
        <v>40.8</v>
      </c>
      <c r="N47" s="19">
        <f>(N46-F47)*4.7</f>
        <v>54.4</v>
      </c>
      <c r="O47" s="19">
        <f>(O46-F47)*4.7</f>
        <v>68</v>
      </c>
      <c r="P47" s="19">
        <f>(P46-F47)*4.7</f>
        <v>81.6</v>
      </c>
      <c r="Q47" s="19">
        <f>(Q46-F47)*4.7</f>
        <v>95.2</v>
      </c>
      <c r="R47" s="19">
        <f>(R46-F47)*4.7</f>
        <v>108.8</v>
      </c>
      <c r="S47" s="19">
        <f>(S46-F47)*4.7</f>
        <v>122.4</v>
      </c>
      <c r="T47" s="19">
        <f>(T46-F47)*4.7</f>
        <v>136</v>
      </c>
      <c r="U47" s="19">
        <f>(U46-F47)*4.7</f>
        <v>149.6</v>
      </c>
      <c r="V47" s="19">
        <f>(V46-F47)*4.7</f>
        <v>163.2</v>
      </c>
      <c r="W47" s="19">
        <f>(W46-F47)*4.7</f>
        <v>176.8</v>
      </c>
      <c r="X47" s="19">
        <f>(X46-F47)*4.7</f>
        <v>190.4</v>
      </c>
      <c r="Y47" s="20">
        <f>(Y46-F47)*4.7</f>
        <v>204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</row>
    <row r="48" ht="22.2" spans="1:168">
      <c r="C48" s="14" t="s">
        <v>36</v>
      </c>
      <c r="D48" s="89" t="s">
        <v>37</v>
      </c>
      <c r="E48" s="90" t="s">
        <v>38</v>
      </c>
      <c r="F48" s="44" t="s">
        <v>39</v>
      </c>
      <c r="G48" s="31" t="s">
        <v>40</v>
      </c>
      <c r="H48" s="31" t="s">
        <v>16</v>
      </c>
      <c r="I48" s="45" t="s">
        <v>41</v>
      </c>
      <c r="J48" s="39" t="s">
        <v>42</v>
      </c>
      <c r="K48" s="85">
        <f>(F47+I49)+((F47+I49)*0.05)</f>
        <v>91.6906914893617</v>
      </c>
      <c r="L48" s="85">
        <f>(F47+I49)+((F47+I49)*0.08)</f>
        <v>94.3104255319149</v>
      </c>
      <c r="M48" s="85">
        <f>(F47+I49)+((F47+I49)*0.1)</f>
        <v>96.056914893617</v>
      </c>
      <c r="N48" s="85">
        <f>(F47+I49)+((F47+I49)*0.15)</f>
        <v>100.423138297872</v>
      </c>
      <c r="O48" s="85">
        <f>(F47+I49)+((F47+I49)*0.2)</f>
        <v>104.789361702128</v>
      </c>
      <c r="P48" s="85">
        <f>(F47+I49)+((F47+I49)*0.25)</f>
        <v>109.155585106383</v>
      </c>
      <c r="Q48" s="85">
        <f>(F47+I49)+((F47+I49)*0.3)</f>
        <v>113.521808510638</v>
      </c>
      <c r="R48" s="85">
        <f>(F47+I49)+((F47+I49)*0.35)</f>
        <v>117.888031914894</v>
      </c>
      <c r="S48" s="85">
        <f>(F47+I49)+((F47+I49)*0.4)</f>
        <v>122.254255319149</v>
      </c>
      <c r="T48" s="85">
        <f>(F47+I49)+((F47+I49)*0.45)</f>
        <v>126.620478723404</v>
      </c>
      <c r="U48" s="85">
        <f>(F47+I49)+((F47+I49)*0.5)</f>
        <v>130.98670212766</v>
      </c>
      <c r="V48" s="86">
        <f>(F47+I49)+((F47+I49)*0.6)</f>
        <v>139.71914893617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</row>
    <row r="49" ht="16.35" spans="3:168">
      <c r="C49" s="21">
        <f>C43+C43*0.08</f>
        <v>37.5012765957447</v>
      </c>
      <c r="D49" s="46">
        <f>C49/0.9</f>
        <v>41.668085106383</v>
      </c>
      <c r="E49" s="91">
        <f>C43-I55</f>
        <v>-75.3276595744681</v>
      </c>
      <c r="F49" s="92">
        <f>E49*4.7</f>
        <v>-354.04</v>
      </c>
      <c r="G49" s="37">
        <f>MAX((G47+H47)*0.07,5)</f>
        <v>19.20975</v>
      </c>
      <c r="H49" s="37">
        <f>G47+H47</f>
        <v>274.425</v>
      </c>
      <c r="I49" s="38">
        <f>F47+H49/4.7</f>
        <v>72.8563829787234</v>
      </c>
      <c r="J49" s="39" t="s">
        <v>35</v>
      </c>
      <c r="K49" s="40">
        <f>(K48-I49)*4.7</f>
        <v>88.52125</v>
      </c>
      <c r="L49" s="40">
        <f>(L48-I49)*4.7</f>
        <v>100.834</v>
      </c>
      <c r="M49" s="40">
        <f>(M48-I49)*4.7</f>
        <v>109.0425</v>
      </c>
      <c r="N49" s="40">
        <f>(N48-I49)*4.7</f>
        <v>129.56375</v>
      </c>
      <c r="O49" s="40">
        <f>(O48-I49)*4.7</f>
        <v>150.085</v>
      </c>
      <c r="P49" s="40">
        <f>(P48-I49)*4.7</f>
        <v>170.60625</v>
      </c>
      <c r="Q49" s="40">
        <f>(Q48-I49)*4.7</f>
        <v>191.1275</v>
      </c>
      <c r="R49" s="40">
        <f>(R48-I49)*4.7</f>
        <v>211.64875</v>
      </c>
      <c r="S49" s="40">
        <f>(S48-I49)*4.7</f>
        <v>232.17</v>
      </c>
      <c r="T49" s="40">
        <f>(T48-I49)*4.7</f>
        <v>252.69125</v>
      </c>
      <c r="U49" s="40">
        <f>(U48-I49)*4.7</f>
        <v>273.2125</v>
      </c>
      <c r="V49" s="41">
        <f>(V48-I49)*4.7</f>
        <v>314.255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</row>
    <row r="50" ht="37" customHeight="1" spans="3:168">
      <c r="C50" s="49" t="s">
        <v>229</v>
      </c>
      <c r="D50" s="40">
        <f>(C49-I47)*4.7</f>
        <v>108.256</v>
      </c>
      <c r="E50" s="50" t="s">
        <v>44</v>
      </c>
      <c r="F50" s="51"/>
      <c r="G50" s="93" t="s">
        <v>45</v>
      </c>
      <c r="I50" s="45" t="s">
        <v>46</v>
      </c>
      <c r="J50" s="33" t="s">
        <v>47</v>
      </c>
      <c r="K50" s="12">
        <f>(F47+I51)+((F47+I51)*0.05)</f>
        <v>94.1481382978723</v>
      </c>
      <c r="L50" s="12">
        <f>(F47+I51)+((F47+I51)*0.08)</f>
        <v>96.838085106383</v>
      </c>
      <c r="M50" s="12">
        <f>(F47+I51)+((F47+I51)*0.1)</f>
        <v>98.6313829787234</v>
      </c>
      <c r="N50" s="12">
        <f>(F47+I51)+((F47+I51)*0.15)</f>
        <v>103.114627659574</v>
      </c>
      <c r="O50" s="12">
        <f>(F47+I51)+((F47+I51)*0.2)</f>
        <v>107.597872340426</v>
      </c>
      <c r="P50" s="12">
        <f>(F47+I51)+((F47+I51)*0.25)</f>
        <v>112.081117021277</v>
      </c>
      <c r="Q50" s="12">
        <f>(F47+I51)+((F47+I51)*0.3)</f>
        <v>116.564361702128</v>
      </c>
      <c r="R50" s="12">
        <f>(F47+I51)+((F47+I51)*0.35)</f>
        <v>121.047606382979</v>
      </c>
      <c r="S50" s="12">
        <f>(F47+I51)+((F47+I51)*0.4)</f>
        <v>125.53085106383</v>
      </c>
      <c r="T50" s="12">
        <f>(F47+I51)+((F47+I51)*0.45)</f>
        <v>130.014095744681</v>
      </c>
      <c r="U50" s="12">
        <f>(F47+I51)+((F47+I51)*0.5)</f>
        <v>134.497340425532</v>
      </c>
      <c r="V50" s="13">
        <f>(F47+I51)+((F47+I51)*0.6)</f>
        <v>143.463829787234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</row>
    <row r="51" ht="18.15" spans="3:168">
      <c r="C51" s="54" t="s">
        <v>14</v>
      </c>
      <c r="D51" s="55" t="s">
        <v>15</v>
      </c>
      <c r="E51" s="57" t="s">
        <v>14</v>
      </c>
      <c r="F51" s="31" t="s">
        <v>15</v>
      </c>
      <c r="G51" s="54" t="s">
        <v>14</v>
      </c>
      <c r="H51" s="55" t="s">
        <v>15</v>
      </c>
      <c r="I51" s="38">
        <f>F47+D54/4.7</f>
        <v>75.1968085106383</v>
      </c>
      <c r="J51" s="39" t="s">
        <v>35</v>
      </c>
      <c r="K51" s="40">
        <f>(K50-I51)*4.7</f>
        <v>89.0712499999999</v>
      </c>
      <c r="L51" s="40">
        <f>(L50-I51)*4.7</f>
        <v>101.714</v>
      </c>
      <c r="M51" s="40">
        <f>(M50-I51)*4.7</f>
        <v>110.1425</v>
      </c>
      <c r="N51" s="40">
        <f>(N50-I51)*4.7</f>
        <v>131.21375</v>
      </c>
      <c r="O51" s="40">
        <f>(O50-I51)*4.7</f>
        <v>152.285</v>
      </c>
      <c r="P51" s="40">
        <f>(P50-I51)*4.7</f>
        <v>173.35625</v>
      </c>
      <c r="Q51" s="40">
        <f>(Q50-I51)*4.7</f>
        <v>194.4275</v>
      </c>
      <c r="R51" s="40">
        <f>(R50-I51)*4.7</f>
        <v>215.49875</v>
      </c>
      <c r="S51" s="40">
        <f>(S50-I51)*4.7</f>
        <v>236.57</v>
      </c>
      <c r="T51" s="40">
        <f>(T50-I51)*4.7</f>
        <v>257.64125</v>
      </c>
      <c r="U51" s="40">
        <f>(U50-I51)*4.7</f>
        <v>278.7125</v>
      </c>
      <c r="V51" s="41">
        <f>(V50-I51)*4.7</f>
        <v>320.855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</row>
    <row r="52" ht="22.2" spans="3:168">
      <c r="C52" s="56">
        <f>_xlfn.LET(_xlpm.KG,D47/1000,IF(_xlpm.KG&lt;=0.3,_xlpm.KG*45,IF(_xlpm.KG&lt;=0.5,_xlpm.KG*45,IF(_xlpm.KG&lt;=1,_xlpm.KG*45,IF(_xlpm.KG&lt;=3,_xlpm.KG*45,IF(_xlpm.KG&lt;=20,_xlpm.KG*45,"超出20kg"))))))</f>
        <v>232.425</v>
      </c>
      <c r="D52" s="37">
        <f>_xlfn.LET(_xlpm.KG,D47/1000,IF(_xlpm.KG&lt;=0.3,29,IF(_xlpm.KG&lt;=0.5,30,IF(_xlpm.KG&lt;=1,34,IF(_xlpm.KG&lt;=3,36,IF(_xlpm.KG&lt;=20,53,"超出20kg"))))))</f>
        <v>53</v>
      </c>
      <c r="E52" s="56">
        <f>_xlfn.LET(_xlpm.KG,D47/1000,IF(_xlpm.KG&lt;=0.3,_xlpm.KG*45,IF(_xlpm.KG&lt;=0.5,_xlpm.KG*45,IF(_xlpm.KG&lt;=1,_xlpm.KG*45,IF(_xlpm.KG&lt;=3,_xlpm.KG*45,IF(_xlpm.KG&lt;=20,_xlpm.KG*45,"超出 20kg"))))))</f>
        <v>232.425</v>
      </c>
      <c r="F52" s="37">
        <f>_xlfn.LET(_xlpm.KG,D47/1000,IF(_xlpm.KG&lt;=0.3,55,IF(_xlpm.KG&lt;=0.5,56,IF(_xlpm.KG&lt;=1,79,IF(_xlpm.KG&lt;=3,81,IF(_xlpm.KG&lt;=20,120,"超出 20kg"))))))</f>
        <v>120</v>
      </c>
      <c r="G52" s="56">
        <f>_xlfn.LET(_xlpm.KG,D47/1000,IF(_xlpm.KG&lt;0.3,_xlpm.KG*56,IF(_xlpm.KG&lt;0.5,_xlpm.KG*56,IF(_xlpm.KG&lt;1,_xlpm.KG*56,IF(_xlpm.KG&lt;3,_xlpm.KG*56,IF(_xlpm.KG&lt;=20,_xlpm.KG*56,"超出20kg"))))))</f>
        <v>289.24</v>
      </c>
      <c r="H52" s="37">
        <f>IF(D47/1000&lt;0.5,62,IF(D47/1000&lt;1,105,IF(D47/1000&lt;3,130,IF(D47/1000&lt;=20,160,D47))))</f>
        <v>160</v>
      </c>
      <c r="I52" s="45" t="s">
        <v>48</v>
      </c>
      <c r="J52" s="33" t="s">
        <v>49</v>
      </c>
      <c r="K52" s="12">
        <f>(F47+I53)+((F47+I53)*0.05)</f>
        <v>109.116223404255</v>
      </c>
      <c r="L52" s="12">
        <f>(F47+I53)+((F47+I53)*0.08)</f>
        <v>112.233829787234</v>
      </c>
      <c r="M52" s="12">
        <f>(F47+I53)+((F47+I53)*0.1)</f>
        <v>114.312234042553</v>
      </c>
      <c r="N52" s="12">
        <f>(F47+I53)+((F47+I53)*0.15)</f>
        <v>119.508244680851</v>
      </c>
      <c r="O52" s="12">
        <f>(F47+I53)+((F47+I53)*0.2)</f>
        <v>124.704255319149</v>
      </c>
      <c r="P52" s="12">
        <f>(F47+I53)+((F47+I53)*0.25)</f>
        <v>129.900265957447</v>
      </c>
      <c r="Q52" s="12">
        <f>(F47+I53)+((F47+I53)*0.3)</f>
        <v>135.096276595745</v>
      </c>
      <c r="R52" s="12">
        <f>(F47+I53)+((F47+I53)*0.35)</f>
        <v>140.292287234043</v>
      </c>
      <c r="S52" s="12">
        <f>(F47+I53)+((F47+I53)*0.4)</f>
        <v>145.48829787234</v>
      </c>
      <c r="T52" s="12">
        <f>(F47+I53)+((F47+I53)*0.45)</f>
        <v>150.684308510638</v>
      </c>
      <c r="U52" s="12">
        <f>(F47+I53)+((F47+I53)*0.5)</f>
        <v>155.880319148936</v>
      </c>
      <c r="V52" s="13">
        <f>(F47+I53)+((F47+I53)*0.6)</f>
        <v>166.272340425532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</row>
    <row r="53" ht="18.15" spans="3:168">
      <c r="C53" s="57" t="s">
        <v>40</v>
      </c>
      <c r="D53" s="31" t="s">
        <v>16</v>
      </c>
      <c r="E53" s="57" t="s">
        <v>40</v>
      </c>
      <c r="F53" s="31" t="s">
        <v>16</v>
      </c>
      <c r="G53" s="57" t="s">
        <v>40</v>
      </c>
      <c r="H53" s="31" t="s">
        <v>16</v>
      </c>
      <c r="I53" s="38">
        <f>F47+F54/4.7</f>
        <v>89.4521276595745</v>
      </c>
      <c r="J53" s="39" t="s">
        <v>35</v>
      </c>
      <c r="K53" s="40">
        <f>(K52-I53)*4.7</f>
        <v>92.42125</v>
      </c>
      <c r="L53" s="40">
        <f>(L52-I53)*4.7</f>
        <v>107.074</v>
      </c>
      <c r="M53" s="40">
        <f>(M52-I53)*4.7</f>
        <v>116.8425</v>
      </c>
      <c r="N53" s="40">
        <f>(N52-I53)*4.7</f>
        <v>141.26375</v>
      </c>
      <c r="O53" s="40">
        <f>(O52-I53)*4.7</f>
        <v>165.685</v>
      </c>
      <c r="P53" s="40">
        <f>(P52-I53)*4.7</f>
        <v>190.10625</v>
      </c>
      <c r="Q53" s="40">
        <f>(Q52-I53)*4.7</f>
        <v>214.5275</v>
      </c>
      <c r="R53" s="40">
        <f>(R52-I53)*4.7</f>
        <v>238.94875</v>
      </c>
      <c r="S53" s="40">
        <f>(S52-I53)*4.7</f>
        <v>263.37</v>
      </c>
      <c r="T53" s="40">
        <f>(T52-I53)*4.7</f>
        <v>287.79125</v>
      </c>
      <c r="U53" s="40">
        <f>(U52-I53)*4.7</f>
        <v>312.2125</v>
      </c>
      <c r="V53" s="41">
        <f>(V52-I53)*4.7</f>
        <v>361.055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</row>
    <row r="54" ht="22.2" spans="3:168">
      <c r="C54" s="56">
        <f>MAX((C52+D52)*0.07,5)</f>
        <v>19.97975</v>
      </c>
      <c r="D54" s="37">
        <f>C52+D52</f>
        <v>285.425</v>
      </c>
      <c r="E54" s="56">
        <f>MAX((E52+F52)*0.07,5)</f>
        <v>24.66975</v>
      </c>
      <c r="F54" s="37">
        <f>E52+F52</f>
        <v>352.425</v>
      </c>
      <c r="G54" s="56">
        <f>MAX((G52+H52)*0.07,5)</f>
        <v>31.4468</v>
      </c>
      <c r="H54" s="37">
        <f>G52+H52</f>
        <v>449.24</v>
      </c>
      <c r="I54" s="45" t="s">
        <v>50</v>
      </c>
      <c r="J54" s="33" t="s">
        <v>51</v>
      </c>
      <c r="K54" s="12">
        <f>(F47+I55)+((F47+I55)*0.05)</f>
        <v>130.745106382979</v>
      </c>
      <c r="L54" s="12">
        <f>(F47+I55)+((F47+I55)*0.08)</f>
        <v>134.480680851064</v>
      </c>
      <c r="M54" s="12">
        <f>(F47+I55)+((F47+I55)*0.1)</f>
        <v>136.971063829787</v>
      </c>
      <c r="N54" s="12">
        <f>(F47+I55)+((F47+I55)*0.15)</f>
        <v>143.197021276596</v>
      </c>
      <c r="O54" s="12">
        <f>(F47+I55)+((F47+I55)*0.2)</f>
        <v>149.422978723404</v>
      </c>
      <c r="P54" s="12">
        <f>(F47+I55)+((F47+I55)*0.25)</f>
        <v>155.648936170213</v>
      </c>
      <c r="Q54" s="12">
        <f>(F47+I55)+((F47+I55)*0.3)</f>
        <v>161.874893617021</v>
      </c>
      <c r="R54" s="12">
        <f>(F47+I55)+((F47+I55)*0.35)</f>
        <v>168.10085106383</v>
      </c>
      <c r="S54" s="12">
        <f>(F47+I55)+((F47+I55)*0.4)</f>
        <v>174.326808510638</v>
      </c>
      <c r="T54" s="12">
        <f>(F47+I55)+((F47+I55)*0.45)</f>
        <v>180.552765957447</v>
      </c>
      <c r="U54" s="12">
        <f>(F47+I55)+((F47+I55)*0.5)</f>
        <v>186.778723404255</v>
      </c>
      <c r="V54" s="13">
        <f>(F47+I55)+((F47+I55)*0.6)</f>
        <v>199.230638297872</v>
      </c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</row>
    <row r="55" ht="28.95" spans="3:168">
      <c r="C55" s="58" t="s">
        <v>52</v>
      </c>
      <c r="D55" s="59"/>
      <c r="E55" s="58" t="s">
        <v>53</v>
      </c>
      <c r="F55" s="59"/>
      <c r="G55" s="58" t="s">
        <v>54</v>
      </c>
      <c r="H55" s="59"/>
      <c r="I55" s="60">
        <f>F47+H54/4.7</f>
        <v>110.051063829787</v>
      </c>
      <c r="J55" s="61" t="s">
        <v>35</v>
      </c>
      <c r="K55" s="19">
        <f>(K54-I55)*4.7</f>
        <v>97.262</v>
      </c>
      <c r="L55" s="19">
        <f>(L54-I55)*4.7</f>
        <v>114.8192</v>
      </c>
      <c r="M55" s="19">
        <f>(M54-I55)*4.7</f>
        <v>126.524</v>
      </c>
      <c r="N55" s="19">
        <f>(N54-I55)*4.7</f>
        <v>155.786</v>
      </c>
      <c r="O55" s="19">
        <f>(O54-I55)*4.7</f>
        <v>185.048</v>
      </c>
      <c r="P55" s="19">
        <f>(P54-I55)*4.7</f>
        <v>214.31</v>
      </c>
      <c r="Q55" s="19">
        <f>(Q54-I55)*4.7</f>
        <v>243.572</v>
      </c>
      <c r="R55" s="19">
        <f>(R54-I55)*4.7</f>
        <v>272.834</v>
      </c>
      <c r="S55" s="19">
        <f>(S54-I55)*4.7</f>
        <v>302.096</v>
      </c>
      <c r="T55" s="19">
        <f>(T54-I55)*4.7</f>
        <v>331.358</v>
      </c>
      <c r="U55" s="19">
        <f>(U54-I55)*4.7</f>
        <v>360.62</v>
      </c>
      <c r="V55" s="20">
        <f>(V54-I55)*4.7</f>
        <v>419.144</v>
      </c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</row>
    <row r="56" ht="72" spans="3:168">
      <c r="C56" s="62" t="s">
        <v>55</v>
      </c>
      <c r="D56" s="62" t="s">
        <v>56</v>
      </c>
      <c r="E56" s="62" t="s">
        <v>57</v>
      </c>
      <c r="F56" s="62" t="s">
        <v>58</v>
      </c>
      <c r="G56" s="62" t="s">
        <v>59</v>
      </c>
      <c r="H56" s="62" t="s">
        <v>60</v>
      </c>
      <c r="I56" s="63" t="s">
        <v>61</v>
      </c>
      <c r="J56" s="62" t="s">
        <v>62</v>
      </c>
      <c r="K56" s="62" t="s">
        <v>63</v>
      </c>
      <c r="L56" s="62" t="s">
        <v>64</v>
      </c>
      <c r="M56" s="62" t="s">
        <v>65</v>
      </c>
      <c r="N56" s="62" t="s">
        <v>66</v>
      </c>
      <c r="O56" s="62" t="s">
        <v>67</v>
      </c>
      <c r="P56" s="62" t="s">
        <v>68</v>
      </c>
      <c r="Q56" s="62" t="s">
        <v>69</v>
      </c>
      <c r="R56" s="62" t="s">
        <v>70</v>
      </c>
      <c r="S56" s="64" t="s">
        <v>71</v>
      </c>
      <c r="T56" s="64" t="s">
        <v>72</v>
      </c>
      <c r="U56" s="64" t="s">
        <v>73</v>
      </c>
      <c r="V56" s="64" t="s">
        <v>74</v>
      </c>
      <c r="W56" s="64" t="s">
        <v>75</v>
      </c>
      <c r="X56" s="64" t="s">
        <v>76</v>
      </c>
      <c r="Y56" s="64" t="s">
        <v>77</v>
      </c>
      <c r="Z56" s="64" t="s">
        <v>78</v>
      </c>
      <c r="AA56" s="64" t="s">
        <v>79</v>
      </c>
      <c r="AB56" s="64" t="s">
        <v>80</v>
      </c>
      <c r="AC56" s="64" t="s">
        <v>81</v>
      </c>
      <c r="AD56" s="64" t="s">
        <v>82</v>
      </c>
      <c r="AE56" s="64" t="s">
        <v>83</v>
      </c>
      <c r="AF56" s="64" t="s">
        <v>84</v>
      </c>
      <c r="AG56" s="64" t="s">
        <v>85</v>
      </c>
      <c r="AH56" s="64" t="s">
        <v>86</v>
      </c>
      <c r="AI56" s="64" t="s">
        <v>87</v>
      </c>
      <c r="AJ56" s="64" t="s">
        <v>88</v>
      </c>
      <c r="AK56" s="64" t="s">
        <v>89</v>
      </c>
      <c r="AL56" s="64" t="s">
        <v>90</v>
      </c>
      <c r="AM56" s="64" t="s">
        <v>91</v>
      </c>
      <c r="AN56" s="64" t="s">
        <v>92</v>
      </c>
      <c r="AO56" s="64" t="s">
        <v>93</v>
      </c>
      <c r="AP56" s="64" t="s">
        <v>94</v>
      </c>
      <c r="AQ56" s="64" t="s">
        <v>95</v>
      </c>
      <c r="AR56" s="64" t="s">
        <v>96</v>
      </c>
      <c r="AS56" s="64" t="s">
        <v>97</v>
      </c>
      <c r="AT56" s="64" t="s">
        <v>98</v>
      </c>
      <c r="AU56" s="64" t="s">
        <v>99</v>
      </c>
      <c r="AV56" s="64" t="s">
        <v>100</v>
      </c>
      <c r="AW56" s="64" t="s">
        <v>101</v>
      </c>
      <c r="AX56" s="64" t="s">
        <v>102</v>
      </c>
      <c r="AY56" s="64" t="s">
        <v>103</v>
      </c>
      <c r="AZ56" s="64" t="s">
        <v>104</v>
      </c>
      <c r="BA56" s="65" t="s">
        <v>105</v>
      </c>
      <c r="BB56" s="65" t="s">
        <v>106</v>
      </c>
      <c r="BC56" s="65" t="s">
        <v>71</v>
      </c>
      <c r="BD56" s="65" t="s">
        <v>107</v>
      </c>
      <c r="BE56" s="65" t="s">
        <v>108</v>
      </c>
      <c r="BF56" s="65" t="s">
        <v>109</v>
      </c>
      <c r="BG56" s="65" t="s">
        <v>110</v>
      </c>
      <c r="BH56" s="65" t="s">
        <v>111</v>
      </c>
      <c r="BI56" s="65" t="s">
        <v>112</v>
      </c>
      <c r="BJ56" s="65" t="s">
        <v>82</v>
      </c>
      <c r="BK56" s="65" t="s">
        <v>113</v>
      </c>
      <c r="BL56" s="65" t="s">
        <v>114</v>
      </c>
      <c r="BM56" s="65" t="s">
        <v>115</v>
      </c>
      <c r="BN56" s="65" t="s">
        <v>116</v>
      </c>
      <c r="BO56" s="65" t="s">
        <v>117</v>
      </c>
      <c r="BP56" s="65" t="s">
        <v>118</v>
      </c>
      <c r="BQ56" s="65" t="s">
        <v>119</v>
      </c>
      <c r="BR56" s="65" t="s">
        <v>120</v>
      </c>
      <c r="BS56" s="65" t="s">
        <v>121</v>
      </c>
      <c r="BT56" s="65" t="s">
        <v>83</v>
      </c>
      <c r="BU56" s="65" t="s">
        <v>122</v>
      </c>
      <c r="BV56" s="65" t="s">
        <v>123</v>
      </c>
      <c r="BW56" s="65" t="s">
        <v>124</v>
      </c>
      <c r="BX56" s="65" t="s">
        <v>125</v>
      </c>
      <c r="BY56" s="65" t="s">
        <v>126</v>
      </c>
      <c r="BZ56" s="65" t="s">
        <v>127</v>
      </c>
      <c r="CA56" s="65" t="s">
        <v>79</v>
      </c>
      <c r="CB56" s="65" t="s">
        <v>128</v>
      </c>
      <c r="CC56" s="65" t="s">
        <v>129</v>
      </c>
      <c r="CD56" s="65" t="s">
        <v>84</v>
      </c>
      <c r="CE56" s="65" t="s">
        <v>130</v>
      </c>
      <c r="CF56" s="65" t="s">
        <v>131</v>
      </c>
      <c r="CG56" s="65" t="s">
        <v>132</v>
      </c>
      <c r="CH56" s="65" t="s">
        <v>133</v>
      </c>
      <c r="CI56" s="65" t="s">
        <v>134</v>
      </c>
      <c r="CJ56" s="65" t="s">
        <v>135</v>
      </c>
      <c r="CK56" s="65" t="s">
        <v>136</v>
      </c>
      <c r="CL56" s="65" t="s">
        <v>137</v>
      </c>
      <c r="CM56" s="65" t="s">
        <v>138</v>
      </c>
      <c r="CN56" s="65" t="s">
        <v>87</v>
      </c>
      <c r="CO56" s="65" t="s">
        <v>139</v>
      </c>
      <c r="CP56" s="65" t="s">
        <v>140</v>
      </c>
      <c r="CQ56" s="65" t="s">
        <v>141</v>
      </c>
      <c r="CR56" s="65" t="s">
        <v>89</v>
      </c>
      <c r="CS56" s="65" t="s">
        <v>88</v>
      </c>
      <c r="CT56" s="65" t="s">
        <v>142</v>
      </c>
      <c r="CU56" s="65" t="s">
        <v>143</v>
      </c>
      <c r="CV56" s="65" t="s">
        <v>144</v>
      </c>
      <c r="CW56" s="65" t="s">
        <v>145</v>
      </c>
      <c r="CX56" s="65" t="s">
        <v>146</v>
      </c>
      <c r="CY56" s="65" t="s">
        <v>147</v>
      </c>
      <c r="CZ56" s="65" t="s">
        <v>148</v>
      </c>
      <c r="DA56" s="65" t="s">
        <v>149</v>
      </c>
      <c r="DB56" s="65" t="s">
        <v>92</v>
      </c>
      <c r="DC56" s="65" t="s">
        <v>150</v>
      </c>
      <c r="DD56" s="65" t="s">
        <v>151</v>
      </c>
      <c r="DE56" s="65" t="s">
        <v>152</v>
      </c>
      <c r="DF56" s="65" t="s">
        <v>153</v>
      </c>
      <c r="DG56" s="65" t="s">
        <v>154</v>
      </c>
      <c r="DH56" s="65" t="s">
        <v>155</v>
      </c>
      <c r="DI56" s="65" t="s">
        <v>156</v>
      </c>
      <c r="DJ56" s="65" t="s">
        <v>90</v>
      </c>
      <c r="DK56" s="65" t="s">
        <v>157</v>
      </c>
      <c r="DL56" s="65" t="s">
        <v>158</v>
      </c>
      <c r="DM56" s="65" t="s">
        <v>159</v>
      </c>
      <c r="DN56" s="65" t="s">
        <v>160</v>
      </c>
      <c r="DO56" s="65" t="s">
        <v>75</v>
      </c>
      <c r="DP56" s="65" t="s">
        <v>161</v>
      </c>
      <c r="DQ56" s="65" t="s">
        <v>162</v>
      </c>
      <c r="DR56" s="65" t="s">
        <v>163</v>
      </c>
      <c r="DS56" s="65" t="s">
        <v>164</v>
      </c>
      <c r="DT56" s="65" t="s">
        <v>165</v>
      </c>
      <c r="DU56" s="65" t="s">
        <v>166</v>
      </c>
      <c r="DV56" s="65" t="s">
        <v>167</v>
      </c>
      <c r="DW56" s="65" t="s">
        <v>168</v>
      </c>
      <c r="DX56" s="65" t="s">
        <v>169</v>
      </c>
      <c r="DY56" s="65" t="s">
        <v>170</v>
      </c>
      <c r="DZ56" s="65" t="s">
        <v>171</v>
      </c>
      <c r="EA56" s="65" t="s">
        <v>172</v>
      </c>
      <c r="EB56" s="65" t="s">
        <v>173</v>
      </c>
      <c r="EC56" s="65" t="s">
        <v>99</v>
      </c>
      <c r="ED56" s="65" t="s">
        <v>174</v>
      </c>
      <c r="EE56" s="65" t="s">
        <v>175</v>
      </c>
      <c r="EF56" s="65" t="s">
        <v>176</v>
      </c>
      <c r="EG56" s="65" t="s">
        <v>177</v>
      </c>
      <c r="EH56" s="65" t="s">
        <v>98</v>
      </c>
      <c r="EI56" s="65" t="s">
        <v>178</v>
      </c>
      <c r="EJ56" s="65" t="s">
        <v>179</v>
      </c>
      <c r="EK56" s="65" t="s">
        <v>180</v>
      </c>
      <c r="EL56" s="65" t="s">
        <v>101</v>
      </c>
      <c r="EM56" s="65" t="s">
        <v>181</v>
      </c>
      <c r="EN56" s="65" t="s">
        <v>182</v>
      </c>
      <c r="EO56" s="65" t="s">
        <v>183</v>
      </c>
      <c r="EP56" s="65" t="s">
        <v>184</v>
      </c>
      <c r="EQ56" s="65" t="s">
        <v>185</v>
      </c>
      <c r="ER56" s="65" t="s">
        <v>186</v>
      </c>
      <c r="ES56" s="65" t="s">
        <v>187</v>
      </c>
      <c r="ET56" s="65" t="s">
        <v>188</v>
      </c>
      <c r="EU56" s="65" t="s">
        <v>189</v>
      </c>
      <c r="EV56" s="65" t="s">
        <v>190</v>
      </c>
      <c r="EW56" s="65" t="s">
        <v>191</v>
      </c>
      <c r="EX56" s="65" t="s">
        <v>192</v>
      </c>
      <c r="EY56" s="65" t="s">
        <v>193</v>
      </c>
      <c r="EZ56" s="65" t="s">
        <v>77</v>
      </c>
      <c r="FA56" s="65" t="s">
        <v>194</v>
      </c>
      <c r="FB56" s="65" t="s">
        <v>195</v>
      </c>
      <c r="FC56" s="65" t="s">
        <v>196</v>
      </c>
      <c r="FD56" s="65" t="s">
        <v>197</v>
      </c>
      <c r="FE56" s="65" t="s">
        <v>198</v>
      </c>
      <c r="FF56" s="65" t="s">
        <v>199</v>
      </c>
      <c r="FG56" s="65" t="s">
        <v>200</v>
      </c>
      <c r="FH56" s="65" t="s">
        <v>201</v>
      </c>
      <c r="FI56" s="65" t="s">
        <v>202</v>
      </c>
      <c r="FJ56" s="65" t="s">
        <v>203</v>
      </c>
      <c r="FK56" s="65" t="s">
        <v>204</v>
      </c>
      <c r="FL56" s="66" t="s">
        <v>205</v>
      </c>
    </row>
    <row r="57" ht="17.4" spans="3:168">
      <c r="C57" s="67">
        <f>D54/4.7</f>
        <v>60.7287234042553</v>
      </c>
      <c r="D57" s="67">
        <f>C57</f>
        <v>60.7287234042553</v>
      </c>
      <c r="E57" s="67">
        <f>F54/4.7</f>
        <v>74.9840425531915</v>
      </c>
      <c r="F57" s="67">
        <f>H54/4.7</f>
        <v>95.5829787234043</v>
      </c>
      <c r="G57" s="67">
        <f>F57</f>
        <v>95.5829787234043</v>
      </c>
      <c r="H57" s="67">
        <f>C57</f>
        <v>60.7287234042553</v>
      </c>
      <c r="I57" s="67">
        <f>E57</f>
        <v>74.9840425531915</v>
      </c>
      <c r="J57" s="67">
        <f>F57</f>
        <v>95.5829787234043</v>
      </c>
      <c r="K57" s="67">
        <f>H49/4.7</f>
        <v>58.3882978723404</v>
      </c>
      <c r="L57" s="67">
        <f>E57</f>
        <v>74.9840425531915</v>
      </c>
      <c r="M57" s="67">
        <f>E57</f>
        <v>74.9840425531915</v>
      </c>
      <c r="N57" s="67">
        <f>F57</f>
        <v>95.5829787234043</v>
      </c>
      <c r="O57" s="67">
        <f>C57</f>
        <v>60.7287234042553</v>
      </c>
      <c r="P57" s="67">
        <f>E57</f>
        <v>74.9840425531915</v>
      </c>
      <c r="Q57" s="67">
        <f>C57</f>
        <v>60.7287234042553</v>
      </c>
      <c r="R57" s="67">
        <f>F57</f>
        <v>95.5829787234043</v>
      </c>
      <c r="S57" s="67">
        <f>C57</f>
        <v>60.7287234042553</v>
      </c>
      <c r="T57" s="67">
        <f>F57</f>
        <v>95.5829787234043</v>
      </c>
      <c r="U57" s="67">
        <f>F57</f>
        <v>95.5829787234043</v>
      </c>
      <c r="V57" s="67">
        <f>E57</f>
        <v>74.9840425531915</v>
      </c>
      <c r="W57" s="67">
        <f>K57</f>
        <v>58.3882978723404</v>
      </c>
      <c r="X57" s="67">
        <f>E57</f>
        <v>74.9840425531915</v>
      </c>
      <c r="Y57" s="67">
        <f>C57</f>
        <v>60.7287234042553</v>
      </c>
      <c r="Z57" s="67">
        <f>E57</f>
        <v>74.9840425531915</v>
      </c>
      <c r="AA57" s="67">
        <f>C57</f>
        <v>60.7287234042553</v>
      </c>
      <c r="AB57" s="67">
        <f>C57</f>
        <v>60.7287234042553</v>
      </c>
      <c r="AC57" s="67">
        <f>E57</f>
        <v>74.9840425531915</v>
      </c>
      <c r="AD57" s="67">
        <f>C57</f>
        <v>60.7287234042553</v>
      </c>
      <c r="AE57" s="67">
        <f>C57</f>
        <v>60.7287234042553</v>
      </c>
      <c r="AF57" s="67">
        <f>C57</f>
        <v>60.7287234042553</v>
      </c>
      <c r="AG57" s="67">
        <f>C57</f>
        <v>60.7287234042553</v>
      </c>
      <c r="AH57" s="67">
        <f>E57</f>
        <v>74.9840425531915</v>
      </c>
      <c r="AI57" s="67">
        <f>C57</f>
        <v>60.7287234042553</v>
      </c>
      <c r="AJ57" s="67">
        <f>C57</f>
        <v>60.7287234042553</v>
      </c>
      <c r="AK57" s="67">
        <f>C57</f>
        <v>60.7287234042553</v>
      </c>
      <c r="AL57" s="67">
        <f>C57</f>
        <v>60.7287234042553</v>
      </c>
      <c r="AM57" s="67">
        <f>E57</f>
        <v>74.9840425531915</v>
      </c>
      <c r="AN57" s="67">
        <f>C57</f>
        <v>60.7287234042553</v>
      </c>
      <c r="AO57" s="67">
        <f>E57</f>
        <v>74.9840425531915</v>
      </c>
      <c r="AP57" s="67">
        <f>F57</f>
        <v>95.5829787234043</v>
      </c>
      <c r="AQ57" s="67">
        <f>F57</f>
        <v>95.5829787234043</v>
      </c>
      <c r="AR57" s="67">
        <f>F57</f>
        <v>95.5829787234043</v>
      </c>
      <c r="AS57" s="67">
        <f>F57</f>
        <v>95.5829787234043</v>
      </c>
      <c r="AT57" s="67">
        <f>C57</f>
        <v>60.7287234042553</v>
      </c>
      <c r="AU57" s="67">
        <f>C57</f>
        <v>60.7287234042553</v>
      </c>
      <c r="AV57" s="67">
        <f>E57</f>
        <v>74.9840425531915</v>
      </c>
      <c r="AW57" s="67">
        <f>C57</f>
        <v>60.7287234042553</v>
      </c>
      <c r="AX57" s="67">
        <f>E57</f>
        <v>74.9840425531915</v>
      </c>
      <c r="AY57" s="67">
        <f>E57</f>
        <v>74.9840425531915</v>
      </c>
      <c r="AZ57" s="67">
        <f>E57</f>
        <v>74.9840425531915</v>
      </c>
      <c r="BA57" s="67">
        <f>C57</f>
        <v>60.7287234042553</v>
      </c>
      <c r="BB57" s="67">
        <f>C57</f>
        <v>60.7287234042553</v>
      </c>
      <c r="BC57" s="67">
        <f>C57</f>
        <v>60.7287234042553</v>
      </c>
      <c r="BD57" s="67">
        <f>E57</f>
        <v>74.9840425531915</v>
      </c>
      <c r="BE57" s="67">
        <f>F57</f>
        <v>95.5829787234043</v>
      </c>
      <c r="BF57" s="67">
        <f>E57</f>
        <v>74.9840425531915</v>
      </c>
      <c r="BG57" s="67">
        <f>E57</f>
        <v>74.9840425531915</v>
      </c>
      <c r="BH57" s="67">
        <f>F57</f>
        <v>95.5829787234043</v>
      </c>
      <c r="BI57" s="67">
        <f>E57</f>
        <v>74.9840425531915</v>
      </c>
      <c r="BJ57" s="67">
        <f>C57</f>
        <v>60.7287234042553</v>
      </c>
      <c r="BK57" s="67">
        <f>C57</f>
        <v>60.7287234042553</v>
      </c>
      <c r="BL57" s="67">
        <f>E57</f>
        <v>74.9840425531915</v>
      </c>
      <c r="BM57" s="67">
        <f>E57</f>
        <v>74.9840425531915</v>
      </c>
      <c r="BN57" s="67">
        <f>F57</f>
        <v>95.5829787234043</v>
      </c>
      <c r="BO57" s="67">
        <f>E57</f>
        <v>74.9840425531915</v>
      </c>
      <c r="BP57" s="67">
        <f>E57</f>
        <v>74.9840425531915</v>
      </c>
      <c r="BQ57" s="67">
        <f>E57</f>
        <v>74.9840425531915</v>
      </c>
      <c r="BR57" s="67">
        <f>E57</f>
        <v>74.9840425531915</v>
      </c>
      <c r="BS57" s="67">
        <f>E57</f>
        <v>74.9840425531915</v>
      </c>
      <c r="BT57" s="67">
        <f>C57</f>
        <v>60.7287234042553</v>
      </c>
      <c r="BU57" s="67">
        <f>E57</f>
        <v>74.9840425531915</v>
      </c>
      <c r="BV57" s="67">
        <f>C57</f>
        <v>60.7287234042553</v>
      </c>
      <c r="BW57" s="67">
        <f>C57</f>
        <v>60.7287234042553</v>
      </c>
      <c r="BX57" s="67">
        <f>C57</f>
        <v>60.7287234042553</v>
      </c>
      <c r="BY57" s="67">
        <f>C57</f>
        <v>60.7287234042553</v>
      </c>
      <c r="BZ57" s="67">
        <f>C57</f>
        <v>60.7287234042553</v>
      </c>
      <c r="CA57" s="67">
        <f>K57</f>
        <v>58.3882978723404</v>
      </c>
      <c r="CB57" s="67">
        <f>C57</f>
        <v>60.7287234042553</v>
      </c>
      <c r="CC57" s="67">
        <f>K57</f>
        <v>58.3882978723404</v>
      </c>
      <c r="CD57" s="67">
        <f>C57</f>
        <v>60.7287234042553</v>
      </c>
      <c r="CE57" s="67">
        <f>C57</f>
        <v>60.7287234042553</v>
      </c>
      <c r="CF57" s="67">
        <f>C57</f>
        <v>60.7287234042553</v>
      </c>
      <c r="CG57" s="67">
        <f>C57</f>
        <v>60.7287234042553</v>
      </c>
      <c r="CH57" s="67">
        <f>F57</f>
        <v>95.5829787234043</v>
      </c>
      <c r="CI57" s="67">
        <f>F57</f>
        <v>95.5829787234043</v>
      </c>
      <c r="CJ57" s="67">
        <f>F57</f>
        <v>95.5829787234043</v>
      </c>
      <c r="CK57" s="67">
        <f>F57</f>
        <v>95.5829787234043</v>
      </c>
      <c r="CL57" s="67">
        <f>F57</f>
        <v>95.5829787234043</v>
      </c>
      <c r="CM57" s="67">
        <f>F57</f>
        <v>95.5829787234043</v>
      </c>
      <c r="CN57" s="67">
        <f>K57</f>
        <v>58.3882978723404</v>
      </c>
      <c r="CO57" s="67">
        <f>K57</f>
        <v>58.3882978723404</v>
      </c>
      <c r="CP57" s="67">
        <f>C57</f>
        <v>60.7287234042553</v>
      </c>
      <c r="CQ57" s="67">
        <f>C57</f>
        <v>60.7287234042553</v>
      </c>
      <c r="CR57" s="67">
        <f>C57</f>
        <v>60.7287234042553</v>
      </c>
      <c r="CS57" s="67">
        <f>C57</f>
        <v>60.7287234042553</v>
      </c>
      <c r="CT57" s="67">
        <f>C57</f>
        <v>60.7287234042553</v>
      </c>
      <c r="CU57" s="67">
        <f>C57</f>
        <v>60.7287234042553</v>
      </c>
      <c r="CV57" s="67">
        <f>C57</f>
        <v>60.7287234042553</v>
      </c>
      <c r="CW57" s="67">
        <f>C57</f>
        <v>60.7287234042553</v>
      </c>
      <c r="CX57" s="67">
        <f>E57</f>
        <v>74.9840425531915</v>
      </c>
      <c r="CY57" s="67">
        <f>C57</f>
        <v>60.7287234042553</v>
      </c>
      <c r="CZ57" s="67">
        <f>E57</f>
        <v>74.9840425531915</v>
      </c>
      <c r="DA57" s="67">
        <f>E57</f>
        <v>74.9840425531915</v>
      </c>
      <c r="DB57" s="67">
        <f>C57</f>
        <v>60.7287234042553</v>
      </c>
      <c r="DC57" s="67">
        <f>C57</f>
        <v>60.7287234042553</v>
      </c>
      <c r="DD57" s="67">
        <f>E57</f>
        <v>74.9840425531915</v>
      </c>
      <c r="DE57" s="67">
        <f>E57</f>
        <v>74.9840425531915</v>
      </c>
      <c r="DF57" s="67">
        <f>E57</f>
        <v>74.9840425531915</v>
      </c>
      <c r="DG57" s="67">
        <f>E57</f>
        <v>74.9840425531915</v>
      </c>
      <c r="DH57" s="67">
        <f>E57</f>
        <v>74.9840425531915</v>
      </c>
      <c r="DI57" s="67">
        <f>E57</f>
        <v>74.9840425531915</v>
      </c>
      <c r="DJ57" s="67">
        <f>C57</f>
        <v>60.7287234042553</v>
      </c>
      <c r="DK57" s="67">
        <f>E57</f>
        <v>74.9840425531915</v>
      </c>
      <c r="DL57" s="67">
        <f>E57</f>
        <v>74.9840425531915</v>
      </c>
      <c r="DM57" s="67">
        <f>E57</f>
        <v>74.9840425531915</v>
      </c>
      <c r="DN57" s="67">
        <f>E57</f>
        <v>74.9840425531915</v>
      </c>
      <c r="DO57" s="67">
        <f>K57</f>
        <v>58.3882978723404</v>
      </c>
      <c r="DP57" s="67">
        <f>C57</f>
        <v>60.7287234042553</v>
      </c>
      <c r="DQ57" s="67">
        <f>C57</f>
        <v>60.7287234042553</v>
      </c>
      <c r="DR57" s="67">
        <f>E57</f>
        <v>74.9840425531915</v>
      </c>
      <c r="DS57" s="67">
        <f>K57</f>
        <v>58.3882978723404</v>
      </c>
      <c r="DT57" s="67">
        <f>E57</f>
        <v>74.9840425531915</v>
      </c>
      <c r="DU57" s="67">
        <f>E57</f>
        <v>74.9840425531915</v>
      </c>
      <c r="DV57" s="67">
        <f>E57</f>
        <v>74.9840425531915</v>
      </c>
      <c r="DW57" s="67">
        <f>F57</f>
        <v>95.5829787234043</v>
      </c>
      <c r="DX57" s="67">
        <f>E57</f>
        <v>74.9840425531915</v>
      </c>
      <c r="DY57" s="67">
        <f>E57</f>
        <v>74.9840425531915</v>
      </c>
      <c r="DZ57" s="67">
        <f>E57</f>
        <v>74.9840425531915</v>
      </c>
      <c r="EA57" s="67">
        <f>E57</f>
        <v>74.9840425531915</v>
      </c>
      <c r="EB57" s="67">
        <f>E57</f>
        <v>74.9840425531915</v>
      </c>
      <c r="EC57" s="67">
        <f>C57</f>
        <v>60.7287234042553</v>
      </c>
      <c r="ED57" s="67">
        <f>E57</f>
        <v>74.9840425531915</v>
      </c>
      <c r="EE57" s="67">
        <f>C57</f>
        <v>60.7287234042553</v>
      </c>
      <c r="EF57" s="67">
        <f>C57</f>
        <v>60.7287234042553</v>
      </c>
      <c r="EG57" s="67">
        <f>E57</f>
        <v>74.9840425531915</v>
      </c>
      <c r="EH57" s="67">
        <f>K57</f>
        <v>58.3882978723404</v>
      </c>
      <c r="EI57" s="67">
        <f>K57</f>
        <v>58.3882978723404</v>
      </c>
      <c r="EJ57" s="67">
        <f>C57</f>
        <v>60.7287234042553</v>
      </c>
      <c r="EK57" s="67">
        <f>C57</f>
        <v>60.7287234042553</v>
      </c>
      <c r="EL57" s="67">
        <f>C57</f>
        <v>60.7287234042553</v>
      </c>
      <c r="EM57" s="67">
        <f>C57</f>
        <v>60.7287234042553</v>
      </c>
      <c r="EN57" s="67">
        <f>E57</f>
        <v>74.9840425531915</v>
      </c>
      <c r="EO57" s="67">
        <f>E57</f>
        <v>74.9840425531915</v>
      </c>
      <c r="EP57" s="67">
        <f>E57</f>
        <v>74.9840425531915</v>
      </c>
      <c r="EQ57" s="67">
        <f>E57</f>
        <v>74.9840425531915</v>
      </c>
      <c r="ER57" s="67">
        <f>E57</f>
        <v>74.9840425531915</v>
      </c>
      <c r="ES57" s="67">
        <f>E57</f>
        <v>74.9840425531915</v>
      </c>
      <c r="ET57" s="67">
        <f>E57</f>
        <v>74.9840425531915</v>
      </c>
      <c r="EU57" s="67">
        <f>C57</f>
        <v>60.7287234042553</v>
      </c>
      <c r="EV57" s="67">
        <f>C57</f>
        <v>60.7287234042553</v>
      </c>
      <c r="EW57" s="67">
        <f>C57</f>
        <v>60.7287234042553</v>
      </c>
      <c r="EX57" s="67">
        <f>E57</f>
        <v>74.9840425531915</v>
      </c>
      <c r="EY57" s="67">
        <f>C57</f>
        <v>60.7287234042553</v>
      </c>
      <c r="EZ57" s="67">
        <f>K57</f>
        <v>58.3882978723404</v>
      </c>
      <c r="FA57" s="67">
        <f>C57</f>
        <v>60.7287234042553</v>
      </c>
      <c r="FB57" s="67">
        <f>C57</f>
        <v>60.7287234042553</v>
      </c>
      <c r="FC57" s="67">
        <f>K57</f>
        <v>58.3882978723404</v>
      </c>
      <c r="FD57" s="67">
        <f>C57</f>
        <v>60.7287234042553</v>
      </c>
      <c r="FE57" s="67">
        <f>F57</f>
        <v>95.5829787234043</v>
      </c>
      <c r="FF57" s="67">
        <f>F57</f>
        <v>95.5829787234043</v>
      </c>
      <c r="FG57" s="67">
        <f>E57</f>
        <v>74.9840425531915</v>
      </c>
      <c r="FH57" s="67">
        <f>E57</f>
        <v>74.9840425531915</v>
      </c>
      <c r="FI57" s="67">
        <f>E57</f>
        <v>74.9840425531915</v>
      </c>
      <c r="FJ57" s="67">
        <f>E57</f>
        <v>74.9840425531915</v>
      </c>
      <c r="FK57" s="67">
        <f>E57</f>
        <v>74.9840425531915</v>
      </c>
      <c r="FL57" s="67">
        <f>G45</f>
        <v>114.609574468085</v>
      </c>
    </row>
    <row r="59" ht="34.8" spans="3:168">
      <c r="C59" s="68" t="s">
        <v>206</v>
      </c>
      <c r="D59" s="68" t="s">
        <v>207</v>
      </c>
      <c r="E59" s="68" t="s">
        <v>208</v>
      </c>
      <c r="F59" s="68" t="s">
        <v>209</v>
      </c>
      <c r="G59" s="68" t="s">
        <v>210</v>
      </c>
      <c r="H59" s="68" t="s">
        <v>211</v>
      </c>
      <c r="I59" s="68" t="s">
        <v>212</v>
      </c>
      <c r="J59" s="68" t="s">
        <v>213</v>
      </c>
    </row>
    <row r="60" ht="17.4" spans="3:168">
      <c r="C60" s="71" t="s">
        <v>214</v>
      </c>
      <c r="D60" s="71" t="s">
        <v>215</v>
      </c>
      <c r="E60" s="71" t="s">
        <v>216</v>
      </c>
      <c r="F60" s="71" t="s">
        <v>217</v>
      </c>
      <c r="G60" s="71"/>
      <c r="H60" s="71"/>
      <c r="I60" s="72">
        <v>43</v>
      </c>
      <c r="J60" s="72">
        <v>21</v>
      </c>
    </row>
    <row r="61" ht="17.4" spans="3:168">
      <c r="C61" s="71" t="s">
        <v>214</v>
      </c>
      <c r="D61" s="71" t="s">
        <v>215</v>
      </c>
      <c r="E61" s="71" t="s">
        <v>216</v>
      </c>
      <c r="F61" s="71" t="s">
        <v>218</v>
      </c>
      <c r="G61" s="71"/>
      <c r="H61" s="71"/>
      <c r="I61" s="72">
        <v>43</v>
      </c>
      <c r="J61" s="72">
        <v>24</v>
      </c>
    </row>
    <row r="62" ht="17.4" spans="3:168">
      <c r="C62" s="71" t="s">
        <v>214</v>
      </c>
      <c r="D62" s="71" t="s">
        <v>215</v>
      </c>
      <c r="E62" s="71" t="s">
        <v>216</v>
      </c>
      <c r="F62" s="71" t="s">
        <v>219</v>
      </c>
      <c r="G62" s="71"/>
      <c r="H62" s="71"/>
      <c r="I62" s="72">
        <v>43</v>
      </c>
      <c r="J62" s="72">
        <v>25</v>
      </c>
    </row>
    <row r="63" ht="17.4" spans="3:168">
      <c r="C63" s="71" t="s">
        <v>214</v>
      </c>
      <c r="D63" s="71" t="s">
        <v>215</v>
      </c>
      <c r="E63" s="71" t="s">
        <v>216</v>
      </c>
      <c r="F63" s="71" t="s">
        <v>220</v>
      </c>
      <c r="G63" s="71"/>
      <c r="H63" s="71"/>
      <c r="I63" s="72">
        <v>43</v>
      </c>
      <c r="J63" s="72">
        <v>27</v>
      </c>
    </row>
    <row r="64" ht="17.4" spans="3:168">
      <c r="C64" s="71" t="s">
        <v>214</v>
      </c>
      <c r="D64" s="71" t="s">
        <v>215</v>
      </c>
      <c r="E64" s="71" t="s">
        <v>216</v>
      </c>
      <c r="F64" s="71" t="s">
        <v>221</v>
      </c>
      <c r="G64" s="71"/>
      <c r="H64" s="71"/>
      <c r="I64" s="72">
        <v>43</v>
      </c>
      <c r="J64" s="72">
        <v>42</v>
      </c>
    </row>
    <row r="65" ht="17.4" spans="3:10">
      <c r="C65" s="71" t="s">
        <v>214</v>
      </c>
      <c r="D65" s="71" t="s">
        <v>215</v>
      </c>
      <c r="E65" s="71" t="s">
        <v>222</v>
      </c>
      <c r="F65" s="71" t="s">
        <v>217</v>
      </c>
      <c r="G65" s="71"/>
      <c r="H65" s="71"/>
      <c r="I65" s="72">
        <v>43</v>
      </c>
      <c r="J65" s="72">
        <v>29</v>
      </c>
    </row>
    <row r="66" ht="17.4" spans="3:10">
      <c r="C66" s="71" t="s">
        <v>214</v>
      </c>
      <c r="D66" s="71" t="s">
        <v>215</v>
      </c>
      <c r="E66" s="71" t="s">
        <v>222</v>
      </c>
      <c r="F66" s="71" t="s">
        <v>218</v>
      </c>
      <c r="G66" s="71"/>
      <c r="H66" s="71"/>
      <c r="I66" s="72">
        <v>43</v>
      </c>
      <c r="J66" s="72">
        <v>30</v>
      </c>
    </row>
    <row r="67" ht="17.4" spans="3:10">
      <c r="C67" s="71" t="s">
        <v>214</v>
      </c>
      <c r="D67" s="71" t="s">
        <v>215</v>
      </c>
      <c r="E67" s="71" t="s">
        <v>222</v>
      </c>
      <c r="F67" s="71" t="s">
        <v>219</v>
      </c>
      <c r="G67" s="71"/>
      <c r="H67" s="71"/>
      <c r="I67" s="72">
        <v>43</v>
      </c>
      <c r="J67" s="72">
        <v>34</v>
      </c>
    </row>
    <row r="68" ht="17.4" spans="3:10">
      <c r="C68" s="71" t="s">
        <v>214</v>
      </c>
      <c r="D68" s="71" t="s">
        <v>215</v>
      </c>
      <c r="E68" s="71" t="s">
        <v>222</v>
      </c>
      <c r="F68" s="71" t="s">
        <v>220</v>
      </c>
      <c r="G68" s="71"/>
      <c r="H68" s="71"/>
      <c r="I68" s="72">
        <v>43</v>
      </c>
      <c r="J68" s="72">
        <v>36</v>
      </c>
    </row>
    <row r="69" ht="17.4" spans="3:10">
      <c r="C69" s="71" t="s">
        <v>214</v>
      </c>
      <c r="D69" s="71" t="s">
        <v>215</v>
      </c>
      <c r="E69" s="71" t="s">
        <v>222</v>
      </c>
      <c r="F69" s="71" t="s">
        <v>221</v>
      </c>
      <c r="G69" s="71"/>
      <c r="H69" s="71"/>
      <c r="I69" s="72">
        <v>43</v>
      </c>
      <c r="J69" s="72">
        <v>53</v>
      </c>
    </row>
    <row r="70" ht="17.4" spans="3:10">
      <c r="C70" s="71" t="s">
        <v>214</v>
      </c>
      <c r="D70" s="71" t="s">
        <v>215</v>
      </c>
      <c r="E70" s="71" t="s">
        <v>223</v>
      </c>
      <c r="F70" s="71" t="s">
        <v>217</v>
      </c>
      <c r="G70" s="71"/>
      <c r="H70" s="71"/>
      <c r="I70" s="72">
        <v>43</v>
      </c>
      <c r="J70" s="72">
        <v>55</v>
      </c>
    </row>
    <row r="71" ht="17.4" spans="3:10">
      <c r="C71" s="71" t="s">
        <v>214</v>
      </c>
      <c r="D71" s="71" t="s">
        <v>215</v>
      </c>
      <c r="E71" s="71" t="s">
        <v>223</v>
      </c>
      <c r="F71" s="71" t="s">
        <v>218</v>
      </c>
      <c r="G71" s="71"/>
      <c r="H71" s="71"/>
      <c r="I71" s="72">
        <v>43</v>
      </c>
      <c r="J71" s="72">
        <v>56</v>
      </c>
    </row>
    <row r="72" ht="17.4" spans="3:10">
      <c r="C72" s="71" t="s">
        <v>214</v>
      </c>
      <c r="D72" s="71" t="s">
        <v>215</v>
      </c>
      <c r="E72" s="71" t="s">
        <v>223</v>
      </c>
      <c r="F72" s="71" t="s">
        <v>219</v>
      </c>
      <c r="G72" s="71"/>
      <c r="H72" s="71"/>
      <c r="I72" s="72">
        <v>43</v>
      </c>
      <c r="J72" s="72">
        <v>79</v>
      </c>
    </row>
    <row r="73" ht="17.4" spans="3:10">
      <c r="C73" s="71" t="s">
        <v>214</v>
      </c>
      <c r="D73" s="71" t="s">
        <v>215</v>
      </c>
      <c r="E73" s="71" t="s">
        <v>223</v>
      </c>
      <c r="F73" s="71" t="s">
        <v>220</v>
      </c>
      <c r="G73" s="71"/>
      <c r="H73" s="71"/>
      <c r="I73" s="72">
        <v>43</v>
      </c>
      <c r="J73" s="72">
        <v>81</v>
      </c>
    </row>
    <row r="74" ht="17.4" spans="3:10">
      <c r="C74" s="71" t="s">
        <v>214</v>
      </c>
      <c r="D74" s="71" t="s">
        <v>215</v>
      </c>
      <c r="E74" s="71" t="s">
        <v>223</v>
      </c>
      <c r="F74" s="71" t="s">
        <v>221</v>
      </c>
      <c r="G74" s="71"/>
      <c r="H74" s="71"/>
      <c r="I74" s="72">
        <v>43</v>
      </c>
      <c r="J74" s="72">
        <v>120</v>
      </c>
    </row>
    <row r="75" ht="17.4" spans="3:10">
      <c r="C75" s="71" t="s">
        <v>214</v>
      </c>
      <c r="D75" s="71" t="s">
        <v>215</v>
      </c>
      <c r="E75" s="71" t="s">
        <v>224</v>
      </c>
      <c r="F75" s="71" t="s">
        <v>217</v>
      </c>
      <c r="G75" s="71"/>
      <c r="H75" s="71"/>
      <c r="I75" s="72">
        <v>54</v>
      </c>
      <c r="J75" s="72">
        <v>62</v>
      </c>
    </row>
    <row r="76" ht="17.4" spans="3:10">
      <c r="C76" s="71" t="s">
        <v>214</v>
      </c>
      <c r="D76" s="71" t="s">
        <v>215</v>
      </c>
      <c r="E76" s="71" t="s">
        <v>224</v>
      </c>
      <c r="F76" s="71" t="s">
        <v>218</v>
      </c>
      <c r="G76" s="71"/>
      <c r="H76" s="71"/>
      <c r="I76" s="72">
        <v>54</v>
      </c>
      <c r="J76" s="72">
        <v>62</v>
      </c>
    </row>
    <row r="77" ht="17.4" spans="3:10">
      <c r="C77" s="71" t="s">
        <v>214</v>
      </c>
      <c r="D77" s="71" t="s">
        <v>215</v>
      </c>
      <c r="E77" s="71" t="s">
        <v>224</v>
      </c>
      <c r="F77" s="71" t="s">
        <v>219</v>
      </c>
      <c r="G77" s="71"/>
      <c r="H77" s="71"/>
      <c r="I77" s="72">
        <v>54</v>
      </c>
      <c r="J77" s="72">
        <v>105</v>
      </c>
    </row>
    <row r="78" ht="17.4" spans="3:10">
      <c r="C78" s="71" t="s">
        <v>214</v>
      </c>
      <c r="D78" s="71" t="s">
        <v>215</v>
      </c>
      <c r="E78" s="71" t="s">
        <v>224</v>
      </c>
      <c r="F78" s="71" t="s">
        <v>220</v>
      </c>
      <c r="G78" s="71"/>
      <c r="H78" s="71"/>
      <c r="I78" s="72">
        <v>54</v>
      </c>
      <c r="J78" s="72">
        <v>130</v>
      </c>
    </row>
    <row r="79" ht="17.4" spans="3:10">
      <c r="C79" s="71" t="s">
        <v>214</v>
      </c>
      <c r="D79" s="71" t="s">
        <v>215</v>
      </c>
      <c r="E79" s="71" t="s">
        <v>224</v>
      </c>
      <c r="F79" s="71" t="s">
        <v>221</v>
      </c>
      <c r="G79" s="71"/>
      <c r="H79" s="71"/>
      <c r="I79" s="72">
        <v>54</v>
      </c>
      <c r="J79" s="72">
        <v>160</v>
      </c>
    </row>
    <row r="80" s="8" customFormat="1" ht="15.15"/>
    <row r="81" ht="47.55" spans="3:168">
      <c r="C81" s="94" t="s">
        <v>12</v>
      </c>
      <c r="D81" s="95" t="s">
        <v>13</v>
      </c>
      <c r="E81" s="95" t="s">
        <v>14</v>
      </c>
      <c r="F81" s="95" t="s">
        <v>15</v>
      </c>
      <c r="G81" s="95" t="s">
        <v>16</v>
      </c>
      <c r="H81" s="95" t="s">
        <v>17</v>
      </c>
      <c r="I81" s="96" t="s">
        <v>230</v>
      </c>
      <c r="J81" s="97" t="s">
        <v>231</v>
      </c>
      <c r="K81" s="98" t="s">
        <v>0</v>
      </c>
      <c r="L81" s="99" t="s">
        <v>1</v>
      </c>
      <c r="M81" s="99" t="s">
        <v>2</v>
      </c>
      <c r="N81" s="99" t="s">
        <v>3</v>
      </c>
      <c r="O81" s="99" t="s">
        <v>4</v>
      </c>
      <c r="P81" s="99" t="s">
        <v>5</v>
      </c>
      <c r="Q81" s="99" t="s">
        <v>6</v>
      </c>
      <c r="R81" s="99" t="s">
        <v>7</v>
      </c>
      <c r="S81" s="99" t="s">
        <v>8</v>
      </c>
      <c r="T81" s="99" t="s">
        <v>9</v>
      </c>
      <c r="U81" s="99" t="s">
        <v>10</v>
      </c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  <c r="DE81" s="100"/>
      <c r="DF81" s="100"/>
      <c r="DG81" s="100"/>
      <c r="DH81" s="100"/>
      <c r="DI81" s="100"/>
      <c r="DJ81" s="100"/>
      <c r="DK81" s="100"/>
      <c r="DL81" s="100"/>
      <c r="DM81" s="100"/>
      <c r="DN81" s="100"/>
      <c r="DO81" s="100"/>
      <c r="DP81" s="100"/>
      <c r="DQ81" s="100"/>
      <c r="DR81" s="100"/>
      <c r="DS81" s="100"/>
      <c r="DT81" s="100"/>
      <c r="DU81" s="100"/>
      <c r="DV81" s="100"/>
      <c r="DW81" s="100"/>
      <c r="DX81" s="100"/>
      <c r="DY81" s="100"/>
      <c r="DZ81" s="100"/>
      <c r="EA81" s="100"/>
      <c r="EB81" s="100"/>
      <c r="EC81" s="100"/>
      <c r="ED81" s="100"/>
      <c r="EE81" s="100"/>
      <c r="EF81" s="100"/>
      <c r="EG81" s="100"/>
      <c r="EH81" s="100"/>
      <c r="EI81" s="100"/>
      <c r="EJ81" s="100"/>
      <c r="EK81" s="100"/>
      <c r="EL81" s="100"/>
      <c r="EM81" s="100"/>
      <c r="EN81" s="100"/>
      <c r="EO81" s="100"/>
      <c r="EP81" s="100"/>
      <c r="EQ81" s="100"/>
      <c r="ER81" s="100"/>
      <c r="ES81" s="100"/>
      <c r="ET81" s="100"/>
      <c r="EU81" s="100"/>
      <c r="EV81" s="100"/>
      <c r="EW81" s="100"/>
      <c r="EX81" s="100"/>
      <c r="EY81" s="100"/>
      <c r="EZ81" s="100"/>
      <c r="FA81" s="100"/>
      <c r="FB81" s="100"/>
      <c r="FC81" s="100"/>
      <c r="FD81" s="100"/>
      <c r="FE81" s="100"/>
      <c r="FF81" s="100"/>
      <c r="FG81" s="100"/>
      <c r="FH81" s="100"/>
      <c r="FI81" s="100"/>
      <c r="FJ81" s="100"/>
      <c r="FK81" s="100"/>
      <c r="FL81" s="100"/>
    </row>
    <row r="82" ht="22.95" spans="3:168">
      <c r="C82" s="101"/>
      <c r="D82" s="102" t="s">
        <v>18</v>
      </c>
      <c r="E82" s="102">
        <f>_xlfn.LET(_xlpm.KG,D84/1000,IF(_xlpm.KG&lt;=25,_xlpm.KG*101,"超出25kg"))</f>
        <v>2.323</v>
      </c>
      <c r="F82" s="102">
        <f>_xlfn.LET(_xlpm.KG,D84/1000,IF(_xlpm.KG&lt;=25,17,"超出 25kg"))</f>
        <v>17</v>
      </c>
      <c r="G82" s="102">
        <f>(E82+F82)/4.7</f>
        <v>4.11127659574468</v>
      </c>
      <c r="H82" s="102">
        <f>F84+G82</f>
        <v>18.5793617021277</v>
      </c>
      <c r="I82" s="103">
        <f>K89</f>
        <v>38.6697127659575</v>
      </c>
      <c r="J82" s="104"/>
      <c r="K82" s="105">
        <f>C84</f>
        <v>68</v>
      </c>
      <c r="L82" s="105">
        <f>C84*1.2</f>
        <v>81.6</v>
      </c>
      <c r="M82" s="105">
        <f>C84*1.4</f>
        <v>95.2</v>
      </c>
      <c r="N82" s="105">
        <f>C84*1.6</f>
        <v>108.8</v>
      </c>
      <c r="O82" s="105">
        <f>C84*1.8</f>
        <v>122.4</v>
      </c>
      <c r="P82" s="105">
        <f>C84*2</f>
        <v>136</v>
      </c>
      <c r="Q82" s="105">
        <f>C84*2.2</f>
        <v>149.6</v>
      </c>
      <c r="R82" s="105">
        <f>C84*2.4</f>
        <v>163.2</v>
      </c>
      <c r="S82" s="105">
        <f>C84*2.6</f>
        <v>176.8</v>
      </c>
      <c r="T82" s="105">
        <f>C84*2.8</f>
        <v>190.4</v>
      </c>
      <c r="U82" s="106">
        <f>C84*3</f>
        <v>204</v>
      </c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100"/>
      <c r="CX82" s="100"/>
      <c r="CY82" s="100"/>
      <c r="CZ82" s="100"/>
      <c r="DA82" s="100"/>
      <c r="DB82" s="100"/>
      <c r="DC82" s="100"/>
      <c r="DD82" s="100"/>
      <c r="DE82" s="100"/>
      <c r="DF82" s="100"/>
      <c r="DG82" s="100"/>
      <c r="DH82" s="100"/>
      <c r="DI82" s="100"/>
      <c r="DJ82" s="100"/>
      <c r="DK82" s="100"/>
      <c r="DL82" s="100"/>
      <c r="DM82" s="100"/>
      <c r="DN82" s="100"/>
      <c r="DO82" s="100"/>
      <c r="DP82" s="100"/>
      <c r="DQ82" s="100"/>
      <c r="DR82" s="100"/>
      <c r="DS82" s="100"/>
      <c r="DT82" s="100"/>
      <c r="DU82" s="100"/>
      <c r="DV82" s="100"/>
      <c r="DW82" s="100"/>
      <c r="DX82" s="100"/>
      <c r="DY82" s="100"/>
      <c r="DZ82" s="100"/>
      <c r="EA82" s="100"/>
      <c r="EB82" s="100"/>
      <c r="EC82" s="100"/>
      <c r="ED82" s="100"/>
      <c r="EE82" s="100"/>
      <c r="EF82" s="100"/>
      <c r="EG82" s="100"/>
      <c r="EH82" s="100"/>
      <c r="EI82" s="100"/>
      <c r="EJ82" s="100"/>
      <c r="EK82" s="100"/>
      <c r="EL82" s="100"/>
      <c r="EM82" s="100"/>
      <c r="EN82" s="100"/>
      <c r="EO82" s="100"/>
      <c r="EP82" s="100"/>
      <c r="EQ82" s="100"/>
      <c r="ER82" s="100"/>
      <c r="ES82" s="100"/>
      <c r="ET82" s="100"/>
      <c r="EU82" s="100"/>
      <c r="EV82" s="100"/>
      <c r="EW82" s="100"/>
      <c r="EX82" s="100"/>
      <c r="EY82" s="100"/>
      <c r="EZ82" s="100"/>
      <c r="FA82" s="100"/>
      <c r="FB82" s="100"/>
      <c r="FC82" s="100"/>
      <c r="FD82" s="100"/>
      <c r="FE82" s="100"/>
      <c r="FF82" s="100"/>
      <c r="FG82" s="100"/>
      <c r="FH82" s="100"/>
      <c r="FI82" s="100"/>
      <c r="FJ82" s="100"/>
      <c r="FK82" s="100"/>
      <c r="FL82" s="100"/>
    </row>
    <row r="83" ht="18.15" spans="3:168">
      <c r="C83" s="107" t="s">
        <v>32</v>
      </c>
      <c r="D83" s="108" t="s">
        <v>33</v>
      </c>
      <c r="E83" s="108" t="s">
        <v>13</v>
      </c>
      <c r="F83" s="109" t="s">
        <v>17</v>
      </c>
      <c r="G83" s="110" t="s">
        <v>14</v>
      </c>
      <c r="H83" s="110" t="s">
        <v>15</v>
      </c>
      <c r="I83" s="111" t="s">
        <v>17</v>
      </c>
      <c r="J83" s="112" t="s">
        <v>232</v>
      </c>
      <c r="K83" s="113">
        <f>(K82-F84)*4.7</f>
        <v>251.6</v>
      </c>
      <c r="L83" s="113">
        <f>(L82-F84)*4.7</f>
        <v>315.52</v>
      </c>
      <c r="M83" s="113">
        <f>(M82-F84)*4.7</f>
        <v>379.44</v>
      </c>
      <c r="N83" s="113">
        <f>(N82-F84)*4.7</f>
        <v>443.36</v>
      </c>
      <c r="O83" s="113">
        <f>(O82-F84)*4.7</f>
        <v>507.28</v>
      </c>
      <c r="P83" s="113">
        <f>(P82-F84)*4.7</f>
        <v>571.2</v>
      </c>
      <c r="Q83" s="113">
        <f>(Q82-F84)*4.7</f>
        <v>635.12</v>
      </c>
      <c r="R83" s="113">
        <f>(R82-F84)*4.7</f>
        <v>699.04</v>
      </c>
      <c r="S83" s="113">
        <f>(S82-F84)*4.7</f>
        <v>762.96</v>
      </c>
      <c r="T83" s="113">
        <f>(T82-F84)*4.7</f>
        <v>826.88</v>
      </c>
      <c r="U83" s="114">
        <f>(U82-F84)*4.7</f>
        <v>890.8</v>
      </c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100"/>
      <c r="CX83" s="100"/>
      <c r="CY83" s="100"/>
      <c r="CZ83" s="100"/>
      <c r="DA83" s="100"/>
      <c r="DB83" s="100"/>
      <c r="DC83" s="100"/>
      <c r="DD83" s="100"/>
      <c r="DE83" s="100"/>
      <c r="DF83" s="100"/>
      <c r="DG83" s="100"/>
      <c r="DH83" s="100"/>
      <c r="DI83" s="100"/>
      <c r="DJ83" s="100"/>
      <c r="DK83" s="100"/>
      <c r="DL83" s="100"/>
      <c r="DM83" s="100"/>
      <c r="DN83" s="100"/>
      <c r="DO83" s="100"/>
      <c r="DP83" s="100"/>
      <c r="DQ83" s="100"/>
      <c r="DR83" s="100"/>
      <c r="DS83" s="100"/>
      <c r="DT83" s="100"/>
      <c r="DU83" s="100"/>
      <c r="DV83" s="100"/>
      <c r="DW83" s="100"/>
      <c r="DX83" s="100"/>
      <c r="DY83" s="100"/>
      <c r="DZ83" s="100"/>
      <c r="EA83" s="100"/>
      <c r="EB83" s="100"/>
      <c r="EC83" s="100"/>
      <c r="ED83" s="100"/>
      <c r="EE83" s="100"/>
      <c r="EF83" s="100"/>
      <c r="EG83" s="100"/>
      <c r="EH83" s="100"/>
      <c r="EI83" s="100"/>
      <c r="EJ83" s="100"/>
      <c r="EK83" s="100"/>
      <c r="EL83" s="100"/>
      <c r="EM83" s="100"/>
      <c r="EN83" s="100"/>
      <c r="EO83" s="100"/>
      <c r="EP83" s="100"/>
      <c r="EQ83" s="100"/>
      <c r="ER83" s="100"/>
      <c r="ES83" s="100"/>
      <c r="ET83" s="100"/>
      <c r="EU83" s="100"/>
      <c r="EV83" s="100"/>
      <c r="EW83" s="100"/>
      <c r="EX83" s="100"/>
      <c r="EY83" s="100"/>
      <c r="EZ83" s="100"/>
      <c r="FA83" s="100"/>
      <c r="FB83" s="100"/>
      <c r="FC83" s="100"/>
      <c r="FD83" s="100"/>
      <c r="FE83" s="100"/>
      <c r="FF83" s="100"/>
      <c r="FG83" s="100"/>
      <c r="FH83" s="100"/>
      <c r="FI83" s="100"/>
      <c r="FJ83" s="100"/>
      <c r="FK83" s="100"/>
      <c r="FL83" s="100"/>
    </row>
    <row r="84" ht="63.15" spans="3:168">
      <c r="C84" s="115">
        <v>68</v>
      </c>
      <c r="D84" s="115">
        <v>23</v>
      </c>
      <c r="E84" s="116" t="str">
        <f>IF(D84/1000&lt;0.3,"【0-0.3kg】",IF(D84/1000&lt;0.5,"【0.3-0.5kg】",IF(D84/1000&lt;1,"【0.5-1kg】",IF(D84/1000&lt;3,"【1-3kg】",IF(D84/1000&lt;=20,"【3-20kg】","超出20kg")))))</f>
        <v>【0-0.3kg】</v>
      </c>
      <c r="F84" s="117">
        <f>(C84)/4.7</f>
        <v>14.468085106383</v>
      </c>
      <c r="G84" s="118">
        <f>_xlfn.LET(_xlpm.KG,D84/1000,IF(_xlpm.KG&lt;=0,"重量无效",IF(_xlpm.KG&lt;=0.3,_xlpm.KG*90,IF(_xlpm.KG&lt;=0.5,_xlpm.KG*90,IF(_xlpm.KG&lt;=1,_xlpm.KG*87,IF(_xlpm.KG&lt;=3,_xlpm.KG*87,IF(_xlpm.KG&lt;=5,_xlpm.KG*83,"超出5kg")))))))</f>
        <v>2.07</v>
      </c>
      <c r="H84" s="118">
        <f>_xlfn.LET(_xlpm.KG,D84/1000,IF(_xlpm.KG&lt;=0,"重量无效",IF(_xlpm.KG&lt;=0.3,31,IF(_xlpm.KG&lt;=0.5,34,IF(_xlpm.KG&lt;=1,34,IF(_xlpm.KG&lt;=3,39,IF(_xlpm.KG&lt;=5,59,"超出5kg")))))))</f>
        <v>31</v>
      </c>
      <c r="I84" s="119">
        <f>F84</f>
        <v>14.468085106383</v>
      </c>
      <c r="J84" s="120"/>
      <c r="K84" s="121" t="s">
        <v>20</v>
      </c>
      <c r="L84" s="122" t="s">
        <v>21</v>
      </c>
      <c r="M84" s="122" t="s">
        <v>22</v>
      </c>
      <c r="N84" s="122" t="s">
        <v>23</v>
      </c>
      <c r="O84" s="122" t="s">
        <v>24</v>
      </c>
      <c r="P84" s="122" t="s">
        <v>25</v>
      </c>
      <c r="Q84" s="122" t="s">
        <v>26</v>
      </c>
      <c r="R84" s="122" t="s">
        <v>27</v>
      </c>
      <c r="S84" s="122" t="s">
        <v>28</v>
      </c>
      <c r="T84" s="123" t="s">
        <v>29</v>
      </c>
      <c r="U84" s="124" t="s">
        <v>30</v>
      </c>
      <c r="V84" s="125" t="s">
        <v>31</v>
      </c>
      <c r="W84" s="125" t="s">
        <v>226</v>
      </c>
      <c r="X84" s="125" t="s">
        <v>227</v>
      </c>
      <c r="Y84" s="126" t="s">
        <v>228</v>
      </c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  <c r="DP84" s="100"/>
      <c r="DQ84" s="100"/>
      <c r="DR84" s="100"/>
      <c r="DS84" s="100"/>
      <c r="DT84" s="100"/>
      <c r="DU84" s="100"/>
      <c r="DV84" s="100"/>
      <c r="DW84" s="100"/>
      <c r="DX84" s="100"/>
      <c r="DY84" s="100"/>
      <c r="DZ84" s="100"/>
      <c r="EA84" s="100"/>
      <c r="EB84" s="100"/>
      <c r="EC84" s="100"/>
      <c r="ED84" s="100"/>
      <c r="EE84" s="100"/>
      <c r="EF84" s="100"/>
      <c r="EG84" s="100"/>
      <c r="EH84" s="100"/>
      <c r="EI84" s="100"/>
      <c r="EJ84" s="100"/>
      <c r="EK84" s="100"/>
      <c r="EL84" s="100"/>
      <c r="EM84" s="100"/>
      <c r="EN84" s="100"/>
      <c r="EO84" s="100"/>
      <c r="EP84" s="100"/>
      <c r="EQ84" s="100"/>
      <c r="ER84" s="100"/>
      <c r="ES84" s="100"/>
      <c r="ET84" s="100"/>
      <c r="EU84" s="100"/>
      <c r="EV84" s="100"/>
      <c r="EW84" s="100"/>
      <c r="EX84" s="100"/>
      <c r="EY84" s="100"/>
      <c r="EZ84" s="100"/>
      <c r="FA84" s="100"/>
      <c r="FB84" s="100"/>
      <c r="FC84" s="100"/>
      <c r="FD84" s="100"/>
      <c r="FE84" s="100"/>
      <c r="FF84" s="100"/>
      <c r="FG84" s="100"/>
      <c r="FH84" s="100"/>
      <c r="FI84" s="100"/>
      <c r="FJ84" s="100"/>
      <c r="FK84" s="100"/>
      <c r="FL84" s="100"/>
    </row>
    <row r="85" ht="22.2" spans="3:168">
      <c r="C85" s="127" t="s">
        <v>233</v>
      </c>
      <c r="D85" s="128" t="s">
        <v>234</v>
      </c>
      <c r="E85" s="129" t="s">
        <v>235</v>
      </c>
      <c r="F85" s="130" t="s">
        <v>39</v>
      </c>
      <c r="G85" s="110" t="s">
        <v>16</v>
      </c>
      <c r="I85" s="131" t="s">
        <v>41</v>
      </c>
      <c r="J85" s="132" t="s">
        <v>34</v>
      </c>
      <c r="K85" s="105">
        <f>F84*1.2</f>
        <v>17.3617021276596</v>
      </c>
      <c r="L85" s="105">
        <f>F84*1.4</f>
        <v>20.2553191489362</v>
      </c>
      <c r="M85" s="105">
        <f>F84*1.6</f>
        <v>23.1489361702128</v>
      </c>
      <c r="N85" s="105">
        <f>F84*1.8</f>
        <v>26.0425531914894</v>
      </c>
      <c r="O85" s="105">
        <f>F84*2</f>
        <v>28.936170212766</v>
      </c>
      <c r="P85" s="105">
        <f>F84*2.2</f>
        <v>31.8297872340426</v>
      </c>
      <c r="Q85" s="105">
        <f>F84*2.4</f>
        <v>34.7234042553192</v>
      </c>
      <c r="R85" s="105">
        <f>F84*2.6</f>
        <v>37.6170212765958</v>
      </c>
      <c r="S85" s="105">
        <f>F84*2.8</f>
        <v>40.5106382978723</v>
      </c>
      <c r="T85" s="105">
        <f>F84*3</f>
        <v>43.4042553191489</v>
      </c>
      <c r="U85" s="133">
        <f>F84*3.2</f>
        <v>46.2978723404255</v>
      </c>
      <c r="V85" s="133">
        <f>F84*3.4</f>
        <v>49.1914893617021</v>
      </c>
      <c r="W85" s="133">
        <f>F84*3.6</f>
        <v>52.0851063829787</v>
      </c>
      <c r="X85" s="133">
        <f>F84*3.8</f>
        <v>54.9787234042553</v>
      </c>
      <c r="Y85" s="134">
        <f>F84*4</f>
        <v>57.8723404255319</v>
      </c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100"/>
      <c r="CX85" s="100"/>
      <c r="CY85" s="100"/>
      <c r="CZ85" s="100"/>
      <c r="DA85" s="100"/>
      <c r="DB85" s="100"/>
      <c r="DC85" s="100"/>
      <c r="DD85" s="100"/>
      <c r="DE85" s="100"/>
      <c r="DF85" s="100"/>
      <c r="DG85" s="100"/>
      <c r="DH85" s="100"/>
      <c r="DI85" s="100"/>
      <c r="DJ85" s="100"/>
      <c r="DK85" s="100"/>
      <c r="DL85" s="100"/>
      <c r="DM85" s="100"/>
      <c r="DN85" s="100"/>
      <c r="DO85" s="100"/>
      <c r="DP85" s="100"/>
      <c r="DQ85" s="100"/>
      <c r="DR85" s="100"/>
      <c r="DS85" s="100"/>
      <c r="DT85" s="100"/>
      <c r="DU85" s="100"/>
      <c r="DV85" s="100"/>
      <c r="DW85" s="100"/>
      <c r="DX85" s="100"/>
      <c r="DY85" s="100"/>
      <c r="DZ85" s="100"/>
      <c r="EA85" s="100"/>
      <c r="EB85" s="100"/>
      <c r="EC85" s="100"/>
      <c r="ED85" s="100"/>
      <c r="EE85" s="100"/>
      <c r="EF85" s="100"/>
      <c r="EG85" s="100"/>
      <c r="EH85" s="100"/>
      <c r="EI85" s="100"/>
      <c r="EJ85" s="100"/>
      <c r="EK85" s="100"/>
      <c r="EL85" s="100"/>
      <c r="EM85" s="100"/>
      <c r="EN85" s="100"/>
      <c r="EO85" s="100"/>
      <c r="EP85" s="100"/>
      <c r="EQ85" s="100"/>
      <c r="ER85" s="100"/>
      <c r="ES85" s="100"/>
      <c r="ET85" s="100"/>
      <c r="EU85" s="100"/>
      <c r="EV85" s="100"/>
      <c r="EW85" s="100"/>
      <c r="EX85" s="100"/>
      <c r="EY85" s="100"/>
      <c r="EZ85" s="100"/>
      <c r="FA85" s="100"/>
      <c r="FB85" s="100"/>
      <c r="FC85" s="100"/>
      <c r="FD85" s="100"/>
      <c r="FE85" s="100"/>
      <c r="FF85" s="100"/>
      <c r="FG85" s="100"/>
      <c r="FH85" s="100"/>
      <c r="FI85" s="100"/>
      <c r="FJ85" s="100"/>
      <c r="FK85" s="100"/>
      <c r="FL85" s="100"/>
    </row>
    <row r="86" ht="16.35" spans="3:168">
      <c r="C86" s="135">
        <f>I82*1.08</f>
        <v>41.7632897872341</v>
      </c>
      <c r="D86" s="136">
        <f>C86/0.9</f>
        <v>46.4036553191489</v>
      </c>
      <c r="E86" s="137">
        <f>C86-I90</f>
        <v>17.0430770212766</v>
      </c>
      <c r="F86" s="138">
        <f>E86*4.7</f>
        <v>80.102462</v>
      </c>
      <c r="G86" s="118">
        <f>G84+H84</f>
        <v>33.07</v>
      </c>
      <c r="I86" s="139">
        <f>F84+G86/4.7</f>
        <v>21.5042553191489</v>
      </c>
      <c r="J86" s="140" t="s">
        <v>35</v>
      </c>
      <c r="K86" s="113">
        <f>(K85-F84)*4.7</f>
        <v>13.6</v>
      </c>
      <c r="L86" s="113">
        <f>(L85-F84)*4.7</f>
        <v>27.2</v>
      </c>
      <c r="M86" s="113">
        <f>(M85-F84)*4.7</f>
        <v>40.8</v>
      </c>
      <c r="N86" s="113">
        <f>(N85-F84)*4.7</f>
        <v>54.4</v>
      </c>
      <c r="O86" s="113">
        <f>(O85-F84)*4.7</f>
        <v>68</v>
      </c>
      <c r="P86" s="113">
        <f>(P85-F84)*4.7</f>
        <v>81.6</v>
      </c>
      <c r="Q86" s="113">
        <f>(Q85-F84)*4.7</f>
        <v>95.2</v>
      </c>
      <c r="R86" s="113">
        <f>(R85-F84)*4.7</f>
        <v>108.8</v>
      </c>
      <c r="S86" s="113">
        <f>(S85-F84)*4.7</f>
        <v>122.4</v>
      </c>
      <c r="T86" s="113">
        <f>(T85-F84)*4.7</f>
        <v>136</v>
      </c>
      <c r="U86" s="113">
        <f>(U85-F84)*4.7</f>
        <v>149.6</v>
      </c>
      <c r="V86" s="113">
        <f>(V85-F84)*4.7</f>
        <v>163.2</v>
      </c>
      <c r="W86" s="113">
        <f>(W85-F84)*4.7</f>
        <v>176.8</v>
      </c>
      <c r="X86" s="113">
        <f>(X85-F84)*4.7</f>
        <v>190.4</v>
      </c>
      <c r="Y86" s="141">
        <f>(Y85-F84)*4.7</f>
        <v>204</v>
      </c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  <c r="CD86" s="100"/>
      <c r="CE86" s="10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  <c r="CU86" s="100"/>
      <c r="CV86" s="100"/>
      <c r="CW86" s="100"/>
      <c r="CX86" s="100"/>
      <c r="CY86" s="100"/>
      <c r="CZ86" s="100"/>
      <c r="DA86" s="100"/>
      <c r="DB86" s="100"/>
      <c r="DC86" s="100"/>
      <c r="DD86" s="100"/>
      <c r="DE86" s="100"/>
      <c r="DF86" s="100"/>
      <c r="DG86" s="100"/>
      <c r="DH86" s="100"/>
      <c r="DI86" s="100"/>
      <c r="DJ86" s="100"/>
      <c r="DK86" s="100"/>
      <c r="DL86" s="100"/>
      <c r="DM86" s="100"/>
      <c r="DN86" s="100"/>
      <c r="DO86" s="100"/>
      <c r="DP86" s="100"/>
      <c r="DQ86" s="100"/>
      <c r="DR86" s="100"/>
      <c r="DS86" s="100"/>
      <c r="DT86" s="100"/>
      <c r="DU86" s="100"/>
      <c r="DV86" s="100"/>
      <c r="DW86" s="100"/>
      <c r="DX86" s="100"/>
      <c r="DY86" s="100"/>
      <c r="DZ86" s="100"/>
      <c r="EA86" s="100"/>
      <c r="EB86" s="100"/>
      <c r="EC86" s="100"/>
      <c r="ED86" s="100"/>
      <c r="EE86" s="100"/>
      <c r="EF86" s="100"/>
      <c r="EG86" s="100"/>
      <c r="EH86" s="100"/>
      <c r="EI86" s="100"/>
      <c r="EJ86" s="100"/>
      <c r="EK86" s="100"/>
      <c r="EL86" s="100"/>
      <c r="EM86" s="100"/>
      <c r="EN86" s="100"/>
      <c r="EO86" s="100"/>
      <c r="EP86" s="100"/>
      <c r="EQ86" s="100"/>
      <c r="ER86" s="100"/>
      <c r="ES86" s="100"/>
      <c r="ET86" s="100"/>
      <c r="EU86" s="100"/>
      <c r="EV86" s="100"/>
      <c r="EW86" s="100"/>
      <c r="EX86" s="100"/>
      <c r="EY86" s="100"/>
      <c r="EZ86" s="100"/>
      <c r="FA86" s="100"/>
      <c r="FB86" s="100"/>
      <c r="FC86" s="100"/>
      <c r="FD86" s="100"/>
      <c r="FE86" s="100"/>
      <c r="FF86" s="100"/>
      <c r="FG86" s="100"/>
      <c r="FH86" s="100"/>
      <c r="FI86" s="100"/>
      <c r="FJ86" s="100"/>
      <c r="FK86" s="100"/>
      <c r="FL86" s="100"/>
    </row>
    <row r="87" ht="32" customHeight="1" spans="3:168">
      <c r="C87" s="142" t="s">
        <v>229</v>
      </c>
      <c r="D87" s="143">
        <f>(C86-I84)*4.7</f>
        <v>128.287462</v>
      </c>
      <c r="E87" s="144" t="s">
        <v>236</v>
      </c>
      <c r="F87" s="145"/>
      <c r="G87" s="146" t="s">
        <v>45</v>
      </c>
      <c r="I87" s="131" t="s">
        <v>46</v>
      </c>
      <c r="J87" s="147" t="s">
        <v>42</v>
      </c>
      <c r="K87" s="133">
        <f>(F84+I86)+((F84+I86)*0.05)</f>
        <v>37.7709574468085</v>
      </c>
      <c r="L87" s="133">
        <f>(F84+I86)+((F84+I86)*0.08)</f>
        <v>38.8501276595745</v>
      </c>
      <c r="M87" s="133">
        <f>(F84+I86)+((F84+I86)*0.1)</f>
        <v>39.5695744680851</v>
      </c>
      <c r="N87" s="133">
        <f>(F84+I86)+((F84+I86)*0.15)</f>
        <v>41.3681914893617</v>
      </c>
      <c r="O87" s="133">
        <f>(F84+I86)+((F84+I86)*0.2)</f>
        <v>43.1668085106383</v>
      </c>
      <c r="P87" s="133">
        <f>(F84+I86)+((F84+I86)*0.25)</f>
        <v>44.9654255319149</v>
      </c>
      <c r="Q87" s="133">
        <f>(F84+I86)+((F84+I86)*0.3)</f>
        <v>46.7640425531915</v>
      </c>
      <c r="R87" s="133">
        <f>(F84+I86)+((F84+I86)*0.35)</f>
        <v>48.5626595744681</v>
      </c>
      <c r="S87" s="133">
        <f>(F84+I86)+((F84+I86)*0.4)</f>
        <v>50.3612765957447</v>
      </c>
      <c r="T87" s="133">
        <f>(F84+I86)+((F84+I86)*0.45)</f>
        <v>52.1598936170213</v>
      </c>
      <c r="U87" s="133">
        <f>(F84+I86)+((F84+I86)*0.5)</f>
        <v>53.9585106382979</v>
      </c>
      <c r="V87" s="134">
        <f>(F84+I86)+((F84+I86)*0.6)</f>
        <v>57.5557446808511</v>
      </c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00"/>
      <c r="DJ87" s="100"/>
      <c r="DK87" s="100"/>
      <c r="DL87" s="100"/>
      <c r="DM87" s="100"/>
      <c r="DN87" s="100"/>
      <c r="DO87" s="100"/>
      <c r="DP87" s="100"/>
      <c r="DQ87" s="100"/>
      <c r="DR87" s="100"/>
      <c r="DS87" s="100"/>
      <c r="DT87" s="100"/>
      <c r="DU87" s="100"/>
      <c r="DV87" s="100"/>
      <c r="DW87" s="100"/>
      <c r="DX87" s="100"/>
      <c r="DY87" s="100"/>
      <c r="DZ87" s="100"/>
      <c r="EA87" s="100"/>
      <c r="EB87" s="100"/>
      <c r="EC87" s="100"/>
      <c r="ED87" s="100"/>
      <c r="EE87" s="100"/>
      <c r="EF87" s="100"/>
      <c r="EG87" s="100"/>
      <c r="EH87" s="100"/>
      <c r="EI87" s="100"/>
      <c r="EJ87" s="100"/>
      <c r="EK87" s="100"/>
      <c r="EL87" s="100"/>
      <c r="EM87" s="100"/>
      <c r="EN87" s="100"/>
      <c r="EO87" s="100"/>
      <c r="EP87" s="100"/>
      <c r="EQ87" s="100"/>
      <c r="ER87" s="100"/>
      <c r="ES87" s="100"/>
      <c r="ET87" s="100"/>
      <c r="EU87" s="100"/>
      <c r="EV87" s="100"/>
      <c r="EW87" s="100"/>
      <c r="EX87" s="100"/>
      <c r="EY87" s="100"/>
      <c r="EZ87" s="100"/>
      <c r="FA87" s="100"/>
      <c r="FB87" s="100"/>
      <c r="FC87" s="100"/>
      <c r="FD87" s="100"/>
      <c r="FE87" s="100"/>
      <c r="FF87" s="100"/>
      <c r="FG87" s="100"/>
      <c r="FH87" s="100"/>
      <c r="FI87" s="100"/>
      <c r="FJ87" s="100"/>
      <c r="FK87" s="100"/>
      <c r="FL87" s="100"/>
    </row>
    <row r="88" ht="18.15" spans="3:168">
      <c r="C88" s="148" t="s">
        <v>14</v>
      </c>
      <c r="D88" s="149" t="s">
        <v>15</v>
      </c>
      <c r="E88" s="150" t="s">
        <v>14</v>
      </c>
      <c r="F88" s="110" t="s">
        <v>15</v>
      </c>
      <c r="G88" s="148" t="s">
        <v>14</v>
      </c>
      <c r="H88" s="149" t="s">
        <v>15</v>
      </c>
      <c r="I88" s="139">
        <f>F84+C91/4.7</f>
        <v>22.3602127659575</v>
      </c>
      <c r="J88" s="147" t="s">
        <v>35</v>
      </c>
      <c r="K88" s="143">
        <f>(K87-I86)*4.7</f>
        <v>76.4535</v>
      </c>
      <c r="L88" s="143">
        <f>(L87-I86)*4.7</f>
        <v>81.5256</v>
      </c>
      <c r="M88" s="143">
        <f>(M87-I86)*4.7</f>
        <v>84.907</v>
      </c>
      <c r="N88" s="143">
        <f>(N87-I86)*4.7</f>
        <v>93.3605</v>
      </c>
      <c r="O88" s="143">
        <f>(O87-I86)*4.7</f>
        <v>101.814</v>
      </c>
      <c r="P88" s="143">
        <f>(P87-I86)*4.7</f>
        <v>110.2675</v>
      </c>
      <c r="Q88" s="143">
        <f>(Q87-I86)*4.7</f>
        <v>118.721</v>
      </c>
      <c r="R88" s="143">
        <f>(R87-I86)*4.7</f>
        <v>127.1745</v>
      </c>
      <c r="S88" s="143">
        <f>(S87-I86)*4.7</f>
        <v>135.628</v>
      </c>
      <c r="T88" s="143">
        <f>(T87-I86)*4.7</f>
        <v>144.0815</v>
      </c>
      <c r="U88" s="143">
        <f>(U87-I86)*4.7</f>
        <v>152.535</v>
      </c>
      <c r="V88" s="114">
        <f>(V87-I86)*4.7</f>
        <v>169.442</v>
      </c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0"/>
      <c r="DE88" s="100"/>
      <c r="DF88" s="100"/>
      <c r="DG88" s="100"/>
      <c r="DH88" s="100"/>
      <c r="DI88" s="100"/>
      <c r="DJ88" s="100"/>
      <c r="DK88" s="100"/>
      <c r="DL88" s="100"/>
      <c r="DM88" s="100"/>
      <c r="DN88" s="100"/>
      <c r="DO88" s="100"/>
      <c r="DP88" s="100"/>
      <c r="DQ88" s="100"/>
      <c r="DR88" s="100"/>
      <c r="DS88" s="100"/>
      <c r="DT88" s="100"/>
      <c r="DU88" s="100"/>
      <c r="DV88" s="100"/>
      <c r="DW88" s="100"/>
      <c r="DX88" s="100"/>
      <c r="DY88" s="100"/>
      <c r="DZ88" s="100"/>
      <c r="EA88" s="100"/>
      <c r="EB88" s="100"/>
      <c r="EC88" s="100"/>
      <c r="ED88" s="100"/>
      <c r="EE88" s="100"/>
      <c r="EF88" s="100"/>
      <c r="EG88" s="100"/>
      <c r="EH88" s="100"/>
      <c r="EI88" s="100"/>
      <c r="EJ88" s="100"/>
      <c r="EK88" s="100"/>
      <c r="EL88" s="100"/>
      <c r="EM88" s="100"/>
      <c r="EN88" s="100"/>
      <c r="EO88" s="100"/>
      <c r="EP88" s="100"/>
      <c r="EQ88" s="100"/>
      <c r="ER88" s="100"/>
      <c r="ES88" s="100"/>
      <c r="ET88" s="100"/>
      <c r="EU88" s="100"/>
      <c r="EV88" s="100"/>
      <c r="EW88" s="100"/>
      <c r="EX88" s="100"/>
      <c r="EY88" s="100"/>
      <c r="EZ88" s="100"/>
      <c r="FA88" s="100"/>
      <c r="FB88" s="100"/>
      <c r="FC88" s="100"/>
      <c r="FD88" s="100"/>
      <c r="FE88" s="100"/>
      <c r="FF88" s="100"/>
      <c r="FG88" s="100"/>
      <c r="FH88" s="100"/>
      <c r="FI88" s="100"/>
      <c r="FJ88" s="100"/>
      <c r="FK88" s="100"/>
      <c r="FL88" s="100"/>
    </row>
    <row r="89" ht="22.2" spans="3:168">
      <c r="C89" s="151">
        <f>_xlfn.LET(_xlpm.KG,D84/1000,IF(_xlpm.KG&lt;=0,"重量无效",IF(_xlpm.KG&lt;=0.3,_xlpm.KG*91,IF(_xlpm.KG&lt;=0.5,_xlpm.KG*91,IF(_xlpm.KG&lt;=1,_xlpm.KG*88,IF(_xlpm.KG&lt;=3,_xlpm.KG*85,IF(_xlpm.KG&lt;=5,_xlpm.KG*81,"超出5kg")))))))</f>
        <v>2.093</v>
      </c>
      <c r="D89" s="118">
        <f>_xlfn.LET(_xlpm.KG,D84/1000,IF(_xlpm.KG&lt;=0,"重量无效",IF(_xlpm.KG&lt;=0.3,35,IF(_xlpm.KG&lt;=0.5,40,IF(_xlpm.KG&lt;=1,44,IF(_xlpm.KG&lt;=3,47,IF(_xlpm.KG&lt;=5,70,"超出5kg")))))))</f>
        <v>35</v>
      </c>
      <c r="E89" s="151">
        <f>_xlfn.LET(_xlpm.KG,D84/1000,IF(_xlpm.KG&lt;=0,"重量无效",IF(_xlpm.KG&lt;=0.3,_xlpm.KG*95,IF(_xlpm.KG&lt;=0.5,_xlpm.KG*95,IF(_xlpm.KG&lt;=1,_xlpm.KG*92,IF(_xlpm.KG&lt;=3,_xlpm.KG*85,IF(_xlpm.KG&lt;=5,_xlpm.KG*81,"超出 5kg")))))))</f>
        <v>2.185</v>
      </c>
      <c r="F89" s="118">
        <f>_xlfn.LET(_xlpm.KG,D84/1000,IF(_xlpm.KG&lt;=0,"重量无效",IF(_xlpm.KG&lt;=0.3,46,IF(_xlpm.KG&lt;=0.5,43,IF(_xlpm.KG&lt;=1,73,IF(_xlpm.KG&lt;=3,124,IF(_xlpm.KG&lt;=5,141,"超出 5kg")))))))</f>
        <v>46</v>
      </c>
      <c r="G89" s="151">
        <f>_xlfn.LET(_xlpm.KG,D84/1000,IF(_xlpm.KG&lt;0.3,_xlpm.KG*54,IF(_xlpm.KG&lt;0.5,_xlpm.KG*54,IF(_xlpm.KG&lt;1,_xlpm.KG*54,IF(_xlpm.KG&lt;3,_xlpm.KG*54,IF(_xlpm.KG&lt;=20,_xlpm.KG*54,"超出20kg"))))))</f>
        <v>1.242</v>
      </c>
      <c r="H89" s="118">
        <f>IF(D84/1000&lt;0.5,62,IF(D84/1000&lt;1,105,IF(D84/1000&lt;3,130,IF(#REF!/1000&lt;=20,160,D84))))</f>
        <v>62</v>
      </c>
      <c r="I89" s="131" t="s">
        <v>48</v>
      </c>
      <c r="J89" s="152" t="s">
        <v>47</v>
      </c>
      <c r="K89" s="105">
        <f>(F84+I88)+((F84+I88)*0.05)</f>
        <v>38.6697127659575</v>
      </c>
      <c r="L89" s="105">
        <f>(F84+I88)+((F84+I88)*0.08)</f>
        <v>39.7745617021277</v>
      </c>
      <c r="M89" s="105">
        <f>(F84+I88)+((F84+I88)*0.1)</f>
        <v>40.5111276595745</v>
      </c>
      <c r="N89" s="105">
        <f>(F84+I88)+((F84+I88)*0.15)</f>
        <v>42.3525425531915</v>
      </c>
      <c r="O89" s="105">
        <f>(F84+I88)+((F84+I88)*0.2)</f>
        <v>44.1939574468085</v>
      </c>
      <c r="P89" s="105">
        <f>(F84+I88)+((F84+I88)*0.25)</f>
        <v>46.0353723404255</v>
      </c>
      <c r="Q89" s="105">
        <f>(F84+I88)+((F84+I88)*0.3)</f>
        <v>47.8767872340426</v>
      </c>
      <c r="R89" s="105">
        <f>(F84+I88)+((F84+I88)*0.35)</f>
        <v>49.7182021276596</v>
      </c>
      <c r="S89" s="105">
        <f>(F84+I88)+((F84+I88)*0.4)</f>
        <v>51.5596170212766</v>
      </c>
      <c r="T89" s="105">
        <f>(F84+I88)+((F84+I88)*0.45)</f>
        <v>53.4010319148936</v>
      </c>
      <c r="U89" s="105">
        <f>(F84+I88)+((F84+I88)*0.5)</f>
        <v>55.2424468085106</v>
      </c>
      <c r="V89" s="106">
        <f>(F84+I88)+((F84+I88)*0.6)</f>
        <v>58.9252765957447</v>
      </c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00"/>
      <c r="DJ89" s="100"/>
      <c r="DK89" s="100"/>
      <c r="DL89" s="100"/>
      <c r="DM89" s="100"/>
      <c r="DN89" s="100"/>
      <c r="DO89" s="100"/>
      <c r="DP89" s="100"/>
      <c r="DQ89" s="100"/>
      <c r="DR89" s="100"/>
      <c r="DS89" s="100"/>
      <c r="DT89" s="100"/>
      <c r="DU89" s="100"/>
      <c r="DV89" s="100"/>
      <c r="DW89" s="100"/>
      <c r="DX89" s="100"/>
      <c r="DY89" s="100"/>
      <c r="DZ89" s="100"/>
      <c r="EA89" s="100"/>
      <c r="EB89" s="100"/>
      <c r="EC89" s="100"/>
      <c r="ED89" s="100"/>
      <c r="EE89" s="100"/>
      <c r="EF89" s="100"/>
      <c r="EG89" s="100"/>
      <c r="EH89" s="100"/>
      <c r="EI89" s="100"/>
      <c r="EJ89" s="100"/>
      <c r="EK89" s="100"/>
      <c r="EL89" s="100"/>
      <c r="EM89" s="100"/>
      <c r="EN89" s="100"/>
      <c r="EO89" s="100"/>
      <c r="EP89" s="100"/>
      <c r="EQ89" s="100"/>
      <c r="ER89" s="100"/>
      <c r="ES89" s="100"/>
      <c r="ET89" s="100"/>
      <c r="EU89" s="100"/>
      <c r="EV89" s="100"/>
      <c r="EW89" s="100"/>
      <c r="EX89" s="100"/>
      <c r="EY89" s="100"/>
      <c r="EZ89" s="100"/>
      <c r="FA89" s="100"/>
      <c r="FB89" s="100"/>
      <c r="FC89" s="100"/>
      <c r="FD89" s="100"/>
      <c r="FE89" s="100"/>
      <c r="FF89" s="100"/>
      <c r="FG89" s="100"/>
      <c r="FH89" s="100"/>
      <c r="FI89" s="100"/>
      <c r="FJ89" s="100"/>
      <c r="FK89" s="100"/>
      <c r="FL89" s="100"/>
    </row>
    <row r="90" ht="18.15" spans="3:168">
      <c r="C90" s="150" t="s">
        <v>16</v>
      </c>
      <c r="D90" s="153"/>
      <c r="E90" s="150" t="s">
        <v>16</v>
      </c>
      <c r="F90" s="153"/>
      <c r="G90" s="154" t="s">
        <v>237</v>
      </c>
      <c r="H90" s="155"/>
      <c r="I90" s="156">
        <f>F84+E91/4.7</f>
        <v>24.7202127659575</v>
      </c>
      <c r="J90" s="147" t="s">
        <v>35</v>
      </c>
      <c r="K90" s="143">
        <f>(K89-I88)*4.7</f>
        <v>76.65465</v>
      </c>
      <c r="L90" s="143">
        <f>(L89-I88)*4.7</f>
        <v>81.84744</v>
      </c>
      <c r="M90" s="143">
        <f>(M89-I88)*4.7</f>
        <v>85.3093</v>
      </c>
      <c r="N90" s="143">
        <f>(N89-I88)*4.7</f>
        <v>93.96395</v>
      </c>
      <c r="O90" s="143">
        <f>(O89-I88)*4.7</f>
        <v>102.6186</v>
      </c>
      <c r="P90" s="143">
        <f>(P89-I88)*4.7</f>
        <v>111.27325</v>
      </c>
      <c r="Q90" s="143">
        <f>(Q89-I88)*4.7</f>
        <v>119.9279</v>
      </c>
      <c r="R90" s="143">
        <f>(R89-I88)*4.7</f>
        <v>128.58255</v>
      </c>
      <c r="S90" s="143">
        <f>(S89-I88)*4.7</f>
        <v>137.2372</v>
      </c>
      <c r="T90" s="143">
        <f>(T89-I88)*4.7</f>
        <v>145.89185</v>
      </c>
      <c r="U90" s="143">
        <f>(U89-I88)*4.7</f>
        <v>154.5465</v>
      </c>
      <c r="V90" s="114">
        <f>(V89-I88)*4.7</f>
        <v>171.8558</v>
      </c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  <c r="CD90" s="100"/>
      <c r="CE90" s="10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  <c r="CU90" s="100"/>
      <c r="CV90" s="100"/>
      <c r="CW90" s="100"/>
      <c r="CX90" s="100"/>
      <c r="CY90" s="100"/>
      <c r="CZ90" s="100"/>
      <c r="DA90" s="100"/>
      <c r="DB90" s="100"/>
      <c r="DC90" s="100"/>
      <c r="DD90" s="100"/>
      <c r="DE90" s="100"/>
      <c r="DF90" s="100"/>
      <c r="DG90" s="100"/>
      <c r="DH90" s="100"/>
      <c r="DI90" s="100"/>
      <c r="DJ90" s="100"/>
      <c r="DK90" s="100"/>
      <c r="DL90" s="100"/>
      <c r="DM90" s="100"/>
      <c r="DN90" s="100"/>
      <c r="DO90" s="100"/>
      <c r="DP90" s="100"/>
      <c r="DQ90" s="100"/>
      <c r="DR90" s="100"/>
      <c r="DS90" s="100"/>
      <c r="DT90" s="100"/>
      <c r="DU90" s="100"/>
      <c r="DV90" s="100"/>
      <c r="DW90" s="100"/>
      <c r="DX90" s="100"/>
      <c r="DY90" s="100"/>
      <c r="DZ90" s="100"/>
      <c r="EA90" s="100"/>
      <c r="EB90" s="100"/>
      <c r="EC90" s="100"/>
      <c r="ED90" s="100"/>
      <c r="EE90" s="100"/>
      <c r="EF90" s="100"/>
      <c r="EG90" s="100"/>
      <c r="EH90" s="100"/>
      <c r="EI90" s="100"/>
      <c r="EJ90" s="100"/>
      <c r="EK90" s="100"/>
      <c r="EL90" s="100"/>
      <c r="EM90" s="100"/>
      <c r="EN90" s="100"/>
      <c r="EO90" s="100"/>
      <c r="EP90" s="100"/>
      <c r="EQ90" s="100"/>
      <c r="ER90" s="100"/>
      <c r="ES90" s="100"/>
      <c r="ET90" s="100"/>
      <c r="EU90" s="100"/>
      <c r="EV90" s="100"/>
      <c r="EW90" s="100"/>
      <c r="EX90" s="100"/>
      <c r="EY90" s="100"/>
      <c r="EZ90" s="100"/>
      <c r="FA90" s="100"/>
      <c r="FB90" s="100"/>
      <c r="FC90" s="100"/>
      <c r="FD90" s="100"/>
      <c r="FE90" s="100"/>
      <c r="FF90" s="100"/>
      <c r="FG90" s="100"/>
      <c r="FH90" s="100"/>
      <c r="FI90" s="100"/>
      <c r="FJ90" s="100"/>
      <c r="FK90" s="100"/>
      <c r="FL90" s="100"/>
    </row>
    <row r="91" ht="22.2" spans="3:168">
      <c r="C91" s="151">
        <f>C89+D89</f>
        <v>37.093</v>
      </c>
      <c r="D91" s="153"/>
      <c r="E91" s="151">
        <f>E89+F89</f>
        <v>48.185</v>
      </c>
      <c r="F91" s="153"/>
      <c r="G91" s="155"/>
      <c r="H91" s="155"/>
      <c r="I91" s="157" t="s">
        <v>50</v>
      </c>
      <c r="J91" s="152" t="s">
        <v>49</v>
      </c>
      <c r="K91" s="105">
        <f>(F84+I90)+((F84+I90)*0.05)</f>
        <v>41.1477127659575</v>
      </c>
      <c r="L91" s="105">
        <f>(F84+I90)+((F84+I90)*0.08)</f>
        <v>42.3233617021277</v>
      </c>
      <c r="M91" s="105">
        <f>(F84+I90)+((F84+I90)*0.1)</f>
        <v>43.1071276595745</v>
      </c>
      <c r="N91" s="105">
        <f>(F84+I90)+((F84+I90)*0.15)</f>
        <v>45.0665425531915</v>
      </c>
      <c r="O91" s="105">
        <f>(F84+I90)+((F84+I90)*0.2)</f>
        <v>47.0259574468085</v>
      </c>
      <c r="P91" s="105">
        <f>(F84+I90)+((F84+I90)*0.25)</f>
        <v>48.9853723404255</v>
      </c>
      <c r="Q91" s="105">
        <f>(F84+I90)+((F84+I90)*0.3)</f>
        <v>50.9447872340426</v>
      </c>
      <c r="R91" s="105">
        <f>(F84+I90)+((F84+I90)*0.35)</f>
        <v>52.9042021276596</v>
      </c>
      <c r="S91" s="105">
        <f>(F84+I90)+((F84+I90)*0.4)</f>
        <v>54.8636170212766</v>
      </c>
      <c r="T91" s="105">
        <f>(F84+I90)+((F84+I90)*0.45)</f>
        <v>56.8230319148936</v>
      </c>
      <c r="U91" s="105">
        <f>(F84+I90)+((F84+I90)*0.5)</f>
        <v>58.7824468085106</v>
      </c>
      <c r="V91" s="106">
        <f>(F84+I90)+((F84+I90)*0.6)</f>
        <v>62.7012765957447</v>
      </c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  <c r="CD91" s="100"/>
      <c r="CE91" s="100"/>
      <c r="CF91" s="100"/>
      <c r="CG91" s="100"/>
      <c r="CH91" s="100"/>
      <c r="CI91" s="100"/>
      <c r="CJ91" s="100"/>
      <c r="CK91" s="100"/>
      <c r="CL91" s="100"/>
      <c r="CM91" s="100"/>
      <c r="CN91" s="100"/>
      <c r="CO91" s="100"/>
      <c r="CP91" s="100"/>
      <c r="CQ91" s="100"/>
      <c r="CR91" s="100"/>
      <c r="CS91" s="100"/>
      <c r="CT91" s="100"/>
      <c r="CU91" s="100"/>
      <c r="CV91" s="100"/>
      <c r="CW91" s="100"/>
      <c r="CX91" s="100"/>
      <c r="CY91" s="100"/>
      <c r="CZ91" s="100"/>
      <c r="DA91" s="100"/>
      <c r="DB91" s="100"/>
      <c r="DC91" s="100"/>
      <c r="DD91" s="100"/>
      <c r="DE91" s="100"/>
      <c r="DF91" s="100"/>
      <c r="DG91" s="100"/>
      <c r="DH91" s="100"/>
      <c r="DI91" s="100"/>
      <c r="DJ91" s="100"/>
      <c r="DK91" s="100"/>
      <c r="DL91" s="100"/>
      <c r="DM91" s="100"/>
      <c r="DN91" s="100"/>
      <c r="DO91" s="100"/>
      <c r="DP91" s="100"/>
      <c r="DQ91" s="100"/>
      <c r="DR91" s="100"/>
      <c r="DS91" s="100"/>
      <c r="DT91" s="100"/>
      <c r="DU91" s="100"/>
      <c r="DV91" s="100"/>
      <c r="DW91" s="100"/>
      <c r="DX91" s="100"/>
      <c r="DY91" s="100"/>
      <c r="DZ91" s="100"/>
      <c r="EA91" s="100"/>
      <c r="EB91" s="100"/>
      <c r="EC91" s="100"/>
      <c r="ED91" s="100"/>
      <c r="EE91" s="100"/>
      <c r="EF91" s="100"/>
      <c r="EG91" s="100"/>
      <c r="EH91" s="100"/>
      <c r="EI91" s="100"/>
      <c r="EJ91" s="100"/>
      <c r="EK91" s="100"/>
      <c r="EL91" s="100"/>
      <c r="EM91" s="100"/>
      <c r="EN91" s="100"/>
      <c r="EO91" s="100"/>
      <c r="EP91" s="100"/>
      <c r="EQ91" s="100"/>
      <c r="ER91" s="100"/>
      <c r="ES91" s="100"/>
      <c r="ET91" s="100"/>
      <c r="EU91" s="100"/>
      <c r="EV91" s="100"/>
      <c r="EW91" s="100"/>
      <c r="EX91" s="100"/>
      <c r="EY91" s="100"/>
      <c r="EZ91" s="100"/>
      <c r="FA91" s="100"/>
      <c r="FB91" s="100"/>
      <c r="FC91" s="100"/>
      <c r="FD91" s="100"/>
      <c r="FE91" s="100"/>
      <c r="FF91" s="100"/>
      <c r="FG91" s="100"/>
      <c r="FH91" s="100"/>
      <c r="FI91" s="100"/>
      <c r="FJ91" s="100"/>
      <c r="FK91" s="100"/>
      <c r="FL91" s="100"/>
    </row>
    <row r="92" ht="28.2" spans="3:168">
      <c r="C92" s="158" t="s">
        <v>52</v>
      </c>
      <c r="D92" s="159"/>
      <c r="E92" s="158" t="s">
        <v>53</v>
      </c>
      <c r="F92" s="159"/>
      <c r="G92" s="155"/>
      <c r="H92" s="155"/>
      <c r="I92" s="160"/>
      <c r="J92" s="161" t="s">
        <v>35</v>
      </c>
      <c r="K92" s="162">
        <f>(K91-I90)*4.7</f>
        <v>77.20925</v>
      </c>
      <c r="L92" s="162">
        <f>(L91-I90)*4.7</f>
        <v>82.7348</v>
      </c>
      <c r="M92" s="162">
        <f>(M91-I90)*4.7</f>
        <v>86.4185</v>
      </c>
      <c r="N92" s="162">
        <f>(N91-I90)*4.7</f>
        <v>95.62775</v>
      </c>
      <c r="O92" s="162">
        <f>(O91-I90)*4.7</f>
        <v>104.837</v>
      </c>
      <c r="P92" s="162">
        <f>(P91-I90)*4.7</f>
        <v>114.04625</v>
      </c>
      <c r="Q92" s="162">
        <f>(Q91-I90)*4.7</f>
        <v>123.2555</v>
      </c>
      <c r="R92" s="162">
        <f>(R91-I90)*4.7</f>
        <v>132.46475</v>
      </c>
      <c r="S92" s="162">
        <f>(S91-I90)*4.7</f>
        <v>141.674</v>
      </c>
      <c r="T92" s="162">
        <f>(T91-I90)*4.7</f>
        <v>150.88325</v>
      </c>
      <c r="U92" s="162">
        <f>(U91-I90)*4.7</f>
        <v>160.0925</v>
      </c>
      <c r="V92" s="163">
        <f>(V91-I90)*4.7</f>
        <v>178.511</v>
      </c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100"/>
      <c r="BU92" s="100"/>
      <c r="BV92" s="100"/>
      <c r="BW92" s="100"/>
      <c r="BX92" s="100"/>
      <c r="BY92" s="100"/>
      <c r="BZ92" s="100"/>
      <c r="CA92" s="100"/>
      <c r="CB92" s="100"/>
      <c r="CC92" s="100"/>
      <c r="CD92" s="100"/>
      <c r="CE92" s="100"/>
      <c r="CF92" s="100"/>
      <c r="CG92" s="100"/>
      <c r="CH92" s="100"/>
      <c r="CI92" s="100"/>
      <c r="CJ92" s="100"/>
      <c r="CK92" s="100"/>
      <c r="CL92" s="100"/>
      <c r="CM92" s="100"/>
      <c r="CN92" s="100"/>
      <c r="CO92" s="100"/>
      <c r="CP92" s="100"/>
      <c r="CQ92" s="100"/>
      <c r="CR92" s="100"/>
      <c r="CS92" s="100"/>
      <c r="CT92" s="100"/>
      <c r="CU92" s="100"/>
      <c r="CV92" s="100"/>
      <c r="CW92" s="100"/>
      <c r="CX92" s="100"/>
      <c r="CY92" s="100"/>
      <c r="CZ92" s="100"/>
      <c r="DA92" s="100"/>
      <c r="DB92" s="100"/>
      <c r="DC92" s="100"/>
      <c r="DD92" s="100"/>
      <c r="DE92" s="100"/>
      <c r="DF92" s="100"/>
      <c r="DG92" s="100"/>
      <c r="DH92" s="100"/>
      <c r="DI92" s="100"/>
      <c r="DJ92" s="100"/>
      <c r="DK92" s="100"/>
      <c r="DL92" s="100"/>
      <c r="DM92" s="100"/>
      <c r="DN92" s="100"/>
      <c r="DO92" s="100"/>
      <c r="DP92" s="100"/>
      <c r="DQ92" s="100"/>
      <c r="DR92" s="100"/>
      <c r="DS92" s="100"/>
      <c r="DT92" s="100"/>
      <c r="DU92" s="100"/>
      <c r="DV92" s="100"/>
      <c r="DW92" s="100"/>
      <c r="DX92" s="100"/>
      <c r="DY92" s="100"/>
      <c r="DZ92" s="100"/>
      <c r="EA92" s="100"/>
      <c r="EB92" s="100"/>
      <c r="EC92" s="100"/>
      <c r="ED92" s="100"/>
      <c r="EE92" s="100"/>
      <c r="EF92" s="100"/>
      <c r="EG92" s="100"/>
      <c r="EH92" s="100"/>
      <c r="EI92" s="100"/>
      <c r="EJ92" s="100"/>
      <c r="EK92" s="100"/>
      <c r="EL92" s="100"/>
      <c r="EM92" s="100"/>
      <c r="EN92" s="100"/>
      <c r="EO92" s="100"/>
      <c r="EP92" s="100"/>
      <c r="EQ92" s="100"/>
      <c r="ER92" s="100"/>
      <c r="ES92" s="100"/>
      <c r="ET92" s="100"/>
      <c r="EU92" s="100"/>
      <c r="EV92" s="100"/>
      <c r="EW92" s="100"/>
      <c r="EX92" s="100"/>
      <c r="EY92" s="100"/>
      <c r="EZ92" s="100"/>
      <c r="FA92" s="100"/>
      <c r="FB92" s="100"/>
      <c r="FC92" s="100"/>
      <c r="FD92" s="100"/>
      <c r="FE92" s="100"/>
      <c r="FF92" s="100"/>
      <c r="FG92" s="100"/>
      <c r="FH92" s="100"/>
      <c r="FI92" s="100"/>
      <c r="FJ92" s="100"/>
      <c r="FK92" s="100"/>
      <c r="FL92" s="100"/>
    </row>
    <row r="94" ht="34.8" spans="3:168">
      <c r="C94" s="68" t="s">
        <v>206</v>
      </c>
      <c r="D94" s="68" t="s">
        <v>207</v>
      </c>
      <c r="E94" s="68" t="s">
        <v>208</v>
      </c>
      <c r="F94" s="68" t="s">
        <v>209</v>
      </c>
      <c r="G94" s="68" t="s">
        <v>210</v>
      </c>
      <c r="H94" s="68" t="s">
        <v>211</v>
      </c>
      <c r="I94" s="68" t="s">
        <v>212</v>
      </c>
      <c r="J94" s="68" t="s">
        <v>213</v>
      </c>
    </row>
    <row r="95" ht="17.4" spans="3:168">
      <c r="C95" s="71" t="s">
        <v>214</v>
      </c>
      <c r="D95" s="71" t="s">
        <v>238</v>
      </c>
      <c r="E95" s="71" t="s">
        <v>216</v>
      </c>
      <c r="F95" s="71" t="s">
        <v>217</v>
      </c>
      <c r="G95" s="71"/>
      <c r="H95" s="164">
        <v>0.05</v>
      </c>
      <c r="I95" s="72">
        <v>88</v>
      </c>
      <c r="J95" s="72">
        <v>31</v>
      </c>
    </row>
    <row r="96" ht="17.4" spans="3:168">
      <c r="C96" s="71" t="s">
        <v>214</v>
      </c>
      <c r="D96" s="71" t="s">
        <v>238</v>
      </c>
      <c r="E96" s="71" t="s">
        <v>216</v>
      </c>
      <c r="F96" s="71" t="s">
        <v>218</v>
      </c>
      <c r="G96" s="71"/>
      <c r="H96" s="164">
        <v>0.05</v>
      </c>
      <c r="I96" s="72">
        <v>88</v>
      </c>
      <c r="J96" s="72">
        <v>34</v>
      </c>
    </row>
    <row r="97" ht="17.4" spans="3:10">
      <c r="C97" s="71" t="s">
        <v>214</v>
      </c>
      <c r="D97" s="71" t="s">
        <v>238</v>
      </c>
      <c r="E97" s="71" t="s">
        <v>216</v>
      </c>
      <c r="F97" s="71" t="s">
        <v>219</v>
      </c>
      <c r="G97" s="71"/>
      <c r="H97" s="164">
        <v>0.05</v>
      </c>
      <c r="I97" s="72">
        <v>85</v>
      </c>
      <c r="J97" s="72">
        <v>34</v>
      </c>
    </row>
    <row r="98" ht="17.4" spans="3:10">
      <c r="C98" s="71" t="s">
        <v>214</v>
      </c>
      <c r="D98" s="71" t="s">
        <v>238</v>
      </c>
      <c r="E98" s="71" t="s">
        <v>216</v>
      </c>
      <c r="F98" s="71" t="s">
        <v>220</v>
      </c>
      <c r="G98" s="71"/>
      <c r="H98" s="164">
        <v>0.05</v>
      </c>
      <c r="I98" s="72">
        <v>85</v>
      </c>
      <c r="J98" s="72">
        <v>39</v>
      </c>
    </row>
    <row r="99" ht="17.4" spans="3:10">
      <c r="C99" s="71" t="s">
        <v>214</v>
      </c>
      <c r="D99" s="71" t="s">
        <v>238</v>
      </c>
      <c r="E99" s="71" t="s">
        <v>216</v>
      </c>
      <c r="F99" s="71" t="s">
        <v>239</v>
      </c>
      <c r="G99" s="71"/>
      <c r="H99" s="164">
        <v>0.05</v>
      </c>
      <c r="I99" s="72">
        <v>81</v>
      </c>
      <c r="J99" s="72">
        <v>59</v>
      </c>
    </row>
    <row r="100" ht="17.4" spans="3:10">
      <c r="C100" s="71" t="s">
        <v>214</v>
      </c>
      <c r="D100" s="71" t="s">
        <v>238</v>
      </c>
      <c r="E100" s="71" t="s">
        <v>222</v>
      </c>
      <c r="F100" s="71" t="s">
        <v>217</v>
      </c>
      <c r="G100" s="71"/>
      <c r="H100" s="164">
        <v>0.05</v>
      </c>
      <c r="I100" s="72">
        <v>91</v>
      </c>
      <c r="J100" s="72">
        <v>35</v>
      </c>
    </row>
    <row r="101" ht="17.4" spans="3:10">
      <c r="C101" s="71" t="s">
        <v>214</v>
      </c>
      <c r="D101" s="71" t="s">
        <v>238</v>
      </c>
      <c r="E101" s="71" t="s">
        <v>222</v>
      </c>
      <c r="F101" s="71" t="s">
        <v>218</v>
      </c>
      <c r="G101" s="71"/>
      <c r="H101" s="164">
        <v>0.05</v>
      </c>
      <c r="I101" s="72">
        <v>91</v>
      </c>
      <c r="J101" s="72">
        <v>40</v>
      </c>
    </row>
    <row r="102" ht="17.4" spans="3:10">
      <c r="C102" s="71" t="s">
        <v>214</v>
      </c>
      <c r="D102" s="71" t="s">
        <v>238</v>
      </c>
      <c r="E102" s="71" t="s">
        <v>222</v>
      </c>
      <c r="F102" s="71" t="s">
        <v>219</v>
      </c>
      <c r="G102" s="71"/>
      <c r="H102" s="164">
        <v>0.05</v>
      </c>
      <c r="I102" s="72">
        <v>88</v>
      </c>
      <c r="J102" s="72">
        <v>44</v>
      </c>
    </row>
    <row r="103" ht="17.4" spans="3:10">
      <c r="C103" s="71" t="s">
        <v>214</v>
      </c>
      <c r="D103" s="71" t="s">
        <v>238</v>
      </c>
      <c r="E103" s="71" t="s">
        <v>222</v>
      </c>
      <c r="F103" s="71" t="s">
        <v>220</v>
      </c>
      <c r="G103" s="71"/>
      <c r="H103" s="164">
        <v>0.05</v>
      </c>
      <c r="I103" s="72">
        <v>85</v>
      </c>
      <c r="J103" s="72">
        <v>47</v>
      </c>
    </row>
    <row r="104" ht="17.4" spans="3:10">
      <c r="C104" s="71" t="s">
        <v>214</v>
      </c>
      <c r="D104" s="71" t="s">
        <v>238</v>
      </c>
      <c r="E104" s="71" t="s">
        <v>222</v>
      </c>
      <c r="F104" s="71" t="s">
        <v>239</v>
      </c>
      <c r="G104" s="71"/>
      <c r="H104" s="164">
        <v>0.05</v>
      </c>
      <c r="I104" s="72">
        <v>81</v>
      </c>
      <c r="J104" s="72">
        <v>70</v>
      </c>
    </row>
    <row r="105" ht="17.4" spans="3:10">
      <c r="C105" s="71" t="s">
        <v>214</v>
      </c>
      <c r="D105" s="71" t="s">
        <v>238</v>
      </c>
      <c r="E105" s="71" t="s">
        <v>223</v>
      </c>
      <c r="F105" s="71" t="s">
        <v>217</v>
      </c>
      <c r="G105" s="71"/>
      <c r="H105" s="164">
        <v>0.05</v>
      </c>
      <c r="I105" s="72">
        <v>95</v>
      </c>
      <c r="J105" s="72">
        <v>46</v>
      </c>
    </row>
    <row r="106" ht="17.4" spans="3:10">
      <c r="C106" s="71" t="s">
        <v>214</v>
      </c>
      <c r="D106" s="71" t="s">
        <v>238</v>
      </c>
      <c r="E106" s="71" t="s">
        <v>223</v>
      </c>
      <c r="F106" s="71" t="s">
        <v>218</v>
      </c>
      <c r="G106" s="71"/>
      <c r="H106" s="164">
        <v>0.05</v>
      </c>
      <c r="I106" s="72">
        <v>95</v>
      </c>
      <c r="J106" s="72">
        <v>43</v>
      </c>
    </row>
    <row r="107" ht="17.4" spans="3:10">
      <c r="C107" s="71" t="s">
        <v>214</v>
      </c>
      <c r="D107" s="71" t="s">
        <v>238</v>
      </c>
      <c r="E107" s="71" t="s">
        <v>223</v>
      </c>
      <c r="F107" s="71" t="s">
        <v>219</v>
      </c>
      <c r="G107" s="71"/>
      <c r="H107" s="164">
        <v>0.05</v>
      </c>
      <c r="I107" s="72">
        <v>92</v>
      </c>
      <c r="J107" s="72">
        <v>73</v>
      </c>
    </row>
    <row r="108" ht="17.4" spans="3:10">
      <c r="C108" s="71" t="s">
        <v>214</v>
      </c>
      <c r="D108" s="71" t="s">
        <v>238</v>
      </c>
      <c r="E108" s="71" t="s">
        <v>223</v>
      </c>
      <c r="F108" s="71" t="s">
        <v>220</v>
      </c>
      <c r="G108" s="71"/>
      <c r="H108" s="164">
        <v>0.05</v>
      </c>
      <c r="I108" s="72">
        <v>85</v>
      </c>
      <c r="J108" s="72">
        <v>124</v>
      </c>
    </row>
    <row r="109" ht="17.4" spans="3:10">
      <c r="C109" s="71" t="s">
        <v>214</v>
      </c>
      <c r="D109" s="71" t="s">
        <v>238</v>
      </c>
      <c r="E109" s="71" t="s">
        <v>223</v>
      </c>
      <c r="F109" s="71" t="s">
        <v>239</v>
      </c>
      <c r="G109" s="71"/>
      <c r="H109" s="164">
        <v>0.05</v>
      </c>
      <c r="I109" s="72">
        <v>81</v>
      </c>
      <c r="J109" s="72">
        <v>141</v>
      </c>
    </row>
    <row r="110" s="8" customFormat="1"/>
  </sheetData>
  <mergeCells count="44">
    <mergeCell ref="E11:F11"/>
    <mergeCell ref="G11:H11"/>
    <mergeCell ref="C16:D16"/>
    <mergeCell ref="E16:F16"/>
    <mergeCell ref="G16:H16"/>
    <mergeCell ref="A41:FL41"/>
    <mergeCell ref="E50:F50"/>
    <mergeCell ref="G50:H50"/>
    <mergeCell ref="C55:D55"/>
    <mergeCell ref="E55:F55"/>
    <mergeCell ref="G55:H55"/>
    <mergeCell ref="G85:H85"/>
    <mergeCell ref="G86:H86"/>
    <mergeCell ref="E87:F87"/>
    <mergeCell ref="G87:H87"/>
    <mergeCell ref="C90:D90"/>
    <mergeCell ref="E90:F90"/>
    <mergeCell ref="C91:D91"/>
    <mergeCell ref="E91:F91"/>
    <mergeCell ref="C92:D92"/>
    <mergeCell ref="E92:F92"/>
    <mergeCell ref="C21:C40"/>
    <mergeCell ref="C44:C45"/>
    <mergeCell ref="C60:C79"/>
    <mergeCell ref="C81:C82"/>
    <mergeCell ref="C95:C109"/>
    <mergeCell ref="D5:D6"/>
    <mergeCell ref="D21:D40"/>
    <mergeCell ref="D60:D79"/>
    <mergeCell ref="D95:D109"/>
    <mergeCell ref="E21:E25"/>
    <mergeCell ref="E26:E30"/>
    <mergeCell ref="E31:E35"/>
    <mergeCell ref="E36:E40"/>
    <mergeCell ref="E60:E64"/>
    <mergeCell ref="E65:E69"/>
    <mergeCell ref="E70:E74"/>
    <mergeCell ref="E75:E79"/>
    <mergeCell ref="E95:E99"/>
    <mergeCell ref="E100:E104"/>
    <mergeCell ref="E105:E109"/>
    <mergeCell ref="J81:J82"/>
    <mergeCell ref="J83:J84"/>
    <mergeCell ref="G90:H9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92"/>
  <sheetViews>
    <sheetView workbookViewId="0">
      <selection activeCell="C43" sqref="C43"/>
    </sheetView>
  </sheetViews>
  <sheetFormatPr defaultColWidth="8.88888888888889" defaultRowHeight="14.4"/>
  <sheetData>
    <row r="1" spans="1:11">
      <c r="A1" s="1" t="s">
        <v>240</v>
      </c>
      <c r="B1" s="1"/>
      <c r="C1" s="1"/>
      <c r="D1" s="2" t="s">
        <v>241</v>
      </c>
      <c r="E1" s="2" t="s">
        <v>242</v>
      </c>
      <c r="G1" s="1" t="s">
        <v>243</v>
      </c>
      <c r="H1" s="1"/>
      <c r="I1" s="1"/>
      <c r="J1" s="2" t="s">
        <v>241</v>
      </c>
      <c r="K1" s="2" t="s">
        <v>242</v>
      </c>
    </row>
    <row r="2" ht="15.6" spans="1:11">
      <c r="A2" s="1"/>
      <c r="B2" s="1"/>
      <c r="C2" s="1"/>
      <c r="D2" s="3">
        <v>1000</v>
      </c>
      <c r="E2" s="3" t="s">
        <v>216</v>
      </c>
      <c r="G2" s="1"/>
      <c r="H2" s="1"/>
      <c r="I2" s="1"/>
      <c r="J2" s="3" t="s">
        <v>244</v>
      </c>
      <c r="K2" s="3" t="s">
        <v>216</v>
      </c>
    </row>
    <row r="3" ht="15.6" spans="1:11">
      <c r="D3" s="3">
        <v>1001</v>
      </c>
      <c r="E3" s="3" t="s">
        <v>216</v>
      </c>
      <c r="J3" s="3" t="s">
        <v>245</v>
      </c>
      <c r="K3" s="3" t="s">
        <v>216</v>
      </c>
    </row>
    <row r="4" ht="15.6" spans="1:11">
      <c r="D4" s="3">
        <v>1002</v>
      </c>
      <c r="E4" s="3" t="s">
        <v>216</v>
      </c>
      <c r="J4" s="3" t="s">
        <v>246</v>
      </c>
      <c r="K4" s="3" t="s">
        <v>216</v>
      </c>
    </row>
    <row r="5" ht="15.6" spans="1:11">
      <c r="D5" s="3">
        <v>1003</v>
      </c>
      <c r="E5" s="3" t="s">
        <v>216</v>
      </c>
      <c r="J5" s="3" t="s">
        <v>247</v>
      </c>
      <c r="K5" s="3" t="s">
        <v>216</v>
      </c>
    </row>
    <row r="6" ht="15.6" spans="1:11">
      <c r="D6" s="3">
        <v>1004</v>
      </c>
      <c r="E6" s="3" t="s">
        <v>216</v>
      </c>
      <c r="J6" s="3" t="s">
        <v>248</v>
      </c>
      <c r="K6" s="3" t="s">
        <v>216</v>
      </c>
    </row>
    <row r="7" ht="15.6" spans="1:11">
      <c r="D7" s="3">
        <v>1005</v>
      </c>
      <c r="E7" s="3" t="s">
        <v>216</v>
      </c>
      <c r="J7" s="3" t="s">
        <v>249</v>
      </c>
      <c r="K7" s="3" t="s">
        <v>216</v>
      </c>
    </row>
    <row r="8" ht="15.6" spans="1:11">
      <c r="D8" s="3">
        <v>1006</v>
      </c>
      <c r="E8" s="3" t="s">
        <v>216</v>
      </c>
      <c r="J8" s="3" t="s">
        <v>250</v>
      </c>
      <c r="K8" s="3" t="s">
        <v>216</v>
      </c>
    </row>
    <row r="9" ht="15.6" spans="1:11">
      <c r="D9" s="3">
        <v>1007</v>
      </c>
      <c r="E9" s="3" t="s">
        <v>216</v>
      </c>
      <c r="J9" s="3" t="s">
        <v>251</v>
      </c>
      <c r="K9" s="3" t="s">
        <v>216</v>
      </c>
    </row>
    <row r="10" ht="15.6" spans="1:11">
      <c r="D10" s="3">
        <v>1008</v>
      </c>
      <c r="E10" s="3" t="s">
        <v>216</v>
      </c>
      <c r="J10" s="3" t="s">
        <v>252</v>
      </c>
      <c r="K10" s="3" t="s">
        <v>216</v>
      </c>
    </row>
    <row r="11" ht="15.6" spans="1:11">
      <c r="D11" s="3">
        <v>1009</v>
      </c>
      <c r="E11" s="3" t="s">
        <v>216</v>
      </c>
      <c r="J11" s="3" t="s">
        <v>253</v>
      </c>
      <c r="K11" s="3" t="s">
        <v>216</v>
      </c>
    </row>
    <row r="12" ht="15.6" spans="1:11">
      <c r="D12" s="3">
        <v>1010</v>
      </c>
      <c r="E12" s="3" t="s">
        <v>216</v>
      </c>
      <c r="J12" s="3" t="s">
        <v>254</v>
      </c>
      <c r="K12" s="3" t="s">
        <v>216</v>
      </c>
    </row>
    <row r="13" ht="15.6" spans="1:11">
      <c r="D13" s="3">
        <v>1011</v>
      </c>
      <c r="E13" s="3" t="s">
        <v>216</v>
      </c>
      <c r="J13" s="3" t="s">
        <v>255</v>
      </c>
      <c r="K13" s="3" t="s">
        <v>216</v>
      </c>
    </row>
    <row r="14" ht="15.6" spans="1:11">
      <c r="D14" s="3">
        <v>1012</v>
      </c>
      <c r="E14" s="3" t="s">
        <v>216</v>
      </c>
      <c r="J14" s="3" t="s">
        <v>256</v>
      </c>
      <c r="K14" s="3" t="s">
        <v>216</v>
      </c>
    </row>
    <row r="15" ht="15.6" spans="1:11">
      <c r="D15" s="3">
        <v>1013</v>
      </c>
      <c r="E15" s="3" t="s">
        <v>216</v>
      </c>
      <c r="J15" s="3" t="s">
        <v>257</v>
      </c>
      <c r="K15" s="3" t="s">
        <v>216</v>
      </c>
    </row>
    <row r="16" ht="15.6" spans="1:11">
      <c r="D16" s="3">
        <v>1014</v>
      </c>
      <c r="E16" s="3" t="s">
        <v>216</v>
      </c>
      <c r="J16" s="3" t="s">
        <v>258</v>
      </c>
      <c r="K16" s="3" t="s">
        <v>216</v>
      </c>
    </row>
    <row r="17" ht="15.6" spans="4:11">
      <c r="D17" s="3">
        <v>1015</v>
      </c>
      <c r="E17" s="3" t="s">
        <v>216</v>
      </c>
      <c r="J17" s="3" t="s">
        <v>259</v>
      </c>
      <c r="K17" s="3" t="s">
        <v>216</v>
      </c>
    </row>
    <row r="18" ht="15.6" spans="4:11">
      <c r="D18" s="3">
        <v>1016</v>
      </c>
      <c r="E18" s="3" t="s">
        <v>216</v>
      </c>
      <c r="J18" s="3" t="s">
        <v>260</v>
      </c>
      <c r="K18" s="3" t="s">
        <v>216</v>
      </c>
    </row>
    <row r="19" ht="15.6" spans="4:11">
      <c r="D19" s="3">
        <v>1017</v>
      </c>
      <c r="E19" s="3" t="s">
        <v>216</v>
      </c>
      <c r="J19" s="3" t="s">
        <v>261</v>
      </c>
      <c r="K19" s="3" t="s">
        <v>216</v>
      </c>
    </row>
    <row r="20" ht="15.6" spans="4:11">
      <c r="D20" s="3">
        <v>1018</v>
      </c>
      <c r="E20" s="3" t="s">
        <v>216</v>
      </c>
      <c r="J20" s="3" t="s">
        <v>262</v>
      </c>
      <c r="K20" s="3" t="s">
        <v>216</v>
      </c>
    </row>
    <row r="21" ht="15.6" spans="4:11">
      <c r="D21" s="3">
        <v>1019</v>
      </c>
      <c r="E21" s="3" t="s">
        <v>216</v>
      </c>
      <c r="J21" s="3" t="s">
        <v>263</v>
      </c>
      <c r="K21" s="3" t="s">
        <v>216</v>
      </c>
    </row>
    <row r="22" ht="15.6" spans="4:11">
      <c r="D22" s="3">
        <v>1020</v>
      </c>
      <c r="E22" s="3" t="s">
        <v>216</v>
      </c>
      <c r="J22" s="3" t="s">
        <v>264</v>
      </c>
      <c r="K22" s="3" t="s">
        <v>216</v>
      </c>
    </row>
    <row r="23" ht="15.6" spans="4:11">
      <c r="D23" s="3">
        <v>1021</v>
      </c>
      <c r="E23" s="3" t="s">
        <v>216</v>
      </c>
      <c r="J23" s="3" t="s">
        <v>265</v>
      </c>
      <c r="K23" s="3" t="s">
        <v>216</v>
      </c>
    </row>
    <row r="24" ht="15.6" spans="4:11">
      <c r="D24" s="3">
        <v>1022</v>
      </c>
      <c r="E24" s="3" t="s">
        <v>216</v>
      </c>
      <c r="J24" s="3" t="s">
        <v>266</v>
      </c>
      <c r="K24" s="3" t="s">
        <v>216</v>
      </c>
    </row>
    <row r="25" ht="15.6" spans="4:11">
      <c r="D25" s="3">
        <v>1023</v>
      </c>
      <c r="E25" s="3" t="s">
        <v>216</v>
      </c>
      <c r="J25" s="3" t="s">
        <v>267</v>
      </c>
      <c r="K25" s="3" t="s">
        <v>216</v>
      </c>
    </row>
    <row r="26" ht="15.6" spans="4:11">
      <c r="D26" s="3">
        <v>1024</v>
      </c>
      <c r="E26" s="3" t="s">
        <v>216</v>
      </c>
      <c r="J26" s="3" t="s">
        <v>268</v>
      </c>
      <c r="K26" s="3" t="s">
        <v>216</v>
      </c>
    </row>
    <row r="27" ht="15.6" spans="4:11">
      <c r="D27" s="3">
        <v>1025</v>
      </c>
      <c r="E27" s="3" t="s">
        <v>216</v>
      </c>
      <c r="J27" s="3" t="s">
        <v>269</v>
      </c>
      <c r="K27" s="3" t="s">
        <v>216</v>
      </c>
    </row>
    <row r="28" ht="15.6" spans="4:11">
      <c r="D28" s="3">
        <v>1026</v>
      </c>
      <c r="E28" s="3" t="s">
        <v>216</v>
      </c>
      <c r="J28" s="3" t="s">
        <v>270</v>
      </c>
      <c r="K28" s="3" t="s">
        <v>216</v>
      </c>
    </row>
    <row r="29" ht="15.6" spans="4:11">
      <c r="D29" s="3">
        <v>1027</v>
      </c>
      <c r="E29" s="3" t="s">
        <v>216</v>
      </c>
      <c r="J29" s="3" t="s">
        <v>271</v>
      </c>
      <c r="K29" s="3" t="s">
        <v>216</v>
      </c>
    </row>
    <row r="30" ht="15.6" spans="4:11">
      <c r="D30" s="3">
        <v>1028</v>
      </c>
      <c r="E30" s="3" t="s">
        <v>216</v>
      </c>
      <c r="J30" s="3" t="s">
        <v>272</v>
      </c>
      <c r="K30" s="3" t="s">
        <v>216</v>
      </c>
    </row>
    <row r="31" ht="15.6" spans="4:11">
      <c r="D31" s="3">
        <v>1029</v>
      </c>
      <c r="E31" s="3" t="s">
        <v>216</v>
      </c>
      <c r="J31" s="3" t="s">
        <v>273</v>
      </c>
      <c r="K31" s="3" t="s">
        <v>216</v>
      </c>
    </row>
    <row r="32" ht="15.6" spans="4:11">
      <c r="D32" s="3">
        <v>1030</v>
      </c>
      <c r="E32" s="3" t="s">
        <v>216</v>
      </c>
      <c r="J32" s="3" t="s">
        <v>274</v>
      </c>
      <c r="K32" s="3" t="s">
        <v>216</v>
      </c>
    </row>
    <row r="33" ht="15.6" spans="4:11">
      <c r="D33" s="3">
        <v>1031</v>
      </c>
      <c r="E33" s="3" t="s">
        <v>216</v>
      </c>
      <c r="J33" s="3" t="s">
        <v>275</v>
      </c>
      <c r="K33" s="3" t="s">
        <v>216</v>
      </c>
    </row>
    <row r="34" ht="15.6" spans="4:11">
      <c r="D34" s="3">
        <v>1032</v>
      </c>
      <c r="E34" s="3" t="s">
        <v>216</v>
      </c>
      <c r="J34" s="3" t="s">
        <v>276</v>
      </c>
      <c r="K34" s="3" t="s">
        <v>216</v>
      </c>
    </row>
    <row r="35" ht="15.6" spans="4:11">
      <c r="D35" s="3">
        <v>1033</v>
      </c>
      <c r="E35" s="3" t="s">
        <v>216</v>
      </c>
      <c r="J35" s="3" t="s">
        <v>277</v>
      </c>
      <c r="K35" s="3" t="s">
        <v>216</v>
      </c>
    </row>
    <row r="36" ht="15.6" spans="4:11">
      <c r="D36" s="3">
        <v>1034</v>
      </c>
      <c r="E36" s="3" t="s">
        <v>216</v>
      </c>
      <c r="J36" s="3" t="s">
        <v>278</v>
      </c>
      <c r="K36" s="3" t="s">
        <v>216</v>
      </c>
    </row>
    <row r="37" ht="15.6" spans="4:11">
      <c r="D37" s="3">
        <v>1035</v>
      </c>
      <c r="E37" s="3" t="s">
        <v>216</v>
      </c>
      <c r="J37" s="3" t="s">
        <v>279</v>
      </c>
      <c r="K37" s="3" t="s">
        <v>216</v>
      </c>
    </row>
    <row r="38" ht="15.6" spans="4:11">
      <c r="D38" s="3">
        <v>1036</v>
      </c>
      <c r="E38" s="3" t="s">
        <v>216</v>
      </c>
      <c r="J38" s="3" t="s">
        <v>280</v>
      </c>
      <c r="K38" s="3" t="s">
        <v>216</v>
      </c>
    </row>
    <row r="39" ht="15.6" spans="4:11">
      <c r="D39" s="3">
        <v>1037</v>
      </c>
      <c r="E39" s="3" t="s">
        <v>216</v>
      </c>
      <c r="J39" s="3" t="s">
        <v>281</v>
      </c>
      <c r="K39" s="3" t="s">
        <v>216</v>
      </c>
    </row>
    <row r="40" ht="15.6" spans="4:11">
      <c r="D40" s="3">
        <v>1038</v>
      </c>
      <c r="E40" s="3" t="s">
        <v>216</v>
      </c>
      <c r="J40" s="3" t="s">
        <v>282</v>
      </c>
      <c r="K40" s="3" t="s">
        <v>216</v>
      </c>
    </row>
    <row r="41" ht="15.6" spans="4:11">
      <c r="D41" s="3">
        <v>1039</v>
      </c>
      <c r="E41" s="3" t="s">
        <v>216</v>
      </c>
      <c r="J41" s="3" t="s">
        <v>283</v>
      </c>
      <c r="K41" s="3" t="s">
        <v>216</v>
      </c>
    </row>
    <row r="42" ht="15.6" spans="4:11">
      <c r="D42" s="3">
        <v>1040</v>
      </c>
      <c r="E42" s="3" t="s">
        <v>216</v>
      </c>
      <c r="J42" s="3" t="s">
        <v>284</v>
      </c>
      <c r="K42" s="3" t="s">
        <v>216</v>
      </c>
    </row>
    <row r="43" ht="15.6" spans="4:11">
      <c r="D43" s="3">
        <v>1041</v>
      </c>
      <c r="E43" s="3" t="s">
        <v>216</v>
      </c>
      <c r="J43" s="3" t="s">
        <v>285</v>
      </c>
      <c r="K43" s="3" t="s">
        <v>216</v>
      </c>
    </row>
    <row r="44" ht="15.6" spans="4:11">
      <c r="D44" s="3">
        <v>1042</v>
      </c>
      <c r="E44" s="3" t="s">
        <v>216</v>
      </c>
      <c r="J44" s="3" t="s">
        <v>286</v>
      </c>
      <c r="K44" s="3" t="s">
        <v>216</v>
      </c>
    </row>
    <row r="45" ht="15.6" spans="4:11">
      <c r="D45" s="3">
        <v>1043</v>
      </c>
      <c r="E45" s="3" t="s">
        <v>216</v>
      </c>
      <c r="J45" s="3" t="s">
        <v>287</v>
      </c>
      <c r="K45" s="3" t="s">
        <v>216</v>
      </c>
    </row>
    <row r="46" ht="15.6" spans="4:11">
      <c r="D46" s="3">
        <v>1044</v>
      </c>
      <c r="E46" s="3" t="s">
        <v>216</v>
      </c>
      <c r="J46" s="3" t="s">
        <v>288</v>
      </c>
      <c r="K46" s="3" t="s">
        <v>216</v>
      </c>
    </row>
    <row r="47" ht="15.6" spans="4:11">
      <c r="D47" s="3">
        <v>1045</v>
      </c>
      <c r="E47" s="3" t="s">
        <v>216</v>
      </c>
      <c r="J47" s="3" t="s">
        <v>289</v>
      </c>
      <c r="K47" s="3" t="s">
        <v>216</v>
      </c>
    </row>
    <row r="48" ht="15.6" spans="4:11">
      <c r="D48" s="3">
        <v>1046</v>
      </c>
      <c r="E48" s="3" t="s">
        <v>216</v>
      </c>
      <c r="J48" s="3" t="s">
        <v>290</v>
      </c>
      <c r="K48" s="3" t="s">
        <v>216</v>
      </c>
    </row>
    <row r="49" ht="15.6" spans="4:11">
      <c r="D49" s="3">
        <v>1047</v>
      </c>
      <c r="E49" s="3" t="s">
        <v>216</v>
      </c>
      <c r="J49" s="3" t="s">
        <v>291</v>
      </c>
      <c r="K49" s="3" t="s">
        <v>216</v>
      </c>
    </row>
    <row r="50" ht="15.6" spans="4:11">
      <c r="D50" s="3">
        <v>1048</v>
      </c>
      <c r="E50" s="3" t="s">
        <v>216</v>
      </c>
      <c r="J50" s="3" t="s">
        <v>292</v>
      </c>
      <c r="K50" s="3" t="s">
        <v>216</v>
      </c>
    </row>
    <row r="51" ht="15.6" spans="4:11">
      <c r="D51" s="3">
        <v>1049</v>
      </c>
      <c r="E51" s="3" t="s">
        <v>216</v>
      </c>
      <c r="J51" s="3" t="s">
        <v>293</v>
      </c>
      <c r="K51" s="3" t="s">
        <v>216</v>
      </c>
    </row>
    <row r="52" ht="15.6" spans="4:11">
      <c r="D52" s="3">
        <v>1050</v>
      </c>
      <c r="E52" s="3" t="s">
        <v>216</v>
      </c>
      <c r="J52" s="3" t="s">
        <v>294</v>
      </c>
      <c r="K52" s="3" t="s">
        <v>216</v>
      </c>
    </row>
    <row r="53" ht="15.6" spans="4:11">
      <c r="D53" s="3">
        <v>1051</v>
      </c>
      <c r="E53" s="3" t="s">
        <v>216</v>
      </c>
      <c r="J53" s="3" t="s">
        <v>295</v>
      </c>
      <c r="K53" s="3" t="s">
        <v>216</v>
      </c>
    </row>
    <row r="54" ht="15.6" spans="4:11">
      <c r="D54" s="3">
        <v>1052</v>
      </c>
      <c r="E54" s="3" t="s">
        <v>216</v>
      </c>
      <c r="J54" s="3" t="s">
        <v>296</v>
      </c>
      <c r="K54" s="3" t="s">
        <v>216</v>
      </c>
    </row>
    <row r="55" ht="15.6" spans="4:11">
      <c r="D55" s="3">
        <v>1053</v>
      </c>
      <c r="E55" s="3" t="s">
        <v>216</v>
      </c>
      <c r="J55" s="3" t="s">
        <v>297</v>
      </c>
      <c r="K55" s="3" t="s">
        <v>216</v>
      </c>
    </row>
    <row r="56" ht="15.6" spans="4:11">
      <c r="D56" s="3">
        <v>1054</v>
      </c>
      <c r="E56" s="3" t="s">
        <v>216</v>
      </c>
      <c r="J56" s="3" t="s">
        <v>298</v>
      </c>
      <c r="K56" s="3" t="s">
        <v>216</v>
      </c>
    </row>
    <row r="57" ht="15.6" spans="4:11">
      <c r="D57" s="3">
        <v>1055</v>
      </c>
      <c r="E57" s="3" t="s">
        <v>216</v>
      </c>
      <c r="J57" s="3" t="s">
        <v>299</v>
      </c>
      <c r="K57" s="3" t="s">
        <v>216</v>
      </c>
    </row>
    <row r="58" ht="15.6" spans="4:11">
      <c r="D58" s="3">
        <v>1056</v>
      </c>
      <c r="E58" s="3" t="s">
        <v>216</v>
      </c>
      <c r="J58" s="3" t="s">
        <v>300</v>
      </c>
      <c r="K58" s="3" t="s">
        <v>216</v>
      </c>
    </row>
    <row r="59" ht="15.6" spans="4:11">
      <c r="D59" s="3">
        <v>1057</v>
      </c>
      <c r="E59" s="3" t="s">
        <v>216</v>
      </c>
      <c r="J59" s="3" t="s">
        <v>301</v>
      </c>
      <c r="K59" s="3" t="s">
        <v>216</v>
      </c>
    </row>
    <row r="60" ht="15.6" spans="4:11">
      <c r="D60" s="3">
        <v>1058</v>
      </c>
      <c r="E60" s="3" t="s">
        <v>216</v>
      </c>
      <c r="J60" s="3" t="s">
        <v>302</v>
      </c>
      <c r="K60" s="3" t="s">
        <v>216</v>
      </c>
    </row>
    <row r="61" ht="15.6" spans="4:11">
      <c r="D61" s="3">
        <v>1059</v>
      </c>
      <c r="E61" s="3" t="s">
        <v>216</v>
      </c>
      <c r="J61" s="3" t="s">
        <v>303</v>
      </c>
      <c r="K61" s="3" t="s">
        <v>216</v>
      </c>
    </row>
    <row r="62" ht="15.6" spans="4:11">
      <c r="D62" s="3">
        <v>1060</v>
      </c>
      <c r="E62" s="3" t="s">
        <v>216</v>
      </c>
      <c r="J62" s="3" t="s">
        <v>304</v>
      </c>
      <c r="K62" s="3" t="s">
        <v>216</v>
      </c>
    </row>
    <row r="63" ht="15.6" spans="4:11">
      <c r="D63" s="3">
        <v>1061</v>
      </c>
      <c r="E63" s="3" t="s">
        <v>216</v>
      </c>
      <c r="J63" s="3" t="s">
        <v>305</v>
      </c>
      <c r="K63" s="3" t="s">
        <v>216</v>
      </c>
    </row>
    <row r="64" ht="15.6" spans="4:11">
      <c r="D64" s="3">
        <v>1062</v>
      </c>
      <c r="E64" s="3" t="s">
        <v>216</v>
      </c>
      <c r="J64" s="3" t="s">
        <v>306</v>
      </c>
      <c r="K64" s="3" t="s">
        <v>216</v>
      </c>
    </row>
    <row r="65" ht="15.6" spans="4:11">
      <c r="D65" s="3">
        <v>1063</v>
      </c>
      <c r="E65" s="3" t="s">
        <v>216</v>
      </c>
      <c r="J65" s="3" t="s">
        <v>307</v>
      </c>
      <c r="K65" s="3" t="s">
        <v>216</v>
      </c>
    </row>
    <row r="66" ht="15.6" spans="4:11">
      <c r="D66" s="3">
        <v>1064</v>
      </c>
      <c r="E66" s="3" t="s">
        <v>216</v>
      </c>
      <c r="J66" s="3" t="s">
        <v>308</v>
      </c>
      <c r="K66" s="3" t="s">
        <v>216</v>
      </c>
    </row>
    <row r="67" ht="15.6" spans="4:11">
      <c r="D67" s="3">
        <v>1065</v>
      </c>
      <c r="E67" s="3" t="s">
        <v>216</v>
      </c>
      <c r="J67" s="3" t="s">
        <v>309</v>
      </c>
      <c r="K67" s="3" t="s">
        <v>216</v>
      </c>
    </row>
    <row r="68" ht="15.6" spans="4:11">
      <c r="D68" s="3">
        <v>1066</v>
      </c>
      <c r="E68" s="3" t="s">
        <v>216</v>
      </c>
      <c r="J68" s="3" t="s">
        <v>310</v>
      </c>
      <c r="K68" s="3" t="s">
        <v>216</v>
      </c>
    </row>
    <row r="69" ht="15.6" spans="4:11">
      <c r="D69" s="3">
        <v>1067</v>
      </c>
      <c r="E69" s="3" t="s">
        <v>216</v>
      </c>
      <c r="J69" s="3" t="s">
        <v>311</v>
      </c>
      <c r="K69" s="3" t="s">
        <v>216</v>
      </c>
    </row>
    <row r="70" ht="15.6" spans="4:11">
      <c r="D70" s="3">
        <v>1068</v>
      </c>
      <c r="E70" s="3" t="s">
        <v>216</v>
      </c>
      <c r="J70" s="3" t="s">
        <v>312</v>
      </c>
      <c r="K70" s="3" t="s">
        <v>216</v>
      </c>
    </row>
    <row r="71" ht="15.6" spans="4:11">
      <c r="D71" s="3">
        <v>1069</v>
      </c>
      <c r="E71" s="3" t="s">
        <v>216</v>
      </c>
      <c r="J71" s="3" t="s">
        <v>313</v>
      </c>
      <c r="K71" s="3" t="s">
        <v>216</v>
      </c>
    </row>
    <row r="72" ht="15.6" spans="4:11">
      <c r="D72" s="3">
        <v>1070</v>
      </c>
      <c r="E72" s="3" t="s">
        <v>216</v>
      </c>
      <c r="J72" s="3" t="s">
        <v>314</v>
      </c>
      <c r="K72" s="3" t="s">
        <v>216</v>
      </c>
    </row>
    <row r="73" ht="15.6" spans="4:11">
      <c r="D73" s="3">
        <v>1071</v>
      </c>
      <c r="E73" s="3" t="s">
        <v>216</v>
      </c>
      <c r="J73" s="3" t="s">
        <v>315</v>
      </c>
      <c r="K73" s="3" t="s">
        <v>216</v>
      </c>
    </row>
    <row r="74" ht="15.6" spans="4:11">
      <c r="D74" s="3">
        <v>1072</v>
      </c>
      <c r="E74" s="3" t="s">
        <v>216</v>
      </c>
      <c r="J74" s="3" t="s">
        <v>316</v>
      </c>
      <c r="K74" s="3" t="s">
        <v>216</v>
      </c>
    </row>
    <row r="75" ht="15.6" spans="4:11">
      <c r="D75" s="3">
        <v>1073</v>
      </c>
      <c r="E75" s="3" t="s">
        <v>216</v>
      </c>
      <c r="J75" s="3" t="s">
        <v>317</v>
      </c>
      <c r="K75" s="3" t="s">
        <v>216</v>
      </c>
    </row>
    <row r="76" ht="15.6" spans="4:11">
      <c r="D76" s="3">
        <v>1074</v>
      </c>
      <c r="E76" s="3" t="s">
        <v>216</v>
      </c>
      <c r="J76" s="3" t="s">
        <v>318</v>
      </c>
      <c r="K76" s="3" t="s">
        <v>216</v>
      </c>
    </row>
    <row r="77" ht="15.6" spans="4:11">
      <c r="D77" s="3">
        <v>1075</v>
      </c>
      <c r="E77" s="3" t="s">
        <v>216</v>
      </c>
      <c r="J77" s="3" t="s">
        <v>319</v>
      </c>
      <c r="K77" s="3" t="s">
        <v>216</v>
      </c>
    </row>
    <row r="78" ht="15.6" spans="4:11">
      <c r="D78" s="3">
        <v>1076</v>
      </c>
      <c r="E78" s="3" t="s">
        <v>216</v>
      </c>
      <c r="J78" s="3" t="s">
        <v>320</v>
      </c>
      <c r="K78" s="3" t="s">
        <v>216</v>
      </c>
    </row>
    <row r="79" ht="15.6" spans="4:11">
      <c r="D79" s="3">
        <v>1077</v>
      </c>
      <c r="E79" s="3" t="s">
        <v>216</v>
      </c>
      <c r="J79" s="3" t="s">
        <v>321</v>
      </c>
      <c r="K79" s="3" t="s">
        <v>216</v>
      </c>
    </row>
    <row r="80" ht="15.6" spans="4:11">
      <c r="D80" s="3">
        <v>1078</v>
      </c>
      <c r="E80" s="3" t="s">
        <v>216</v>
      </c>
      <c r="J80" s="3" t="s">
        <v>322</v>
      </c>
      <c r="K80" s="3" t="s">
        <v>216</v>
      </c>
    </row>
    <row r="81" ht="15.6" spans="4:11">
      <c r="D81" s="3">
        <v>1079</v>
      </c>
      <c r="E81" s="3" t="s">
        <v>216</v>
      </c>
      <c r="J81" s="3" t="s">
        <v>323</v>
      </c>
      <c r="K81" s="3" t="s">
        <v>216</v>
      </c>
    </row>
    <row r="82" ht="15.6" spans="4:11">
      <c r="D82" s="3">
        <v>1080</v>
      </c>
      <c r="E82" s="3" t="s">
        <v>216</v>
      </c>
      <c r="J82" s="3" t="s">
        <v>324</v>
      </c>
      <c r="K82" s="3" t="s">
        <v>216</v>
      </c>
    </row>
    <row r="83" ht="15.6" spans="4:11">
      <c r="D83" s="3">
        <v>1081</v>
      </c>
      <c r="E83" s="3" t="s">
        <v>216</v>
      </c>
      <c r="J83" s="3" t="s">
        <v>325</v>
      </c>
      <c r="K83" s="3" t="s">
        <v>216</v>
      </c>
    </row>
    <row r="84" ht="15.6" spans="4:11">
      <c r="D84" s="3">
        <v>1082</v>
      </c>
      <c r="E84" s="3" t="s">
        <v>216</v>
      </c>
      <c r="J84" s="3" t="s">
        <v>326</v>
      </c>
      <c r="K84" s="3" t="s">
        <v>216</v>
      </c>
    </row>
    <row r="85" ht="15.6" spans="4:11">
      <c r="D85" s="3">
        <v>1083</v>
      </c>
      <c r="E85" s="3" t="s">
        <v>216</v>
      </c>
      <c r="J85" s="3" t="s">
        <v>327</v>
      </c>
      <c r="K85" s="3" t="s">
        <v>216</v>
      </c>
    </row>
    <row r="86" ht="15.6" spans="4:11">
      <c r="D86" s="3">
        <v>1084</v>
      </c>
      <c r="E86" s="3" t="s">
        <v>216</v>
      </c>
      <c r="J86" s="3" t="s">
        <v>328</v>
      </c>
      <c r="K86" s="3" t="s">
        <v>216</v>
      </c>
    </row>
    <row r="87" ht="15.6" spans="4:11">
      <c r="D87" s="3">
        <v>1085</v>
      </c>
      <c r="E87" s="3" t="s">
        <v>216</v>
      </c>
      <c r="J87" s="3" t="s">
        <v>329</v>
      </c>
      <c r="K87" s="3" t="s">
        <v>216</v>
      </c>
    </row>
    <row r="88" ht="15.6" spans="4:11">
      <c r="D88" s="3">
        <v>1086</v>
      </c>
      <c r="E88" s="3" t="s">
        <v>216</v>
      </c>
      <c r="J88" s="3" t="s">
        <v>330</v>
      </c>
      <c r="K88" s="3" t="s">
        <v>216</v>
      </c>
    </row>
    <row r="89" ht="15.6" spans="4:11">
      <c r="D89" s="3">
        <v>1087</v>
      </c>
      <c r="E89" s="3" t="s">
        <v>216</v>
      </c>
      <c r="J89" s="3" t="s">
        <v>331</v>
      </c>
      <c r="K89" s="3" t="s">
        <v>216</v>
      </c>
    </row>
    <row r="90" ht="15.6" spans="4:11">
      <c r="D90" s="3">
        <v>1088</v>
      </c>
      <c r="E90" s="3" t="s">
        <v>216</v>
      </c>
      <c r="J90" s="3" t="s">
        <v>332</v>
      </c>
      <c r="K90" s="3" t="s">
        <v>216</v>
      </c>
    </row>
    <row r="91" ht="15.6" spans="4:11">
      <c r="D91" s="3">
        <v>1089</v>
      </c>
      <c r="E91" s="3" t="s">
        <v>216</v>
      </c>
      <c r="J91" s="3" t="s">
        <v>333</v>
      </c>
      <c r="K91" s="3" t="s">
        <v>216</v>
      </c>
    </row>
    <row r="92" ht="15.6" spans="4:11">
      <c r="D92" s="3">
        <v>1090</v>
      </c>
      <c r="E92" s="3" t="s">
        <v>216</v>
      </c>
      <c r="J92" s="3" t="s">
        <v>334</v>
      </c>
      <c r="K92" s="3" t="s">
        <v>216</v>
      </c>
    </row>
    <row r="93" ht="15.6" spans="4:11">
      <c r="D93" s="3">
        <v>1091</v>
      </c>
      <c r="E93" s="3" t="s">
        <v>216</v>
      </c>
      <c r="J93" s="3" t="s">
        <v>335</v>
      </c>
      <c r="K93" s="3" t="s">
        <v>216</v>
      </c>
    </row>
    <row r="94" ht="15.6" spans="4:11">
      <c r="D94" s="3">
        <v>1092</v>
      </c>
      <c r="E94" s="3" t="s">
        <v>216</v>
      </c>
      <c r="J94" s="3" t="s">
        <v>336</v>
      </c>
      <c r="K94" s="3" t="s">
        <v>216</v>
      </c>
    </row>
    <row r="95" ht="15.6" spans="4:11">
      <c r="D95" s="3">
        <v>1093</v>
      </c>
      <c r="E95" s="3" t="s">
        <v>216</v>
      </c>
      <c r="J95" s="3" t="s">
        <v>337</v>
      </c>
      <c r="K95" s="3" t="s">
        <v>216</v>
      </c>
    </row>
    <row r="96" ht="15.6" spans="4:11">
      <c r="D96" s="3">
        <v>1094</v>
      </c>
      <c r="E96" s="3" t="s">
        <v>216</v>
      </c>
      <c r="J96" s="3" t="s">
        <v>338</v>
      </c>
      <c r="K96" s="3" t="s">
        <v>216</v>
      </c>
    </row>
    <row r="97" ht="15.6" spans="4:11">
      <c r="D97" s="3">
        <v>1095</v>
      </c>
      <c r="E97" s="3" t="s">
        <v>216</v>
      </c>
      <c r="J97" s="3" t="s">
        <v>339</v>
      </c>
      <c r="K97" s="3" t="s">
        <v>216</v>
      </c>
    </row>
    <row r="98" ht="15.6" spans="4:11">
      <c r="D98" s="3">
        <v>1096</v>
      </c>
      <c r="E98" s="3" t="s">
        <v>216</v>
      </c>
      <c r="J98" s="3" t="s">
        <v>340</v>
      </c>
      <c r="K98" s="3" t="s">
        <v>216</v>
      </c>
    </row>
    <row r="99" ht="15.6" spans="4:11">
      <c r="D99" s="3">
        <v>1097</v>
      </c>
      <c r="E99" s="3" t="s">
        <v>216</v>
      </c>
      <c r="J99" s="3" t="s">
        <v>341</v>
      </c>
      <c r="K99" s="3" t="s">
        <v>216</v>
      </c>
    </row>
    <row r="100" ht="15.6" spans="4:11">
      <c r="D100" s="3">
        <v>1098</v>
      </c>
      <c r="E100" s="3" t="s">
        <v>216</v>
      </c>
      <c r="J100" s="3" t="s">
        <v>342</v>
      </c>
      <c r="K100" s="3" t="s">
        <v>216</v>
      </c>
    </row>
    <row r="101" ht="15.6" spans="4:11">
      <c r="D101" s="3">
        <v>1099</v>
      </c>
      <c r="E101" s="3" t="s">
        <v>216</v>
      </c>
      <c r="J101" s="3" t="s">
        <v>343</v>
      </c>
      <c r="K101" s="3" t="s">
        <v>216</v>
      </c>
    </row>
    <row r="102" ht="15.6" spans="4:11">
      <c r="D102" s="3">
        <v>1100</v>
      </c>
      <c r="E102" s="3" t="s">
        <v>216</v>
      </c>
      <c r="J102" s="3" t="s">
        <v>344</v>
      </c>
      <c r="K102" s="3" t="s">
        <v>216</v>
      </c>
    </row>
    <row r="103" ht="15.6" spans="4:11">
      <c r="D103" s="3">
        <v>1101</v>
      </c>
      <c r="E103" s="3" t="s">
        <v>216</v>
      </c>
      <c r="J103" s="3" t="s">
        <v>345</v>
      </c>
      <c r="K103" s="3" t="s">
        <v>216</v>
      </c>
    </row>
    <row r="104" ht="15.6" spans="4:11">
      <c r="D104" s="3">
        <v>1102</v>
      </c>
      <c r="E104" s="3" t="s">
        <v>216</v>
      </c>
      <c r="J104" s="3" t="s">
        <v>346</v>
      </c>
      <c r="K104" s="3" t="s">
        <v>216</v>
      </c>
    </row>
    <row r="105" ht="15.6" spans="4:11">
      <c r="D105" s="3">
        <v>1103</v>
      </c>
      <c r="E105" s="3" t="s">
        <v>216</v>
      </c>
      <c r="J105" s="3" t="s">
        <v>347</v>
      </c>
      <c r="K105" s="3" t="s">
        <v>216</v>
      </c>
    </row>
    <row r="106" ht="15.6" spans="4:11">
      <c r="D106" s="3">
        <v>1104</v>
      </c>
      <c r="E106" s="3" t="s">
        <v>216</v>
      </c>
      <c r="J106" s="3" t="s">
        <v>348</v>
      </c>
      <c r="K106" s="3" t="s">
        <v>216</v>
      </c>
    </row>
    <row r="107" ht="15.6" spans="4:11">
      <c r="D107" s="3">
        <v>1105</v>
      </c>
      <c r="E107" s="3" t="s">
        <v>216</v>
      </c>
      <c r="J107" s="3" t="s">
        <v>349</v>
      </c>
      <c r="K107" s="3" t="s">
        <v>216</v>
      </c>
    </row>
    <row r="108" ht="15.6" spans="4:11">
      <c r="D108" s="3">
        <v>1106</v>
      </c>
      <c r="E108" s="3" t="s">
        <v>216</v>
      </c>
      <c r="J108" s="3" t="s">
        <v>350</v>
      </c>
      <c r="K108" s="3" t="s">
        <v>216</v>
      </c>
    </row>
    <row r="109" ht="15.6" spans="4:11">
      <c r="D109" s="3">
        <v>1107</v>
      </c>
      <c r="E109" s="3" t="s">
        <v>216</v>
      </c>
      <c r="J109" s="3" t="s">
        <v>351</v>
      </c>
      <c r="K109" s="3" t="s">
        <v>216</v>
      </c>
    </row>
    <row r="110" ht="15.6" spans="4:11">
      <c r="D110" s="3">
        <v>1108</v>
      </c>
      <c r="E110" s="3" t="s">
        <v>216</v>
      </c>
      <c r="J110" s="3" t="s">
        <v>352</v>
      </c>
      <c r="K110" s="3" t="s">
        <v>216</v>
      </c>
    </row>
    <row r="111" ht="15.6" spans="4:11">
      <c r="D111" s="3">
        <v>1109</v>
      </c>
      <c r="E111" s="3" t="s">
        <v>216</v>
      </c>
      <c r="J111" s="3" t="s">
        <v>353</v>
      </c>
      <c r="K111" s="3" t="s">
        <v>216</v>
      </c>
    </row>
    <row r="112" ht="15.6" spans="4:11">
      <c r="D112" s="3">
        <v>1110</v>
      </c>
      <c r="E112" s="3" t="s">
        <v>216</v>
      </c>
      <c r="J112" s="3" t="s">
        <v>354</v>
      </c>
      <c r="K112" s="3" t="s">
        <v>216</v>
      </c>
    </row>
    <row r="113" ht="15.6" spans="4:11">
      <c r="D113" s="3">
        <v>1111</v>
      </c>
      <c r="E113" s="3" t="s">
        <v>216</v>
      </c>
      <c r="J113" s="3" t="s">
        <v>355</v>
      </c>
      <c r="K113" s="3" t="s">
        <v>216</v>
      </c>
    </row>
    <row r="114" ht="15.6" spans="4:11">
      <c r="D114" s="3">
        <v>1112</v>
      </c>
      <c r="E114" s="3" t="s">
        <v>216</v>
      </c>
      <c r="J114" s="3" t="s">
        <v>356</v>
      </c>
      <c r="K114" s="3" t="s">
        <v>216</v>
      </c>
    </row>
    <row r="115" ht="15.6" spans="4:11">
      <c r="D115" s="3">
        <v>1113</v>
      </c>
      <c r="E115" s="3" t="s">
        <v>216</v>
      </c>
      <c r="J115" s="3" t="s">
        <v>357</v>
      </c>
      <c r="K115" s="3" t="s">
        <v>216</v>
      </c>
    </row>
    <row r="116" ht="15.6" spans="4:11">
      <c r="D116" s="3">
        <v>1114</v>
      </c>
      <c r="E116" s="3" t="s">
        <v>216</v>
      </c>
      <c r="J116" s="3" t="s">
        <v>358</v>
      </c>
      <c r="K116" s="3" t="s">
        <v>216</v>
      </c>
    </row>
    <row r="117" ht="15.6" spans="4:11">
      <c r="D117" s="3">
        <v>1115</v>
      </c>
      <c r="E117" s="3" t="s">
        <v>216</v>
      </c>
      <c r="J117" s="3" t="s">
        <v>359</v>
      </c>
      <c r="K117" s="3" t="s">
        <v>216</v>
      </c>
    </row>
    <row r="118" ht="15.6" spans="4:11">
      <c r="D118" s="3">
        <v>1116</v>
      </c>
      <c r="E118" s="3" t="s">
        <v>216</v>
      </c>
      <c r="J118" s="3" t="s">
        <v>360</v>
      </c>
      <c r="K118" s="3" t="s">
        <v>216</v>
      </c>
    </row>
    <row r="119" ht="15.6" spans="4:11">
      <c r="D119" s="3">
        <v>1117</v>
      </c>
      <c r="E119" s="3" t="s">
        <v>216</v>
      </c>
      <c r="J119" s="3" t="s">
        <v>361</v>
      </c>
      <c r="K119" s="3" t="s">
        <v>216</v>
      </c>
    </row>
    <row r="120" ht="15.6" spans="4:11">
      <c r="D120" s="3">
        <v>1118</v>
      </c>
      <c r="E120" s="3" t="s">
        <v>216</v>
      </c>
      <c r="J120" s="3" t="s">
        <v>362</v>
      </c>
      <c r="K120" s="3" t="s">
        <v>216</v>
      </c>
    </row>
    <row r="121" ht="15.6" spans="4:11">
      <c r="D121" s="3">
        <v>1119</v>
      </c>
      <c r="E121" s="3" t="s">
        <v>216</v>
      </c>
      <c r="J121" s="3" t="s">
        <v>363</v>
      </c>
      <c r="K121" s="3" t="s">
        <v>216</v>
      </c>
    </row>
    <row r="122" ht="15.6" spans="4:11">
      <c r="D122" s="3">
        <v>1120</v>
      </c>
      <c r="E122" s="3" t="s">
        <v>216</v>
      </c>
      <c r="J122" s="3" t="s">
        <v>364</v>
      </c>
      <c r="K122" s="3" t="s">
        <v>216</v>
      </c>
    </row>
    <row r="123" ht="15.6" spans="4:11">
      <c r="D123" s="3">
        <v>1121</v>
      </c>
      <c r="E123" s="3" t="s">
        <v>216</v>
      </c>
      <c r="J123" s="3" t="s">
        <v>365</v>
      </c>
      <c r="K123" s="3" t="s">
        <v>216</v>
      </c>
    </row>
    <row r="124" ht="15.6" spans="4:11">
      <c r="D124" s="3">
        <v>1122</v>
      </c>
      <c r="E124" s="3" t="s">
        <v>216</v>
      </c>
      <c r="J124" s="3" t="s">
        <v>366</v>
      </c>
      <c r="K124" s="3" t="s">
        <v>216</v>
      </c>
    </row>
    <row r="125" ht="15.6" spans="4:11">
      <c r="D125" s="3">
        <v>1123</v>
      </c>
      <c r="E125" s="3" t="s">
        <v>216</v>
      </c>
      <c r="J125" s="3" t="s">
        <v>367</v>
      </c>
      <c r="K125" s="3" t="s">
        <v>216</v>
      </c>
    </row>
    <row r="126" ht="15.6" spans="4:11">
      <c r="D126" s="3">
        <v>1124</v>
      </c>
      <c r="E126" s="3" t="s">
        <v>216</v>
      </c>
      <c r="J126" s="3" t="s">
        <v>368</v>
      </c>
      <c r="K126" s="3" t="s">
        <v>216</v>
      </c>
    </row>
    <row r="127" ht="15.6" spans="4:11">
      <c r="D127" s="3">
        <v>1125</v>
      </c>
      <c r="E127" s="3" t="s">
        <v>216</v>
      </c>
      <c r="J127" s="3" t="s">
        <v>369</v>
      </c>
      <c r="K127" s="3" t="s">
        <v>216</v>
      </c>
    </row>
    <row r="128" ht="15.6" spans="4:11">
      <c r="D128" s="3">
        <v>1126</v>
      </c>
      <c r="E128" s="3" t="s">
        <v>216</v>
      </c>
      <c r="J128" s="3" t="s">
        <v>370</v>
      </c>
      <c r="K128" s="3" t="s">
        <v>216</v>
      </c>
    </row>
    <row r="129" ht="15.6" spans="4:11">
      <c r="D129" s="3">
        <v>1127</v>
      </c>
      <c r="E129" s="3" t="s">
        <v>216</v>
      </c>
      <c r="J129" s="3" t="s">
        <v>371</v>
      </c>
      <c r="K129" s="3" t="s">
        <v>216</v>
      </c>
    </row>
    <row r="130" ht="15.6" spans="4:11">
      <c r="D130" s="3">
        <v>1128</v>
      </c>
      <c r="E130" s="3" t="s">
        <v>216</v>
      </c>
      <c r="J130" s="3" t="s">
        <v>372</v>
      </c>
      <c r="K130" s="3" t="s">
        <v>216</v>
      </c>
    </row>
    <row r="131" ht="15.6" spans="4:11">
      <c r="D131" s="3">
        <v>1129</v>
      </c>
      <c r="E131" s="3" t="s">
        <v>216</v>
      </c>
      <c r="J131" s="3" t="s">
        <v>373</v>
      </c>
      <c r="K131" s="3" t="s">
        <v>216</v>
      </c>
    </row>
    <row r="132" ht="15.6" spans="4:11">
      <c r="D132" s="3">
        <v>1130</v>
      </c>
      <c r="E132" s="3" t="s">
        <v>216</v>
      </c>
      <c r="J132" s="3" t="s">
        <v>374</v>
      </c>
      <c r="K132" s="3" t="s">
        <v>216</v>
      </c>
    </row>
    <row r="133" ht="15.6" spans="4:11">
      <c r="D133" s="3">
        <v>1131</v>
      </c>
      <c r="E133" s="3" t="s">
        <v>216</v>
      </c>
      <c r="J133" s="3" t="s">
        <v>375</v>
      </c>
      <c r="K133" s="3" t="s">
        <v>216</v>
      </c>
    </row>
    <row r="134" ht="15.6" spans="4:11">
      <c r="D134" s="3">
        <v>1132</v>
      </c>
      <c r="E134" s="3" t="s">
        <v>216</v>
      </c>
      <c r="J134" s="3" t="s">
        <v>376</v>
      </c>
      <c r="K134" s="3" t="s">
        <v>216</v>
      </c>
    </row>
    <row r="135" ht="15.6" spans="4:11">
      <c r="D135" s="3">
        <v>1133</v>
      </c>
      <c r="E135" s="3" t="s">
        <v>216</v>
      </c>
      <c r="J135" s="3" t="s">
        <v>377</v>
      </c>
      <c r="K135" s="3" t="s">
        <v>216</v>
      </c>
    </row>
    <row r="136" ht="15.6" spans="4:11">
      <c r="D136" s="3">
        <v>1134</v>
      </c>
      <c r="E136" s="3" t="s">
        <v>216</v>
      </c>
      <c r="J136" s="3" t="s">
        <v>378</v>
      </c>
      <c r="K136" s="3" t="s">
        <v>216</v>
      </c>
    </row>
    <row r="137" ht="15.6" spans="4:11">
      <c r="D137" s="3">
        <v>1135</v>
      </c>
      <c r="E137" s="3" t="s">
        <v>216</v>
      </c>
      <c r="J137" s="3" t="s">
        <v>379</v>
      </c>
      <c r="K137" s="3" t="s">
        <v>216</v>
      </c>
    </row>
    <row r="138" ht="15.6" spans="4:11">
      <c r="D138" s="3">
        <v>1136</v>
      </c>
      <c r="E138" s="3" t="s">
        <v>216</v>
      </c>
      <c r="J138" s="3" t="s">
        <v>380</v>
      </c>
      <c r="K138" s="3" t="s">
        <v>216</v>
      </c>
    </row>
    <row r="139" ht="15.6" spans="4:11">
      <c r="D139" s="3">
        <v>1137</v>
      </c>
      <c r="E139" s="3" t="s">
        <v>216</v>
      </c>
      <c r="J139" s="3" t="s">
        <v>381</v>
      </c>
      <c r="K139" s="3" t="s">
        <v>216</v>
      </c>
    </row>
    <row r="140" ht="15.6" spans="4:11">
      <c r="D140" s="3">
        <v>1138</v>
      </c>
      <c r="E140" s="3" t="s">
        <v>216</v>
      </c>
      <c r="J140" s="3" t="s">
        <v>382</v>
      </c>
      <c r="K140" s="3" t="s">
        <v>216</v>
      </c>
    </row>
    <row r="141" ht="15.6" spans="4:11">
      <c r="D141" s="3">
        <v>1139</v>
      </c>
      <c r="E141" s="3" t="s">
        <v>216</v>
      </c>
      <c r="J141" s="3" t="s">
        <v>383</v>
      </c>
      <c r="K141" s="3" t="s">
        <v>216</v>
      </c>
    </row>
    <row r="142" ht="15.6" spans="4:11">
      <c r="D142" s="3">
        <v>1140</v>
      </c>
      <c r="E142" s="3" t="s">
        <v>216</v>
      </c>
      <c r="J142" s="3" t="s">
        <v>384</v>
      </c>
      <c r="K142" s="3" t="s">
        <v>216</v>
      </c>
    </row>
    <row r="143" ht="15.6" spans="4:11">
      <c r="D143" s="3">
        <v>1141</v>
      </c>
      <c r="E143" s="3" t="s">
        <v>216</v>
      </c>
      <c r="J143" s="3" t="s">
        <v>385</v>
      </c>
      <c r="K143" s="3" t="s">
        <v>216</v>
      </c>
    </row>
    <row r="144" ht="15.6" spans="4:11">
      <c r="D144" s="3">
        <v>1142</v>
      </c>
      <c r="E144" s="3" t="s">
        <v>216</v>
      </c>
      <c r="J144" s="3" t="s">
        <v>386</v>
      </c>
      <c r="K144" s="3" t="s">
        <v>216</v>
      </c>
    </row>
    <row r="145" ht="15.6" spans="4:11">
      <c r="D145" s="3">
        <v>1143</v>
      </c>
      <c r="E145" s="3" t="s">
        <v>216</v>
      </c>
      <c r="J145" s="3" t="s">
        <v>387</v>
      </c>
      <c r="K145" s="3" t="s">
        <v>216</v>
      </c>
    </row>
    <row r="146" ht="15.6" spans="4:11">
      <c r="D146" s="3">
        <v>1144</v>
      </c>
      <c r="E146" s="3" t="s">
        <v>216</v>
      </c>
      <c r="J146" s="3" t="s">
        <v>388</v>
      </c>
      <c r="K146" s="3" t="s">
        <v>216</v>
      </c>
    </row>
    <row r="147" ht="15.6" spans="4:11">
      <c r="D147" s="3">
        <v>1145</v>
      </c>
      <c r="E147" s="3" t="s">
        <v>216</v>
      </c>
      <c r="J147" s="3" t="s">
        <v>389</v>
      </c>
      <c r="K147" s="3" t="s">
        <v>216</v>
      </c>
    </row>
    <row r="148" ht="15.6" spans="4:11">
      <c r="D148" s="3">
        <v>1146</v>
      </c>
      <c r="E148" s="3" t="s">
        <v>216</v>
      </c>
      <c r="J148" s="3" t="s">
        <v>390</v>
      </c>
      <c r="K148" s="3" t="s">
        <v>216</v>
      </c>
    </row>
    <row r="149" ht="15.6" spans="4:11">
      <c r="D149" s="3">
        <v>1147</v>
      </c>
      <c r="E149" s="3" t="s">
        <v>216</v>
      </c>
      <c r="J149" s="3" t="s">
        <v>391</v>
      </c>
      <c r="K149" s="3" t="s">
        <v>216</v>
      </c>
    </row>
    <row r="150" ht="15.6" spans="4:11">
      <c r="D150" s="3">
        <v>1148</v>
      </c>
      <c r="E150" s="3" t="s">
        <v>216</v>
      </c>
      <c r="J150" s="3" t="s">
        <v>392</v>
      </c>
      <c r="K150" s="3" t="s">
        <v>216</v>
      </c>
    </row>
    <row r="151" ht="15.6" spans="4:11">
      <c r="D151" s="3">
        <v>1149</v>
      </c>
      <c r="E151" s="3" t="s">
        <v>216</v>
      </c>
      <c r="J151" s="3" t="s">
        <v>393</v>
      </c>
      <c r="K151" s="3" t="s">
        <v>216</v>
      </c>
    </row>
    <row r="152" ht="15.6" spans="4:11">
      <c r="D152" s="3">
        <v>1150</v>
      </c>
      <c r="E152" s="3" t="s">
        <v>216</v>
      </c>
      <c r="J152" s="3" t="s">
        <v>394</v>
      </c>
      <c r="K152" s="3" t="s">
        <v>216</v>
      </c>
    </row>
    <row r="153" ht="15.6" spans="4:11">
      <c r="D153" s="3">
        <v>1151</v>
      </c>
      <c r="E153" s="3" t="s">
        <v>216</v>
      </c>
      <c r="J153" s="3" t="s">
        <v>395</v>
      </c>
      <c r="K153" s="3" t="s">
        <v>216</v>
      </c>
    </row>
    <row r="154" ht="15.6" spans="4:11">
      <c r="D154" s="3">
        <v>1152</v>
      </c>
      <c r="E154" s="3" t="s">
        <v>216</v>
      </c>
      <c r="J154" s="3" t="s">
        <v>396</v>
      </c>
      <c r="K154" s="3" t="s">
        <v>216</v>
      </c>
    </row>
    <row r="155" ht="15.6" spans="4:11">
      <c r="D155" s="3">
        <v>1153</v>
      </c>
      <c r="E155" s="3" t="s">
        <v>216</v>
      </c>
      <c r="J155" s="3" t="s">
        <v>397</v>
      </c>
      <c r="K155" s="3" t="s">
        <v>216</v>
      </c>
    </row>
    <row r="156" ht="15.6" spans="4:11">
      <c r="D156" s="3">
        <v>1154</v>
      </c>
      <c r="E156" s="3" t="s">
        <v>216</v>
      </c>
      <c r="J156" s="3" t="s">
        <v>398</v>
      </c>
      <c r="K156" s="3" t="s">
        <v>216</v>
      </c>
    </row>
    <row r="157" ht="15.6" spans="4:11">
      <c r="D157" s="3">
        <v>1155</v>
      </c>
      <c r="E157" s="3" t="s">
        <v>216</v>
      </c>
      <c r="J157" s="3" t="s">
        <v>399</v>
      </c>
      <c r="K157" s="3" t="s">
        <v>216</v>
      </c>
    </row>
    <row r="158" ht="15.6" spans="4:11">
      <c r="D158" s="3">
        <v>1156</v>
      </c>
      <c r="E158" s="3" t="s">
        <v>216</v>
      </c>
      <c r="J158" s="3" t="s">
        <v>400</v>
      </c>
      <c r="K158" s="3" t="s">
        <v>216</v>
      </c>
    </row>
    <row r="159" ht="15.6" spans="4:11">
      <c r="D159" s="3">
        <v>1157</v>
      </c>
      <c r="E159" s="3" t="s">
        <v>216</v>
      </c>
      <c r="J159" s="3" t="s">
        <v>401</v>
      </c>
      <c r="K159" s="3" t="s">
        <v>216</v>
      </c>
    </row>
    <row r="160" ht="15.6" spans="4:11">
      <c r="D160" s="3">
        <v>1158</v>
      </c>
      <c r="E160" s="3" t="s">
        <v>216</v>
      </c>
      <c r="J160" s="3" t="s">
        <v>402</v>
      </c>
      <c r="K160" s="3" t="s">
        <v>216</v>
      </c>
    </row>
    <row r="161" ht="15.6" spans="4:11">
      <c r="D161" s="3">
        <v>1159</v>
      </c>
      <c r="E161" s="3" t="s">
        <v>216</v>
      </c>
      <c r="J161" s="3" t="s">
        <v>403</v>
      </c>
      <c r="K161" s="3" t="s">
        <v>216</v>
      </c>
    </row>
    <row r="162" ht="15.6" spans="4:11">
      <c r="D162" s="3">
        <v>1160</v>
      </c>
      <c r="E162" s="3" t="s">
        <v>216</v>
      </c>
      <c r="J162" s="3" t="s">
        <v>404</v>
      </c>
      <c r="K162" s="3" t="s">
        <v>216</v>
      </c>
    </row>
    <row r="163" ht="15.6" spans="4:11">
      <c r="D163" s="3">
        <v>1161</v>
      </c>
      <c r="E163" s="3" t="s">
        <v>216</v>
      </c>
      <c r="J163" s="3" t="s">
        <v>405</v>
      </c>
      <c r="K163" s="3" t="s">
        <v>216</v>
      </c>
    </row>
    <row r="164" ht="15.6" spans="4:11">
      <c r="D164" s="3">
        <v>1162</v>
      </c>
      <c r="E164" s="3" t="s">
        <v>216</v>
      </c>
      <c r="J164" s="3" t="s">
        <v>406</v>
      </c>
      <c r="K164" s="3" t="s">
        <v>216</v>
      </c>
    </row>
    <row r="165" ht="15.6" spans="4:11">
      <c r="D165" s="3">
        <v>1163</v>
      </c>
      <c r="E165" s="3" t="s">
        <v>216</v>
      </c>
      <c r="J165" s="3" t="s">
        <v>407</v>
      </c>
      <c r="K165" s="3" t="s">
        <v>216</v>
      </c>
    </row>
    <row r="166" ht="15.6" spans="4:11">
      <c r="D166" s="3">
        <v>1164</v>
      </c>
      <c r="E166" s="3" t="s">
        <v>216</v>
      </c>
      <c r="J166" s="3" t="s">
        <v>408</v>
      </c>
      <c r="K166" s="3" t="s">
        <v>216</v>
      </c>
    </row>
    <row r="167" ht="15.6" spans="4:11">
      <c r="D167" s="3">
        <v>1165</v>
      </c>
      <c r="E167" s="3" t="s">
        <v>216</v>
      </c>
      <c r="J167" s="3" t="s">
        <v>409</v>
      </c>
      <c r="K167" s="3" t="s">
        <v>216</v>
      </c>
    </row>
    <row r="168" ht="15.6" spans="4:11">
      <c r="D168" s="3">
        <v>1166</v>
      </c>
      <c r="E168" s="3" t="s">
        <v>216</v>
      </c>
      <c r="J168" s="3" t="s">
        <v>410</v>
      </c>
      <c r="K168" s="3" t="s">
        <v>216</v>
      </c>
    </row>
    <row r="169" ht="15.6" spans="4:11">
      <c r="D169" s="3">
        <v>1167</v>
      </c>
      <c r="E169" s="3" t="s">
        <v>216</v>
      </c>
      <c r="J169" s="3" t="s">
        <v>411</v>
      </c>
      <c r="K169" s="3" t="s">
        <v>216</v>
      </c>
    </row>
    <row r="170" ht="15.6" spans="4:11">
      <c r="D170" s="3">
        <v>1168</v>
      </c>
      <c r="E170" s="3" t="s">
        <v>216</v>
      </c>
      <c r="J170" s="3" t="s">
        <v>412</v>
      </c>
      <c r="K170" s="3" t="s">
        <v>216</v>
      </c>
    </row>
    <row r="171" ht="15.6" spans="4:11">
      <c r="D171" s="3">
        <v>1169</v>
      </c>
      <c r="E171" s="3" t="s">
        <v>216</v>
      </c>
      <c r="J171" s="3" t="s">
        <v>413</v>
      </c>
      <c r="K171" s="3" t="s">
        <v>216</v>
      </c>
    </row>
    <row r="172" ht="15.6" spans="4:11">
      <c r="D172" s="3">
        <v>1170</v>
      </c>
      <c r="E172" s="3" t="s">
        <v>216</v>
      </c>
      <c r="J172" s="3" t="s">
        <v>414</v>
      </c>
      <c r="K172" s="3" t="s">
        <v>216</v>
      </c>
    </row>
    <row r="173" ht="15.6" spans="4:11">
      <c r="D173" s="3">
        <v>1171</v>
      </c>
      <c r="E173" s="3" t="s">
        <v>216</v>
      </c>
      <c r="J173" s="3" t="s">
        <v>415</v>
      </c>
      <c r="K173" s="3" t="s">
        <v>216</v>
      </c>
    </row>
    <row r="174" ht="15.6" spans="4:11">
      <c r="D174" s="3">
        <v>1172</v>
      </c>
      <c r="E174" s="3" t="s">
        <v>216</v>
      </c>
      <c r="J174" s="3" t="s">
        <v>416</v>
      </c>
      <c r="K174" s="3" t="s">
        <v>216</v>
      </c>
    </row>
    <row r="175" ht="15.6" spans="4:11">
      <c r="D175" s="3">
        <v>1173</v>
      </c>
      <c r="E175" s="3" t="s">
        <v>216</v>
      </c>
      <c r="J175" s="3" t="s">
        <v>417</v>
      </c>
      <c r="K175" s="3" t="s">
        <v>216</v>
      </c>
    </row>
    <row r="176" ht="15.6" spans="4:11">
      <c r="D176" s="3">
        <v>1174</v>
      </c>
      <c r="E176" s="3" t="s">
        <v>216</v>
      </c>
      <c r="J176" s="3" t="s">
        <v>418</v>
      </c>
      <c r="K176" s="3" t="s">
        <v>216</v>
      </c>
    </row>
    <row r="177" ht="15.6" spans="4:11">
      <c r="D177" s="3">
        <v>1175</v>
      </c>
      <c r="E177" s="3" t="s">
        <v>216</v>
      </c>
      <c r="J177" s="3" t="s">
        <v>419</v>
      </c>
      <c r="K177" s="3" t="s">
        <v>216</v>
      </c>
    </row>
    <row r="178" ht="15.6" spans="4:11">
      <c r="D178" s="3">
        <v>1176</v>
      </c>
      <c r="E178" s="3" t="s">
        <v>216</v>
      </c>
      <c r="J178" s="3" t="s">
        <v>420</v>
      </c>
      <c r="K178" s="3" t="s">
        <v>216</v>
      </c>
    </row>
    <row r="179" ht="15.6" spans="4:11">
      <c r="D179" s="3">
        <v>1177</v>
      </c>
      <c r="E179" s="3" t="s">
        <v>216</v>
      </c>
      <c r="J179" s="3" t="s">
        <v>421</v>
      </c>
      <c r="K179" s="3" t="s">
        <v>216</v>
      </c>
    </row>
    <row r="180" ht="15.6" spans="4:11">
      <c r="D180" s="3">
        <v>1178</v>
      </c>
      <c r="E180" s="3" t="s">
        <v>216</v>
      </c>
      <c r="J180" s="3" t="s">
        <v>422</v>
      </c>
      <c r="K180" s="3" t="s">
        <v>216</v>
      </c>
    </row>
    <row r="181" ht="15.6" spans="4:11">
      <c r="D181" s="3">
        <v>1179</v>
      </c>
      <c r="E181" s="3" t="s">
        <v>216</v>
      </c>
      <c r="J181" s="3" t="s">
        <v>423</v>
      </c>
      <c r="K181" s="3" t="s">
        <v>216</v>
      </c>
    </row>
    <row r="182" ht="15.6" spans="4:11">
      <c r="D182" s="3">
        <v>1180</v>
      </c>
      <c r="E182" s="3" t="s">
        <v>216</v>
      </c>
      <c r="J182" s="3" t="s">
        <v>424</v>
      </c>
      <c r="K182" s="3" t="s">
        <v>216</v>
      </c>
    </row>
    <row r="183" ht="15.6" spans="4:11">
      <c r="D183" s="3">
        <v>1181</v>
      </c>
      <c r="E183" s="3" t="s">
        <v>216</v>
      </c>
      <c r="J183" s="3" t="s">
        <v>425</v>
      </c>
      <c r="K183" s="3" t="s">
        <v>216</v>
      </c>
    </row>
    <row r="184" ht="15.6" spans="4:11">
      <c r="D184" s="3">
        <v>1182</v>
      </c>
      <c r="E184" s="3" t="s">
        <v>216</v>
      </c>
      <c r="J184" s="3" t="s">
        <v>426</v>
      </c>
      <c r="K184" s="3" t="s">
        <v>216</v>
      </c>
    </row>
    <row r="185" ht="15.6" spans="4:11">
      <c r="D185" s="3">
        <v>1183</v>
      </c>
      <c r="E185" s="3" t="s">
        <v>216</v>
      </c>
      <c r="J185" s="3" t="s">
        <v>427</v>
      </c>
      <c r="K185" s="3" t="s">
        <v>216</v>
      </c>
    </row>
    <row r="186" ht="15.6" spans="4:11">
      <c r="D186" s="3">
        <v>1184</v>
      </c>
      <c r="E186" s="3" t="s">
        <v>216</v>
      </c>
      <c r="J186" s="3" t="s">
        <v>428</v>
      </c>
      <c r="K186" s="3" t="s">
        <v>216</v>
      </c>
    </row>
    <row r="187" ht="15.6" spans="4:11">
      <c r="D187" s="3">
        <v>1185</v>
      </c>
      <c r="E187" s="3" t="s">
        <v>216</v>
      </c>
      <c r="J187" s="3" t="s">
        <v>429</v>
      </c>
      <c r="K187" s="3" t="s">
        <v>216</v>
      </c>
    </row>
    <row r="188" ht="15.6" spans="4:11">
      <c r="D188" s="3">
        <v>1186</v>
      </c>
      <c r="E188" s="3" t="s">
        <v>216</v>
      </c>
      <c r="J188" s="3" t="s">
        <v>430</v>
      </c>
      <c r="K188" s="3" t="s">
        <v>216</v>
      </c>
    </row>
    <row r="189" ht="15.6" spans="4:11">
      <c r="D189" s="3">
        <v>1187</v>
      </c>
      <c r="E189" s="3" t="s">
        <v>216</v>
      </c>
      <c r="J189" s="3" t="s">
        <v>431</v>
      </c>
      <c r="K189" s="3" t="s">
        <v>216</v>
      </c>
    </row>
    <row r="190" ht="15.6" spans="4:11">
      <c r="D190" s="3">
        <v>1188</v>
      </c>
      <c r="E190" s="3" t="s">
        <v>216</v>
      </c>
      <c r="J190" s="3" t="s">
        <v>432</v>
      </c>
      <c r="K190" s="3" t="s">
        <v>216</v>
      </c>
    </row>
    <row r="191" ht="15.6" spans="4:11">
      <c r="D191" s="3">
        <v>1189</v>
      </c>
      <c r="E191" s="3" t="s">
        <v>216</v>
      </c>
      <c r="J191" s="3" t="s">
        <v>433</v>
      </c>
      <c r="K191" s="3" t="s">
        <v>216</v>
      </c>
    </row>
    <row r="192" ht="15.6" spans="4:11">
      <c r="D192" s="3">
        <v>1190</v>
      </c>
      <c r="E192" s="3" t="s">
        <v>216</v>
      </c>
      <c r="J192" s="3" t="s">
        <v>434</v>
      </c>
      <c r="K192" s="3" t="s">
        <v>216</v>
      </c>
    </row>
    <row r="193" ht="15.6" spans="4:11">
      <c r="D193" s="3">
        <v>1191</v>
      </c>
      <c r="E193" s="3" t="s">
        <v>216</v>
      </c>
      <c r="J193" s="3" t="s">
        <v>435</v>
      </c>
      <c r="K193" s="3" t="s">
        <v>216</v>
      </c>
    </row>
    <row r="194" ht="15.6" spans="4:11">
      <c r="D194" s="3">
        <v>1192</v>
      </c>
      <c r="E194" s="3" t="s">
        <v>216</v>
      </c>
      <c r="J194" s="3" t="s">
        <v>436</v>
      </c>
      <c r="K194" s="3" t="s">
        <v>216</v>
      </c>
    </row>
    <row r="195" ht="15.6" spans="4:11">
      <c r="D195" s="3">
        <v>1193</v>
      </c>
      <c r="E195" s="3" t="s">
        <v>216</v>
      </c>
      <c r="J195" s="3" t="s">
        <v>437</v>
      </c>
      <c r="K195" s="3" t="s">
        <v>216</v>
      </c>
    </row>
    <row r="196" ht="15.6" spans="4:11">
      <c r="D196" s="3">
        <v>1194</v>
      </c>
      <c r="E196" s="3" t="s">
        <v>216</v>
      </c>
      <c r="J196" s="3" t="s">
        <v>438</v>
      </c>
      <c r="K196" s="3" t="s">
        <v>216</v>
      </c>
    </row>
    <row r="197" ht="15.6" spans="4:11">
      <c r="D197" s="3">
        <v>1195</v>
      </c>
      <c r="E197" s="3" t="s">
        <v>216</v>
      </c>
      <c r="J197" s="3" t="s">
        <v>439</v>
      </c>
      <c r="K197" s="3" t="s">
        <v>216</v>
      </c>
    </row>
    <row r="198" ht="15.6" spans="4:11">
      <c r="D198" s="3">
        <v>1196</v>
      </c>
      <c r="E198" s="3" t="s">
        <v>216</v>
      </c>
      <c r="J198" s="3" t="s">
        <v>440</v>
      </c>
      <c r="K198" s="3" t="s">
        <v>216</v>
      </c>
    </row>
    <row r="199" ht="15.6" spans="4:11">
      <c r="D199" s="3">
        <v>1197</v>
      </c>
      <c r="E199" s="3" t="s">
        <v>216</v>
      </c>
      <c r="J199" s="3" t="s">
        <v>441</v>
      </c>
      <c r="K199" s="3" t="s">
        <v>216</v>
      </c>
    </row>
    <row r="200" ht="15.6" spans="4:11">
      <c r="D200" s="3">
        <v>1198</v>
      </c>
      <c r="E200" s="3" t="s">
        <v>216</v>
      </c>
      <c r="J200" s="3" t="s">
        <v>442</v>
      </c>
      <c r="K200" s="3" t="s">
        <v>216</v>
      </c>
    </row>
    <row r="201" ht="15.6" spans="4:11">
      <c r="D201" s="3">
        <v>1199</v>
      </c>
      <c r="E201" s="3" t="s">
        <v>216</v>
      </c>
      <c r="J201" s="3" t="s">
        <v>443</v>
      </c>
      <c r="K201" s="3" t="s">
        <v>216</v>
      </c>
    </row>
    <row r="202" ht="15.6" spans="4:11">
      <c r="D202" s="3">
        <v>1200</v>
      </c>
      <c r="E202" s="3" t="s">
        <v>216</v>
      </c>
      <c r="J202" s="3" t="s">
        <v>444</v>
      </c>
      <c r="K202" s="3" t="s">
        <v>216</v>
      </c>
    </row>
    <row r="203" ht="15.6" spans="4:11">
      <c r="D203" s="3">
        <v>1201</v>
      </c>
      <c r="E203" s="3" t="s">
        <v>216</v>
      </c>
      <c r="J203" s="3" t="s">
        <v>445</v>
      </c>
      <c r="K203" s="3" t="s">
        <v>216</v>
      </c>
    </row>
    <row r="204" ht="15.6" spans="4:11">
      <c r="D204" s="3">
        <v>1202</v>
      </c>
      <c r="E204" s="3" t="s">
        <v>216</v>
      </c>
      <c r="J204" s="3" t="s">
        <v>446</v>
      </c>
      <c r="K204" s="3" t="s">
        <v>216</v>
      </c>
    </row>
    <row r="205" ht="15.6" spans="4:11">
      <c r="D205" s="3">
        <v>1203</v>
      </c>
      <c r="E205" s="3" t="s">
        <v>216</v>
      </c>
      <c r="J205" s="3" t="s">
        <v>447</v>
      </c>
      <c r="K205" s="3" t="s">
        <v>216</v>
      </c>
    </row>
    <row r="206" ht="15.6" spans="4:11">
      <c r="D206" s="3">
        <v>1204</v>
      </c>
      <c r="E206" s="3" t="s">
        <v>216</v>
      </c>
      <c r="J206" s="3" t="s">
        <v>448</v>
      </c>
      <c r="K206" s="3" t="s">
        <v>216</v>
      </c>
    </row>
    <row r="207" ht="15.6" spans="4:11">
      <c r="D207" s="3">
        <v>1205</v>
      </c>
      <c r="E207" s="3" t="s">
        <v>216</v>
      </c>
      <c r="J207" s="3" t="s">
        <v>449</v>
      </c>
      <c r="K207" s="3" t="s">
        <v>216</v>
      </c>
    </row>
    <row r="208" ht="15.6" spans="4:11">
      <c r="D208" s="3">
        <v>1206</v>
      </c>
      <c r="E208" s="3" t="s">
        <v>216</v>
      </c>
      <c r="J208" s="3" t="s">
        <v>450</v>
      </c>
      <c r="K208" s="3" t="s">
        <v>216</v>
      </c>
    </row>
    <row r="209" ht="15.6" spans="4:11">
      <c r="D209" s="3">
        <v>1207</v>
      </c>
      <c r="E209" s="3" t="s">
        <v>216</v>
      </c>
      <c r="J209" s="3" t="s">
        <v>451</v>
      </c>
      <c r="K209" s="3" t="s">
        <v>216</v>
      </c>
    </row>
    <row r="210" ht="15.6" spans="4:11">
      <c r="D210" s="3">
        <v>1208</v>
      </c>
      <c r="E210" s="3" t="s">
        <v>216</v>
      </c>
      <c r="J210" s="3" t="s">
        <v>452</v>
      </c>
      <c r="K210" s="3" t="s">
        <v>216</v>
      </c>
    </row>
    <row r="211" ht="15.6" spans="4:11">
      <c r="D211" s="3">
        <v>1209</v>
      </c>
      <c r="E211" s="3" t="s">
        <v>216</v>
      </c>
      <c r="J211" s="3" t="s">
        <v>453</v>
      </c>
      <c r="K211" s="3" t="s">
        <v>216</v>
      </c>
    </row>
    <row r="212" ht="15.6" spans="4:11">
      <c r="D212" s="3">
        <v>1210</v>
      </c>
      <c r="E212" s="3" t="s">
        <v>216</v>
      </c>
      <c r="J212" s="3" t="s">
        <v>454</v>
      </c>
      <c r="K212" s="3" t="s">
        <v>216</v>
      </c>
    </row>
    <row r="213" ht="15.6" spans="4:11">
      <c r="D213" s="3">
        <v>1211</v>
      </c>
      <c r="E213" s="3" t="s">
        <v>216</v>
      </c>
      <c r="J213" s="3" t="s">
        <v>455</v>
      </c>
      <c r="K213" s="3" t="s">
        <v>216</v>
      </c>
    </row>
    <row r="214" ht="15.6" spans="4:11">
      <c r="D214" s="3">
        <v>1212</v>
      </c>
      <c r="E214" s="3" t="s">
        <v>216</v>
      </c>
      <c r="J214" s="3" t="s">
        <v>456</v>
      </c>
      <c r="K214" s="3" t="s">
        <v>216</v>
      </c>
    </row>
    <row r="215" ht="15.6" spans="4:11">
      <c r="D215" s="3">
        <v>1213</v>
      </c>
      <c r="E215" s="3" t="s">
        <v>216</v>
      </c>
      <c r="J215" s="3" t="s">
        <v>457</v>
      </c>
      <c r="K215" s="3" t="s">
        <v>216</v>
      </c>
    </row>
    <row r="216" ht="15.6" spans="4:11">
      <c r="D216" s="3">
        <v>1214</v>
      </c>
      <c r="E216" s="3" t="s">
        <v>216</v>
      </c>
      <c r="J216" s="3" t="s">
        <v>458</v>
      </c>
      <c r="K216" s="3" t="s">
        <v>216</v>
      </c>
    </row>
    <row r="217" ht="15.6" spans="4:11">
      <c r="D217" s="3">
        <v>1215</v>
      </c>
      <c r="E217" s="3" t="s">
        <v>216</v>
      </c>
      <c r="J217" s="3" t="s">
        <v>459</v>
      </c>
      <c r="K217" s="3" t="s">
        <v>216</v>
      </c>
    </row>
    <row r="218" ht="15.6" spans="4:11">
      <c r="D218" s="3">
        <v>1216</v>
      </c>
      <c r="E218" s="3" t="s">
        <v>216</v>
      </c>
      <c r="J218" s="3" t="s">
        <v>460</v>
      </c>
      <c r="K218" s="3" t="s">
        <v>216</v>
      </c>
    </row>
    <row r="219" ht="15.6" spans="4:11">
      <c r="D219" s="3">
        <v>1217</v>
      </c>
      <c r="E219" s="3" t="s">
        <v>216</v>
      </c>
      <c r="J219" s="3" t="s">
        <v>461</v>
      </c>
      <c r="K219" s="3" t="s">
        <v>216</v>
      </c>
    </row>
    <row r="220" ht="15.6" spans="4:11">
      <c r="D220" s="3">
        <v>1218</v>
      </c>
      <c r="E220" s="3" t="s">
        <v>216</v>
      </c>
      <c r="J220" s="3" t="s">
        <v>462</v>
      </c>
      <c r="K220" s="3" t="s">
        <v>216</v>
      </c>
    </row>
    <row r="221" ht="15.6" spans="4:11">
      <c r="D221" s="3">
        <v>1219</v>
      </c>
      <c r="E221" s="3" t="s">
        <v>216</v>
      </c>
      <c r="J221" s="3" t="s">
        <v>463</v>
      </c>
      <c r="K221" s="3" t="s">
        <v>216</v>
      </c>
    </row>
    <row r="222" ht="15.6" spans="4:11">
      <c r="D222" s="3">
        <v>1220</v>
      </c>
      <c r="E222" s="3" t="s">
        <v>216</v>
      </c>
      <c r="J222" s="3" t="s">
        <v>464</v>
      </c>
      <c r="K222" s="3" t="s">
        <v>216</v>
      </c>
    </row>
    <row r="223" ht="15.6" spans="4:11">
      <c r="D223" s="3">
        <v>1221</v>
      </c>
      <c r="E223" s="3" t="s">
        <v>216</v>
      </c>
      <c r="J223" s="3" t="s">
        <v>465</v>
      </c>
      <c r="K223" s="3" t="s">
        <v>216</v>
      </c>
    </row>
    <row r="224" ht="15.6" spans="4:11">
      <c r="D224" s="3">
        <v>1222</v>
      </c>
      <c r="E224" s="3" t="s">
        <v>216</v>
      </c>
      <c r="J224" s="3" t="s">
        <v>466</v>
      </c>
      <c r="K224" s="3" t="s">
        <v>216</v>
      </c>
    </row>
    <row r="225" ht="15.6" spans="4:11">
      <c r="D225" s="3">
        <v>1223</v>
      </c>
      <c r="E225" s="3" t="s">
        <v>216</v>
      </c>
      <c r="J225" s="3" t="s">
        <v>467</v>
      </c>
      <c r="K225" s="3" t="s">
        <v>216</v>
      </c>
    </row>
    <row r="226" ht="15.6" spans="4:11">
      <c r="D226" s="3">
        <v>1224</v>
      </c>
      <c r="E226" s="3" t="s">
        <v>216</v>
      </c>
      <c r="J226" s="3" t="s">
        <v>468</v>
      </c>
      <c r="K226" s="3" t="s">
        <v>216</v>
      </c>
    </row>
    <row r="227" ht="15.6" spans="4:11">
      <c r="D227" s="3">
        <v>1225</v>
      </c>
      <c r="E227" s="3" t="s">
        <v>216</v>
      </c>
      <c r="J227" s="3" t="s">
        <v>469</v>
      </c>
      <c r="K227" s="3" t="s">
        <v>216</v>
      </c>
    </row>
    <row r="228" ht="15.6" spans="4:11">
      <c r="D228" s="3">
        <v>1226</v>
      </c>
      <c r="E228" s="3" t="s">
        <v>216</v>
      </c>
      <c r="J228" s="3" t="s">
        <v>470</v>
      </c>
      <c r="K228" s="3" t="s">
        <v>216</v>
      </c>
    </row>
    <row r="229" ht="15.6" spans="4:11">
      <c r="D229" s="3">
        <v>1227</v>
      </c>
      <c r="E229" s="3" t="s">
        <v>216</v>
      </c>
      <c r="J229" s="3" t="s">
        <v>471</v>
      </c>
      <c r="K229" s="3" t="s">
        <v>216</v>
      </c>
    </row>
    <row r="230" ht="15.6" spans="4:11">
      <c r="D230" s="3">
        <v>1228</v>
      </c>
      <c r="E230" s="3" t="s">
        <v>216</v>
      </c>
      <c r="J230" s="3" t="s">
        <v>472</v>
      </c>
      <c r="K230" s="3" t="s">
        <v>216</v>
      </c>
    </row>
    <row r="231" ht="15.6" spans="4:11">
      <c r="D231" s="3">
        <v>1229</v>
      </c>
      <c r="E231" s="3" t="s">
        <v>216</v>
      </c>
      <c r="J231" s="3" t="s">
        <v>473</v>
      </c>
      <c r="K231" s="3" t="s">
        <v>216</v>
      </c>
    </row>
    <row r="232" ht="15.6" spans="4:11">
      <c r="D232" s="3">
        <v>1230</v>
      </c>
      <c r="E232" s="3" t="s">
        <v>216</v>
      </c>
      <c r="J232" s="3" t="s">
        <v>474</v>
      </c>
      <c r="K232" s="3" t="s">
        <v>216</v>
      </c>
    </row>
    <row r="233" ht="15.6" spans="4:11">
      <c r="D233" s="3">
        <v>1231</v>
      </c>
      <c r="E233" s="3" t="s">
        <v>216</v>
      </c>
      <c r="J233" s="3" t="s">
        <v>475</v>
      </c>
      <c r="K233" s="3" t="s">
        <v>216</v>
      </c>
    </row>
    <row r="234" ht="15.6" spans="4:11">
      <c r="D234" s="3">
        <v>1232</v>
      </c>
      <c r="E234" s="3" t="s">
        <v>216</v>
      </c>
      <c r="J234" s="3" t="s">
        <v>476</v>
      </c>
      <c r="K234" s="3" t="s">
        <v>216</v>
      </c>
    </row>
    <row r="235" ht="15.6" spans="4:11">
      <c r="D235" s="3">
        <v>1233</v>
      </c>
      <c r="E235" s="3" t="s">
        <v>216</v>
      </c>
      <c r="J235" s="3" t="s">
        <v>477</v>
      </c>
      <c r="K235" s="3" t="s">
        <v>216</v>
      </c>
    </row>
    <row r="236" ht="15.6" spans="4:11">
      <c r="D236" s="3">
        <v>1234</v>
      </c>
      <c r="E236" s="3" t="s">
        <v>216</v>
      </c>
      <c r="J236" s="3" t="s">
        <v>478</v>
      </c>
      <c r="K236" s="3" t="s">
        <v>216</v>
      </c>
    </row>
    <row r="237" ht="15.6" spans="4:11">
      <c r="D237" s="3">
        <v>1235</v>
      </c>
      <c r="E237" s="3" t="s">
        <v>216</v>
      </c>
      <c r="J237" s="3" t="s">
        <v>479</v>
      </c>
      <c r="K237" s="3" t="s">
        <v>216</v>
      </c>
    </row>
    <row r="238" ht="15.6" spans="4:11">
      <c r="D238" s="3">
        <v>1236</v>
      </c>
      <c r="E238" s="3" t="s">
        <v>216</v>
      </c>
      <c r="J238" s="3" t="s">
        <v>480</v>
      </c>
      <c r="K238" s="3" t="s">
        <v>216</v>
      </c>
    </row>
    <row r="239" ht="15.6" spans="4:11">
      <c r="D239" s="3">
        <v>1237</v>
      </c>
      <c r="E239" s="3" t="s">
        <v>216</v>
      </c>
      <c r="J239" s="3" t="s">
        <v>481</v>
      </c>
      <c r="K239" s="3" t="s">
        <v>216</v>
      </c>
    </row>
    <row r="240" ht="15.6" spans="4:11">
      <c r="D240" s="3">
        <v>1238</v>
      </c>
      <c r="E240" s="3" t="s">
        <v>216</v>
      </c>
      <c r="J240" s="3" t="s">
        <v>482</v>
      </c>
      <c r="K240" s="3" t="s">
        <v>216</v>
      </c>
    </row>
    <row r="241" ht="15.6" spans="4:11">
      <c r="D241" s="3">
        <v>1239</v>
      </c>
      <c r="E241" s="3" t="s">
        <v>216</v>
      </c>
      <c r="J241" s="3" t="s">
        <v>483</v>
      </c>
      <c r="K241" s="3" t="s">
        <v>216</v>
      </c>
    </row>
    <row r="242" ht="15.6" spans="4:11">
      <c r="D242" s="3">
        <v>1240</v>
      </c>
      <c r="E242" s="3" t="s">
        <v>216</v>
      </c>
      <c r="J242" s="3" t="s">
        <v>484</v>
      </c>
      <c r="K242" s="3" t="s">
        <v>216</v>
      </c>
    </row>
    <row r="243" ht="15.6" spans="4:11">
      <c r="D243" s="3">
        <v>1241</v>
      </c>
      <c r="E243" s="3" t="s">
        <v>216</v>
      </c>
      <c r="J243" s="3" t="s">
        <v>485</v>
      </c>
      <c r="K243" s="3" t="s">
        <v>216</v>
      </c>
    </row>
    <row r="244" ht="15.6" spans="4:11">
      <c r="D244" s="3">
        <v>1242</v>
      </c>
      <c r="E244" s="3" t="s">
        <v>216</v>
      </c>
      <c r="J244" s="3" t="s">
        <v>486</v>
      </c>
      <c r="K244" s="3" t="s">
        <v>216</v>
      </c>
    </row>
    <row r="245" ht="15.6" spans="4:11">
      <c r="D245" s="3">
        <v>1243</v>
      </c>
      <c r="E245" s="3" t="s">
        <v>216</v>
      </c>
      <c r="J245" s="3" t="s">
        <v>487</v>
      </c>
      <c r="K245" s="3" t="s">
        <v>216</v>
      </c>
    </row>
    <row r="246" ht="15.6" spans="4:11">
      <c r="D246" s="3">
        <v>1244</v>
      </c>
      <c r="E246" s="3" t="s">
        <v>216</v>
      </c>
      <c r="J246" s="3" t="s">
        <v>488</v>
      </c>
      <c r="K246" s="3" t="s">
        <v>216</v>
      </c>
    </row>
    <row r="247" ht="15.6" spans="4:11">
      <c r="D247" s="3">
        <v>1245</v>
      </c>
      <c r="E247" s="3" t="s">
        <v>216</v>
      </c>
      <c r="J247" s="3" t="s">
        <v>489</v>
      </c>
      <c r="K247" s="3" t="s">
        <v>216</v>
      </c>
    </row>
    <row r="248" ht="15.6" spans="4:11">
      <c r="D248" s="3">
        <v>1246</v>
      </c>
      <c r="E248" s="3" t="s">
        <v>216</v>
      </c>
      <c r="J248" s="3" t="s">
        <v>490</v>
      </c>
      <c r="K248" s="3" t="s">
        <v>216</v>
      </c>
    </row>
    <row r="249" ht="15.6" spans="4:11">
      <c r="D249" s="3">
        <v>1247</v>
      </c>
      <c r="E249" s="3" t="s">
        <v>216</v>
      </c>
      <c r="J249" s="3" t="s">
        <v>491</v>
      </c>
      <c r="K249" s="3" t="s">
        <v>216</v>
      </c>
    </row>
    <row r="250" ht="15.6" spans="4:11">
      <c r="D250" s="3">
        <v>1248</v>
      </c>
      <c r="E250" s="3" t="s">
        <v>216</v>
      </c>
      <c r="J250" s="3" t="s">
        <v>492</v>
      </c>
      <c r="K250" s="3" t="s">
        <v>216</v>
      </c>
    </row>
    <row r="251" ht="15.6" spans="4:11">
      <c r="D251" s="3">
        <v>1249</v>
      </c>
      <c r="E251" s="3" t="s">
        <v>216</v>
      </c>
      <c r="J251" s="3" t="s">
        <v>493</v>
      </c>
      <c r="K251" s="3" t="s">
        <v>216</v>
      </c>
    </row>
    <row r="252" ht="15.6" spans="4:11">
      <c r="D252" s="3">
        <v>1250</v>
      </c>
      <c r="E252" s="3" t="s">
        <v>216</v>
      </c>
      <c r="J252" s="3" t="s">
        <v>494</v>
      </c>
      <c r="K252" s="3" t="s">
        <v>216</v>
      </c>
    </row>
    <row r="253" ht="15.6" spans="4:11">
      <c r="D253" s="3">
        <v>1251</v>
      </c>
      <c r="E253" s="3" t="s">
        <v>216</v>
      </c>
      <c r="J253" s="3" t="s">
        <v>495</v>
      </c>
      <c r="K253" s="3" t="s">
        <v>216</v>
      </c>
    </row>
    <row r="254" ht="15.6" spans="4:11">
      <c r="D254" s="3">
        <v>1252</v>
      </c>
      <c r="E254" s="3" t="s">
        <v>216</v>
      </c>
      <c r="J254" s="3" t="s">
        <v>496</v>
      </c>
      <c r="K254" s="3" t="s">
        <v>216</v>
      </c>
    </row>
    <row r="255" ht="15.6" spans="4:11">
      <c r="D255" s="3">
        <v>1253</v>
      </c>
      <c r="E255" s="3" t="s">
        <v>216</v>
      </c>
      <c r="J255" s="3" t="s">
        <v>497</v>
      </c>
      <c r="K255" s="3" t="s">
        <v>216</v>
      </c>
    </row>
    <row r="256" ht="15.6" spans="4:11">
      <c r="D256" s="3">
        <v>1254</v>
      </c>
      <c r="E256" s="3" t="s">
        <v>216</v>
      </c>
      <c r="J256" s="3" t="s">
        <v>498</v>
      </c>
      <c r="K256" s="3" t="s">
        <v>216</v>
      </c>
    </row>
    <row r="257" ht="15.6" spans="4:11">
      <c r="D257" s="3">
        <v>1255</v>
      </c>
      <c r="E257" s="3" t="s">
        <v>216</v>
      </c>
      <c r="J257" s="3" t="s">
        <v>499</v>
      </c>
      <c r="K257" s="3" t="s">
        <v>216</v>
      </c>
    </row>
    <row r="258" ht="15.6" spans="4:11">
      <c r="D258" s="3">
        <v>1256</v>
      </c>
      <c r="E258" s="3" t="s">
        <v>216</v>
      </c>
      <c r="J258" s="3" t="s">
        <v>500</v>
      </c>
      <c r="K258" s="3" t="s">
        <v>216</v>
      </c>
    </row>
    <row r="259" ht="15.6" spans="4:11">
      <c r="D259" s="3">
        <v>1257</v>
      </c>
      <c r="E259" s="3" t="s">
        <v>216</v>
      </c>
      <c r="J259" s="3" t="s">
        <v>501</v>
      </c>
      <c r="K259" s="3" t="s">
        <v>216</v>
      </c>
    </row>
    <row r="260" ht="15.6" spans="4:11">
      <c r="D260" s="3">
        <v>1258</v>
      </c>
      <c r="E260" s="3" t="s">
        <v>216</v>
      </c>
      <c r="J260" s="3" t="s">
        <v>502</v>
      </c>
      <c r="K260" s="3" t="s">
        <v>216</v>
      </c>
    </row>
    <row r="261" ht="15.6" spans="4:11">
      <c r="D261" s="3">
        <v>1259</v>
      </c>
      <c r="E261" s="3" t="s">
        <v>216</v>
      </c>
      <c r="J261" s="3" t="s">
        <v>503</v>
      </c>
      <c r="K261" s="3" t="s">
        <v>216</v>
      </c>
    </row>
    <row r="262" ht="15.6" spans="4:11">
      <c r="D262" s="3">
        <v>1260</v>
      </c>
      <c r="E262" s="3" t="s">
        <v>216</v>
      </c>
      <c r="J262" s="3" t="s">
        <v>504</v>
      </c>
      <c r="K262" s="3" t="s">
        <v>216</v>
      </c>
    </row>
    <row r="263" ht="15.6" spans="4:11">
      <c r="D263" s="3">
        <v>1261</v>
      </c>
      <c r="E263" s="3" t="s">
        <v>216</v>
      </c>
      <c r="J263" s="3" t="s">
        <v>505</v>
      </c>
      <c r="K263" s="3" t="s">
        <v>216</v>
      </c>
    </row>
    <row r="264" ht="15.6" spans="4:11">
      <c r="D264" s="3">
        <v>1262</v>
      </c>
      <c r="E264" s="3" t="s">
        <v>216</v>
      </c>
      <c r="J264" s="3" t="s">
        <v>506</v>
      </c>
      <c r="K264" s="3" t="s">
        <v>216</v>
      </c>
    </row>
    <row r="265" ht="15.6" spans="4:11">
      <c r="D265" s="3">
        <v>1263</v>
      </c>
      <c r="E265" s="3" t="s">
        <v>216</v>
      </c>
      <c r="J265" s="3" t="s">
        <v>507</v>
      </c>
      <c r="K265" s="3" t="s">
        <v>216</v>
      </c>
    </row>
    <row r="266" ht="15.6" spans="4:11">
      <c r="D266" s="3">
        <v>1264</v>
      </c>
      <c r="E266" s="3" t="s">
        <v>216</v>
      </c>
      <c r="J266" s="3" t="s">
        <v>508</v>
      </c>
      <c r="K266" s="3" t="s">
        <v>216</v>
      </c>
    </row>
    <row r="267" ht="15.6" spans="4:11">
      <c r="D267" s="3">
        <v>1265</v>
      </c>
      <c r="E267" s="3" t="s">
        <v>216</v>
      </c>
      <c r="J267" s="3" t="s">
        <v>509</v>
      </c>
      <c r="K267" s="3" t="s">
        <v>216</v>
      </c>
    </row>
    <row r="268" ht="15.6" spans="4:11">
      <c r="D268" s="3">
        <v>1266</v>
      </c>
      <c r="E268" s="3" t="s">
        <v>216</v>
      </c>
      <c r="J268" s="3" t="s">
        <v>510</v>
      </c>
      <c r="K268" s="3" t="s">
        <v>216</v>
      </c>
    </row>
    <row r="269" ht="15.6" spans="4:11">
      <c r="D269" s="3">
        <v>1267</v>
      </c>
      <c r="E269" s="3" t="s">
        <v>216</v>
      </c>
      <c r="J269" s="3" t="s">
        <v>511</v>
      </c>
      <c r="K269" s="3" t="s">
        <v>216</v>
      </c>
    </row>
    <row r="270" ht="15.6" spans="4:11">
      <c r="D270" s="3">
        <v>1268</v>
      </c>
      <c r="E270" s="3" t="s">
        <v>216</v>
      </c>
      <c r="J270" s="3" t="s">
        <v>512</v>
      </c>
      <c r="K270" s="3" t="s">
        <v>216</v>
      </c>
    </row>
    <row r="271" ht="15.6" spans="4:11">
      <c r="D271" s="3">
        <v>1269</v>
      </c>
      <c r="E271" s="3" t="s">
        <v>216</v>
      </c>
      <c r="J271" s="3" t="s">
        <v>513</v>
      </c>
      <c r="K271" s="3" t="s">
        <v>216</v>
      </c>
    </row>
    <row r="272" ht="15.6" spans="4:11">
      <c r="D272" s="3">
        <v>1270</v>
      </c>
      <c r="E272" s="3" t="s">
        <v>216</v>
      </c>
      <c r="J272" s="3" t="s">
        <v>514</v>
      </c>
      <c r="K272" s="3" t="s">
        <v>216</v>
      </c>
    </row>
    <row r="273" ht="15.6" spans="4:11">
      <c r="D273" s="3">
        <v>1271</v>
      </c>
      <c r="E273" s="3" t="s">
        <v>216</v>
      </c>
      <c r="J273" s="3" t="s">
        <v>515</v>
      </c>
      <c r="K273" s="3" t="s">
        <v>216</v>
      </c>
    </row>
    <row r="274" ht="15.6" spans="4:11">
      <c r="D274" s="3">
        <v>1272</v>
      </c>
      <c r="E274" s="3" t="s">
        <v>216</v>
      </c>
      <c r="J274" s="3" t="s">
        <v>516</v>
      </c>
      <c r="K274" s="3" t="s">
        <v>216</v>
      </c>
    </row>
    <row r="275" ht="15.6" spans="4:11">
      <c r="D275" s="3">
        <v>1273</v>
      </c>
      <c r="E275" s="3" t="s">
        <v>216</v>
      </c>
      <c r="J275" s="3" t="s">
        <v>517</v>
      </c>
      <c r="K275" s="3" t="s">
        <v>216</v>
      </c>
    </row>
    <row r="276" ht="15.6" spans="4:11">
      <c r="D276" s="3">
        <v>1274</v>
      </c>
      <c r="E276" s="3" t="s">
        <v>216</v>
      </c>
      <c r="J276" s="3" t="s">
        <v>518</v>
      </c>
      <c r="K276" s="3" t="s">
        <v>216</v>
      </c>
    </row>
    <row r="277" ht="15.6" spans="4:11">
      <c r="D277" s="3">
        <v>1275</v>
      </c>
      <c r="E277" s="3" t="s">
        <v>216</v>
      </c>
      <c r="J277" s="3" t="s">
        <v>519</v>
      </c>
      <c r="K277" s="3" t="s">
        <v>216</v>
      </c>
    </row>
    <row r="278" ht="15.6" spans="4:11">
      <c r="D278" s="3">
        <v>1276</v>
      </c>
      <c r="E278" s="3" t="s">
        <v>216</v>
      </c>
      <c r="J278" s="3" t="s">
        <v>520</v>
      </c>
      <c r="K278" s="3" t="s">
        <v>216</v>
      </c>
    </row>
    <row r="279" ht="15.6" spans="4:11">
      <c r="D279" s="3">
        <v>1277</v>
      </c>
      <c r="E279" s="3" t="s">
        <v>216</v>
      </c>
      <c r="J279" s="3" t="s">
        <v>521</v>
      </c>
      <c r="K279" s="3" t="s">
        <v>216</v>
      </c>
    </row>
    <row r="280" ht="15.6" spans="4:11">
      <c r="D280" s="3">
        <v>1278</v>
      </c>
      <c r="E280" s="3" t="s">
        <v>216</v>
      </c>
      <c r="J280" s="3" t="s">
        <v>522</v>
      </c>
      <c r="K280" s="3" t="s">
        <v>216</v>
      </c>
    </row>
    <row r="281" ht="15.6" spans="4:11">
      <c r="D281" s="3">
        <v>1279</v>
      </c>
      <c r="E281" s="3" t="s">
        <v>216</v>
      </c>
      <c r="J281" s="3" t="s">
        <v>523</v>
      </c>
      <c r="K281" s="3" t="s">
        <v>216</v>
      </c>
    </row>
    <row r="282" ht="15.6" spans="4:11">
      <c r="D282" s="3">
        <v>1280</v>
      </c>
      <c r="E282" s="3" t="s">
        <v>216</v>
      </c>
      <c r="J282" s="3" t="s">
        <v>524</v>
      </c>
      <c r="K282" s="3" t="s">
        <v>216</v>
      </c>
    </row>
    <row r="283" ht="15.6" spans="4:11">
      <c r="D283" s="3">
        <v>1281</v>
      </c>
      <c r="E283" s="3" t="s">
        <v>216</v>
      </c>
      <c r="J283" s="3" t="s">
        <v>525</v>
      </c>
      <c r="K283" s="3" t="s">
        <v>216</v>
      </c>
    </row>
    <row r="284" ht="15.6" spans="4:11">
      <c r="D284" s="3">
        <v>1282</v>
      </c>
      <c r="E284" s="3" t="s">
        <v>216</v>
      </c>
      <c r="J284" s="3" t="s">
        <v>526</v>
      </c>
      <c r="K284" s="3" t="s">
        <v>216</v>
      </c>
    </row>
    <row r="285" ht="15.6" spans="4:11">
      <c r="D285" s="3">
        <v>1283</v>
      </c>
      <c r="E285" s="3" t="s">
        <v>216</v>
      </c>
      <c r="J285" s="3" t="s">
        <v>527</v>
      </c>
      <c r="K285" s="3" t="s">
        <v>216</v>
      </c>
    </row>
    <row r="286" ht="15.6" spans="4:11">
      <c r="D286" s="3">
        <v>1284</v>
      </c>
      <c r="E286" s="3" t="s">
        <v>216</v>
      </c>
      <c r="J286" s="3" t="s">
        <v>528</v>
      </c>
      <c r="K286" s="3" t="s">
        <v>216</v>
      </c>
    </row>
    <row r="287" ht="15.6" spans="4:11">
      <c r="D287" s="3">
        <v>1285</v>
      </c>
      <c r="E287" s="3" t="s">
        <v>216</v>
      </c>
      <c r="J287" s="3" t="s">
        <v>529</v>
      </c>
      <c r="K287" s="3" t="s">
        <v>216</v>
      </c>
    </row>
    <row r="288" ht="15.6" spans="4:11">
      <c r="D288" s="3">
        <v>1286</v>
      </c>
      <c r="E288" s="3" t="s">
        <v>216</v>
      </c>
      <c r="J288" s="3" t="s">
        <v>530</v>
      </c>
      <c r="K288" s="3" t="s">
        <v>216</v>
      </c>
    </row>
    <row r="289" ht="15.6" spans="4:11">
      <c r="D289" s="3">
        <v>1287</v>
      </c>
      <c r="E289" s="3" t="s">
        <v>216</v>
      </c>
      <c r="J289" s="3" t="s">
        <v>531</v>
      </c>
      <c r="K289" s="3" t="s">
        <v>216</v>
      </c>
    </row>
    <row r="290" ht="15.6" spans="4:11">
      <c r="D290" s="3">
        <v>1288</v>
      </c>
      <c r="E290" s="3" t="s">
        <v>216</v>
      </c>
      <c r="J290" s="3" t="s">
        <v>532</v>
      </c>
      <c r="K290" s="3" t="s">
        <v>216</v>
      </c>
    </row>
    <row r="291" ht="15.6" spans="4:11">
      <c r="D291" s="3">
        <v>1289</v>
      </c>
      <c r="E291" s="3" t="s">
        <v>216</v>
      </c>
      <c r="J291" s="3" t="s">
        <v>533</v>
      </c>
      <c r="K291" s="3" t="s">
        <v>216</v>
      </c>
    </row>
    <row r="292" ht="15.6" spans="4:11">
      <c r="D292" s="3">
        <v>1290</v>
      </c>
      <c r="E292" s="3" t="s">
        <v>216</v>
      </c>
      <c r="J292" s="3" t="s">
        <v>534</v>
      </c>
      <c r="K292" s="3" t="s">
        <v>216</v>
      </c>
    </row>
    <row r="293" ht="15.6" spans="4:11">
      <c r="D293" s="3">
        <v>1291</v>
      </c>
      <c r="E293" s="3" t="s">
        <v>216</v>
      </c>
      <c r="J293" s="3" t="s">
        <v>535</v>
      </c>
      <c r="K293" s="3" t="s">
        <v>216</v>
      </c>
    </row>
    <row r="294" ht="15.6" spans="4:11">
      <c r="D294" s="3">
        <v>1292</v>
      </c>
      <c r="E294" s="3" t="s">
        <v>216</v>
      </c>
      <c r="J294" s="3" t="s">
        <v>536</v>
      </c>
      <c r="K294" s="3" t="s">
        <v>216</v>
      </c>
    </row>
    <row r="295" ht="15.6" spans="4:11">
      <c r="D295" s="3">
        <v>1293</v>
      </c>
      <c r="E295" s="3" t="s">
        <v>216</v>
      </c>
      <c r="J295" s="3" t="s">
        <v>537</v>
      </c>
      <c r="K295" s="3" t="s">
        <v>216</v>
      </c>
    </row>
    <row r="296" ht="15.6" spans="4:11">
      <c r="D296" s="3">
        <v>1294</v>
      </c>
      <c r="E296" s="3" t="s">
        <v>216</v>
      </c>
      <c r="J296" s="3" t="s">
        <v>538</v>
      </c>
      <c r="K296" s="3" t="s">
        <v>216</v>
      </c>
    </row>
    <row r="297" ht="15.6" spans="4:11">
      <c r="D297" s="3">
        <v>1295</v>
      </c>
      <c r="E297" s="3" t="s">
        <v>216</v>
      </c>
      <c r="J297" s="3" t="s">
        <v>539</v>
      </c>
      <c r="K297" s="3" t="s">
        <v>216</v>
      </c>
    </row>
    <row r="298" ht="15.6" spans="4:11">
      <c r="D298" s="3">
        <v>1296</v>
      </c>
      <c r="E298" s="3" t="s">
        <v>216</v>
      </c>
      <c r="J298" s="3" t="s">
        <v>540</v>
      </c>
      <c r="K298" s="3" t="s">
        <v>216</v>
      </c>
    </row>
    <row r="299" ht="15.6" spans="4:11">
      <c r="D299" s="3">
        <v>1297</v>
      </c>
      <c r="E299" s="3" t="s">
        <v>216</v>
      </c>
      <c r="J299" s="3" t="s">
        <v>541</v>
      </c>
      <c r="K299" s="3" t="s">
        <v>216</v>
      </c>
    </row>
    <row r="300" ht="15.6" spans="4:11">
      <c r="D300" s="3">
        <v>1298</v>
      </c>
      <c r="E300" s="3" t="s">
        <v>216</v>
      </c>
      <c r="J300" s="3" t="s">
        <v>542</v>
      </c>
      <c r="K300" s="3" t="s">
        <v>216</v>
      </c>
    </row>
    <row r="301" ht="15.6" spans="4:11">
      <c r="D301" s="3">
        <v>1299</v>
      </c>
      <c r="E301" s="3" t="s">
        <v>216</v>
      </c>
      <c r="J301" s="3" t="s">
        <v>543</v>
      </c>
      <c r="K301" s="3" t="s">
        <v>216</v>
      </c>
    </row>
    <row r="302" ht="15.6" spans="4:11">
      <c r="D302" s="3">
        <v>1300</v>
      </c>
      <c r="E302" s="3" t="s">
        <v>216</v>
      </c>
      <c r="J302" s="3" t="s">
        <v>544</v>
      </c>
      <c r="K302" s="3" t="s">
        <v>216</v>
      </c>
    </row>
    <row r="303" ht="15.6" spans="4:11">
      <c r="D303" s="3">
        <v>1301</v>
      </c>
      <c r="E303" s="3" t="s">
        <v>216</v>
      </c>
      <c r="J303" s="3" t="s">
        <v>545</v>
      </c>
      <c r="K303" s="3" t="s">
        <v>216</v>
      </c>
    </row>
    <row r="304" ht="15.6" spans="4:11">
      <c r="D304" s="3">
        <v>1302</v>
      </c>
      <c r="E304" s="3" t="s">
        <v>216</v>
      </c>
      <c r="J304" s="3" t="s">
        <v>546</v>
      </c>
      <c r="K304" s="3" t="s">
        <v>216</v>
      </c>
    </row>
    <row r="305" ht="15.6" spans="4:11">
      <c r="D305" s="3">
        <v>1303</v>
      </c>
      <c r="E305" s="3" t="s">
        <v>216</v>
      </c>
      <c r="J305" s="3" t="s">
        <v>547</v>
      </c>
      <c r="K305" s="3" t="s">
        <v>216</v>
      </c>
    </row>
    <row r="306" ht="15.6" spans="4:11">
      <c r="D306" s="3">
        <v>1304</v>
      </c>
      <c r="E306" s="3" t="s">
        <v>216</v>
      </c>
      <c r="J306" s="3" t="s">
        <v>548</v>
      </c>
      <c r="K306" s="3" t="s">
        <v>216</v>
      </c>
    </row>
    <row r="307" ht="15.6" spans="4:11">
      <c r="D307" s="3">
        <v>1305</v>
      </c>
      <c r="E307" s="3" t="s">
        <v>216</v>
      </c>
      <c r="J307" s="3" t="s">
        <v>549</v>
      </c>
      <c r="K307" s="3" t="s">
        <v>216</v>
      </c>
    </row>
    <row r="308" ht="15.6" spans="4:11">
      <c r="D308" s="3">
        <v>1306</v>
      </c>
      <c r="E308" s="3" t="s">
        <v>216</v>
      </c>
      <c r="J308" s="3" t="s">
        <v>550</v>
      </c>
      <c r="K308" s="3" t="s">
        <v>216</v>
      </c>
    </row>
    <row r="309" ht="15.6" spans="4:11">
      <c r="D309" s="3">
        <v>1307</v>
      </c>
      <c r="E309" s="3" t="s">
        <v>216</v>
      </c>
      <c r="J309" s="3" t="s">
        <v>551</v>
      </c>
      <c r="K309" s="3" t="s">
        <v>216</v>
      </c>
    </row>
    <row r="310" ht="15.6" spans="4:11">
      <c r="D310" s="3">
        <v>1308</v>
      </c>
      <c r="E310" s="3" t="s">
        <v>216</v>
      </c>
      <c r="J310" s="3" t="s">
        <v>552</v>
      </c>
      <c r="K310" s="3" t="s">
        <v>216</v>
      </c>
    </row>
    <row r="311" ht="15.6" spans="4:11">
      <c r="D311" s="3">
        <v>1309</v>
      </c>
      <c r="E311" s="3" t="s">
        <v>216</v>
      </c>
      <c r="J311" s="3" t="s">
        <v>553</v>
      </c>
      <c r="K311" s="3" t="s">
        <v>216</v>
      </c>
    </row>
    <row r="312" ht="15.6" spans="4:11">
      <c r="D312" s="3">
        <v>1310</v>
      </c>
      <c r="E312" s="3" t="s">
        <v>216</v>
      </c>
      <c r="J312" s="3" t="s">
        <v>554</v>
      </c>
      <c r="K312" s="3" t="s">
        <v>216</v>
      </c>
    </row>
    <row r="313" ht="15.6" spans="4:11">
      <c r="D313" s="3">
        <v>1311</v>
      </c>
      <c r="E313" s="3" t="s">
        <v>216</v>
      </c>
      <c r="J313" s="3" t="s">
        <v>555</v>
      </c>
      <c r="K313" s="3" t="s">
        <v>216</v>
      </c>
    </row>
    <row r="314" ht="15.6" spans="4:11">
      <c r="D314" s="3">
        <v>1312</v>
      </c>
      <c r="E314" s="3" t="s">
        <v>216</v>
      </c>
      <c r="J314" s="3" t="s">
        <v>556</v>
      </c>
      <c r="K314" s="3" t="s">
        <v>216</v>
      </c>
    </row>
    <row r="315" ht="15.6" spans="4:11">
      <c r="D315" s="3">
        <v>1313</v>
      </c>
      <c r="E315" s="3" t="s">
        <v>216</v>
      </c>
      <c r="J315" s="3" t="s">
        <v>557</v>
      </c>
      <c r="K315" s="3" t="s">
        <v>216</v>
      </c>
    </row>
    <row r="316" ht="15.6" spans="4:11">
      <c r="D316" s="3">
        <v>1314</v>
      </c>
      <c r="E316" s="3" t="s">
        <v>216</v>
      </c>
      <c r="J316" s="3" t="s">
        <v>558</v>
      </c>
      <c r="K316" s="3" t="s">
        <v>216</v>
      </c>
    </row>
    <row r="317" ht="15.6" spans="4:11">
      <c r="D317" s="3">
        <v>1315</v>
      </c>
      <c r="E317" s="3" t="s">
        <v>216</v>
      </c>
      <c r="J317" s="3" t="s">
        <v>559</v>
      </c>
      <c r="K317" s="3" t="s">
        <v>216</v>
      </c>
    </row>
    <row r="318" ht="15.6" spans="4:11">
      <c r="D318" s="3">
        <v>1316</v>
      </c>
      <c r="E318" s="3" t="s">
        <v>216</v>
      </c>
      <c r="J318" s="3" t="s">
        <v>560</v>
      </c>
      <c r="K318" s="3" t="s">
        <v>216</v>
      </c>
    </row>
    <row r="319" ht="15.6" spans="4:11">
      <c r="D319" s="3">
        <v>1317</v>
      </c>
      <c r="E319" s="3" t="s">
        <v>216</v>
      </c>
      <c r="J319" s="3" t="s">
        <v>561</v>
      </c>
      <c r="K319" s="3" t="s">
        <v>216</v>
      </c>
    </row>
    <row r="320" ht="15.6" spans="4:11">
      <c r="D320" s="3">
        <v>1318</v>
      </c>
      <c r="E320" s="3" t="s">
        <v>216</v>
      </c>
      <c r="J320" s="3" t="s">
        <v>562</v>
      </c>
      <c r="K320" s="3" t="s">
        <v>216</v>
      </c>
    </row>
    <row r="321" ht="15.6" spans="4:11">
      <c r="D321" s="3">
        <v>1319</v>
      </c>
      <c r="E321" s="3" t="s">
        <v>216</v>
      </c>
      <c r="J321" s="3" t="s">
        <v>563</v>
      </c>
      <c r="K321" s="3" t="s">
        <v>216</v>
      </c>
    </row>
    <row r="322" ht="15.6" spans="4:11">
      <c r="D322" s="3">
        <v>1320</v>
      </c>
      <c r="E322" s="3" t="s">
        <v>216</v>
      </c>
      <c r="J322" s="3" t="s">
        <v>564</v>
      </c>
      <c r="K322" s="3" t="s">
        <v>216</v>
      </c>
    </row>
    <row r="323" ht="15.6" spans="4:11">
      <c r="D323" s="3">
        <v>1321</v>
      </c>
      <c r="E323" s="3" t="s">
        <v>216</v>
      </c>
      <c r="J323" s="3" t="s">
        <v>565</v>
      </c>
      <c r="K323" s="3" t="s">
        <v>216</v>
      </c>
    </row>
    <row r="324" ht="15.6" spans="4:11">
      <c r="D324" s="3">
        <v>1322</v>
      </c>
      <c r="E324" s="3" t="s">
        <v>216</v>
      </c>
      <c r="J324" s="3" t="s">
        <v>566</v>
      </c>
      <c r="K324" s="3" t="s">
        <v>216</v>
      </c>
    </row>
    <row r="325" ht="15.6" spans="4:11">
      <c r="D325" s="3">
        <v>1323</v>
      </c>
      <c r="E325" s="3" t="s">
        <v>216</v>
      </c>
      <c r="J325" s="3" t="s">
        <v>567</v>
      </c>
      <c r="K325" s="3" t="s">
        <v>216</v>
      </c>
    </row>
    <row r="326" ht="15.6" spans="4:11">
      <c r="D326" s="3">
        <v>1324</v>
      </c>
      <c r="E326" s="3" t="s">
        <v>216</v>
      </c>
      <c r="J326" s="3" t="s">
        <v>568</v>
      </c>
      <c r="K326" s="3" t="s">
        <v>216</v>
      </c>
    </row>
    <row r="327" ht="15.6" spans="4:11">
      <c r="D327" s="3">
        <v>1325</v>
      </c>
      <c r="E327" s="3" t="s">
        <v>216</v>
      </c>
      <c r="J327" s="3" t="s">
        <v>569</v>
      </c>
      <c r="K327" s="3" t="s">
        <v>216</v>
      </c>
    </row>
    <row r="328" ht="15.6" spans="4:11">
      <c r="D328" s="3">
        <v>1326</v>
      </c>
      <c r="E328" s="3" t="s">
        <v>216</v>
      </c>
      <c r="J328" s="3" t="s">
        <v>570</v>
      </c>
      <c r="K328" s="3" t="s">
        <v>216</v>
      </c>
    </row>
    <row r="329" ht="15.6" spans="4:11">
      <c r="D329" s="3">
        <v>1327</v>
      </c>
      <c r="E329" s="3" t="s">
        <v>216</v>
      </c>
      <c r="J329" s="3" t="s">
        <v>571</v>
      </c>
      <c r="K329" s="3" t="s">
        <v>216</v>
      </c>
    </row>
    <row r="330" ht="15.6" spans="4:11">
      <c r="D330" s="3">
        <v>1328</v>
      </c>
      <c r="E330" s="3" t="s">
        <v>216</v>
      </c>
      <c r="J330" s="3" t="s">
        <v>572</v>
      </c>
      <c r="K330" s="3" t="s">
        <v>216</v>
      </c>
    </row>
    <row r="331" ht="15.6" spans="4:11">
      <c r="D331" s="3">
        <v>1329</v>
      </c>
      <c r="E331" s="3" t="s">
        <v>216</v>
      </c>
      <c r="J331" s="3" t="s">
        <v>573</v>
      </c>
      <c r="K331" s="3" t="s">
        <v>216</v>
      </c>
    </row>
    <row r="332" ht="15.6" spans="4:11">
      <c r="D332" s="3">
        <v>1330</v>
      </c>
      <c r="E332" s="3" t="s">
        <v>216</v>
      </c>
      <c r="J332" s="3" t="s">
        <v>574</v>
      </c>
      <c r="K332" s="3" t="s">
        <v>216</v>
      </c>
    </row>
    <row r="333" ht="15.6" spans="4:11">
      <c r="D333" s="3">
        <v>1331</v>
      </c>
      <c r="E333" s="3" t="s">
        <v>216</v>
      </c>
      <c r="J333" s="3" t="s">
        <v>575</v>
      </c>
      <c r="K333" s="3" t="s">
        <v>216</v>
      </c>
    </row>
    <row r="334" ht="15.6" spans="4:11">
      <c r="D334" s="3">
        <v>1332</v>
      </c>
      <c r="E334" s="3" t="s">
        <v>216</v>
      </c>
      <c r="J334" s="3" t="s">
        <v>576</v>
      </c>
      <c r="K334" s="3" t="s">
        <v>216</v>
      </c>
    </row>
    <row r="335" ht="15.6" spans="4:11">
      <c r="D335" s="3">
        <v>1333</v>
      </c>
      <c r="E335" s="3" t="s">
        <v>216</v>
      </c>
      <c r="J335" s="3" t="s">
        <v>577</v>
      </c>
      <c r="K335" s="3" t="s">
        <v>216</v>
      </c>
    </row>
    <row r="336" ht="15.6" spans="4:11">
      <c r="D336" s="3">
        <v>1334</v>
      </c>
      <c r="E336" s="3" t="s">
        <v>216</v>
      </c>
      <c r="J336" s="3" t="s">
        <v>578</v>
      </c>
      <c r="K336" s="3" t="s">
        <v>216</v>
      </c>
    </row>
    <row r="337" ht="15.6" spans="4:11">
      <c r="D337" s="3">
        <v>1335</v>
      </c>
      <c r="E337" s="3" t="s">
        <v>216</v>
      </c>
      <c r="J337" s="3" t="s">
        <v>579</v>
      </c>
      <c r="K337" s="3" t="s">
        <v>216</v>
      </c>
    </row>
    <row r="338" ht="15.6" spans="4:11">
      <c r="D338" s="3">
        <v>1336</v>
      </c>
      <c r="E338" s="3" t="s">
        <v>216</v>
      </c>
      <c r="J338" s="3" t="s">
        <v>580</v>
      </c>
      <c r="K338" s="3" t="s">
        <v>216</v>
      </c>
    </row>
    <row r="339" ht="15.6" spans="4:11">
      <c r="D339" s="3">
        <v>1337</v>
      </c>
      <c r="E339" s="3" t="s">
        <v>216</v>
      </c>
      <c r="J339" s="3" t="s">
        <v>581</v>
      </c>
      <c r="K339" s="3" t="s">
        <v>216</v>
      </c>
    </row>
    <row r="340" ht="15.6" spans="4:11">
      <c r="D340" s="3">
        <v>1338</v>
      </c>
      <c r="E340" s="3" t="s">
        <v>216</v>
      </c>
      <c r="J340" s="3" t="s">
        <v>582</v>
      </c>
      <c r="K340" s="3" t="s">
        <v>216</v>
      </c>
    </row>
    <row r="341" ht="15.6" spans="4:11">
      <c r="D341" s="3">
        <v>1339</v>
      </c>
      <c r="E341" s="3" t="s">
        <v>216</v>
      </c>
      <c r="J341" s="3" t="s">
        <v>583</v>
      </c>
      <c r="K341" s="3" t="s">
        <v>216</v>
      </c>
    </row>
    <row r="342" ht="15.6" spans="4:11">
      <c r="D342" s="3">
        <v>1340</v>
      </c>
      <c r="E342" s="3" t="s">
        <v>216</v>
      </c>
      <c r="J342" s="3" t="s">
        <v>584</v>
      </c>
      <c r="K342" s="3" t="s">
        <v>216</v>
      </c>
    </row>
    <row r="343" ht="15.6" spans="4:11">
      <c r="D343" s="3">
        <v>1341</v>
      </c>
      <c r="E343" s="3" t="s">
        <v>216</v>
      </c>
      <c r="J343" s="3" t="s">
        <v>585</v>
      </c>
      <c r="K343" s="3" t="s">
        <v>216</v>
      </c>
    </row>
    <row r="344" ht="15.6" spans="4:11">
      <c r="D344" s="3">
        <v>1342</v>
      </c>
      <c r="E344" s="3" t="s">
        <v>216</v>
      </c>
      <c r="J344" s="3" t="s">
        <v>586</v>
      </c>
      <c r="K344" s="3" t="s">
        <v>216</v>
      </c>
    </row>
    <row r="345" ht="15.6" spans="4:11">
      <c r="D345" s="3">
        <v>1343</v>
      </c>
      <c r="E345" s="3" t="s">
        <v>216</v>
      </c>
      <c r="J345" s="3" t="s">
        <v>587</v>
      </c>
      <c r="K345" s="3" t="s">
        <v>216</v>
      </c>
    </row>
    <row r="346" ht="15.6" spans="4:11">
      <c r="D346" s="3">
        <v>1344</v>
      </c>
      <c r="E346" s="3" t="s">
        <v>216</v>
      </c>
      <c r="J346" s="3" t="s">
        <v>588</v>
      </c>
      <c r="K346" s="3" t="s">
        <v>216</v>
      </c>
    </row>
    <row r="347" ht="15.6" spans="4:11">
      <c r="D347" s="3">
        <v>1345</v>
      </c>
      <c r="E347" s="3" t="s">
        <v>216</v>
      </c>
      <c r="J347" s="3" t="s">
        <v>589</v>
      </c>
      <c r="K347" s="3" t="s">
        <v>216</v>
      </c>
    </row>
    <row r="348" ht="15.6" spans="4:11">
      <c r="D348" s="3">
        <v>1346</v>
      </c>
      <c r="E348" s="3" t="s">
        <v>216</v>
      </c>
      <c r="J348" s="3" t="s">
        <v>590</v>
      </c>
      <c r="K348" s="3" t="s">
        <v>216</v>
      </c>
    </row>
    <row r="349" ht="15.6" spans="4:11">
      <c r="D349" s="3">
        <v>1347</v>
      </c>
      <c r="E349" s="3" t="s">
        <v>216</v>
      </c>
      <c r="J349" s="3" t="s">
        <v>591</v>
      </c>
      <c r="K349" s="3" t="s">
        <v>216</v>
      </c>
    </row>
    <row r="350" ht="15.6" spans="4:11">
      <c r="D350" s="3">
        <v>1348</v>
      </c>
      <c r="E350" s="3" t="s">
        <v>216</v>
      </c>
      <c r="J350" s="3" t="s">
        <v>592</v>
      </c>
      <c r="K350" s="3" t="s">
        <v>216</v>
      </c>
    </row>
    <row r="351" ht="15.6" spans="4:11">
      <c r="D351" s="3">
        <v>1349</v>
      </c>
      <c r="E351" s="3" t="s">
        <v>216</v>
      </c>
      <c r="J351" s="3" t="s">
        <v>593</v>
      </c>
      <c r="K351" s="3" t="s">
        <v>216</v>
      </c>
    </row>
    <row r="352" ht="15.6" spans="4:11">
      <c r="D352" s="3">
        <v>1350</v>
      </c>
      <c r="E352" s="3" t="s">
        <v>216</v>
      </c>
      <c r="J352" s="3" t="s">
        <v>594</v>
      </c>
      <c r="K352" s="3" t="s">
        <v>216</v>
      </c>
    </row>
    <row r="353" ht="15.6" spans="4:11">
      <c r="D353" s="3">
        <v>1351</v>
      </c>
      <c r="E353" s="3" t="s">
        <v>216</v>
      </c>
      <c r="J353" s="3" t="s">
        <v>595</v>
      </c>
      <c r="K353" s="3" t="s">
        <v>216</v>
      </c>
    </row>
    <row r="354" ht="15.6" spans="4:11">
      <c r="D354" s="3">
        <v>1352</v>
      </c>
      <c r="E354" s="3" t="s">
        <v>216</v>
      </c>
      <c r="J354" s="3" t="s">
        <v>596</v>
      </c>
      <c r="K354" s="3" t="s">
        <v>216</v>
      </c>
    </row>
    <row r="355" ht="15.6" spans="4:11">
      <c r="D355" s="3">
        <v>1353</v>
      </c>
      <c r="E355" s="3" t="s">
        <v>216</v>
      </c>
      <c r="J355" s="3" t="s">
        <v>597</v>
      </c>
      <c r="K355" s="3" t="s">
        <v>216</v>
      </c>
    </row>
    <row r="356" ht="15.6" spans="4:11">
      <c r="D356" s="3">
        <v>1354</v>
      </c>
      <c r="E356" s="3" t="s">
        <v>216</v>
      </c>
      <c r="J356" s="3" t="s">
        <v>598</v>
      </c>
      <c r="K356" s="3" t="s">
        <v>216</v>
      </c>
    </row>
    <row r="357" ht="15.6" spans="4:11">
      <c r="D357" s="3">
        <v>1355</v>
      </c>
      <c r="E357" s="3" t="s">
        <v>216</v>
      </c>
      <c r="J357" s="3" t="s">
        <v>599</v>
      </c>
      <c r="K357" s="3" t="s">
        <v>216</v>
      </c>
    </row>
    <row r="358" ht="15.6" spans="4:11">
      <c r="D358" s="3">
        <v>1356</v>
      </c>
      <c r="E358" s="3" t="s">
        <v>216</v>
      </c>
      <c r="J358" s="3" t="s">
        <v>600</v>
      </c>
      <c r="K358" s="3" t="s">
        <v>216</v>
      </c>
    </row>
    <row r="359" ht="15.6" spans="4:11">
      <c r="D359" s="3">
        <v>1357</v>
      </c>
      <c r="E359" s="3" t="s">
        <v>216</v>
      </c>
      <c r="J359" s="3" t="s">
        <v>601</v>
      </c>
      <c r="K359" s="3" t="s">
        <v>216</v>
      </c>
    </row>
    <row r="360" ht="15.6" spans="4:11">
      <c r="D360" s="3">
        <v>1358</v>
      </c>
      <c r="E360" s="3" t="s">
        <v>216</v>
      </c>
      <c r="J360" s="3" t="s">
        <v>602</v>
      </c>
      <c r="K360" s="3" t="s">
        <v>216</v>
      </c>
    </row>
    <row r="361" ht="15.6" spans="4:11">
      <c r="D361" s="3">
        <v>1359</v>
      </c>
      <c r="E361" s="3" t="s">
        <v>216</v>
      </c>
      <c r="J361" s="3" t="s">
        <v>603</v>
      </c>
      <c r="K361" s="3" t="s">
        <v>216</v>
      </c>
    </row>
    <row r="362" ht="15.6" spans="4:11">
      <c r="D362" s="3">
        <v>1360</v>
      </c>
      <c r="E362" s="3" t="s">
        <v>216</v>
      </c>
      <c r="J362" s="3" t="s">
        <v>604</v>
      </c>
      <c r="K362" s="3" t="s">
        <v>216</v>
      </c>
    </row>
    <row r="363" ht="15.6" spans="4:11">
      <c r="D363" s="3">
        <v>1361</v>
      </c>
      <c r="E363" s="3" t="s">
        <v>216</v>
      </c>
      <c r="J363" s="3" t="s">
        <v>605</v>
      </c>
      <c r="K363" s="3" t="s">
        <v>216</v>
      </c>
    </row>
    <row r="364" ht="15.6" spans="4:11">
      <c r="D364" s="3">
        <v>1362</v>
      </c>
      <c r="E364" s="3" t="s">
        <v>216</v>
      </c>
      <c r="J364" s="3" t="s">
        <v>606</v>
      </c>
      <c r="K364" s="3" t="s">
        <v>216</v>
      </c>
    </row>
    <row r="365" ht="15.6" spans="4:11">
      <c r="D365" s="3">
        <v>1363</v>
      </c>
      <c r="E365" s="3" t="s">
        <v>216</v>
      </c>
      <c r="J365" s="3" t="s">
        <v>607</v>
      </c>
      <c r="K365" s="3" t="s">
        <v>216</v>
      </c>
    </row>
    <row r="366" ht="15.6" spans="4:11">
      <c r="D366" s="3">
        <v>1364</v>
      </c>
      <c r="E366" s="3" t="s">
        <v>216</v>
      </c>
      <c r="J366" s="3" t="s">
        <v>608</v>
      </c>
      <c r="K366" s="3" t="s">
        <v>216</v>
      </c>
    </row>
    <row r="367" ht="15.6" spans="4:11">
      <c r="D367" s="3">
        <v>1365</v>
      </c>
      <c r="E367" s="3" t="s">
        <v>216</v>
      </c>
      <c r="J367" s="3" t="s">
        <v>609</v>
      </c>
      <c r="K367" s="3" t="s">
        <v>216</v>
      </c>
    </row>
    <row r="368" ht="15.6" spans="4:11">
      <c r="D368" s="3">
        <v>1366</v>
      </c>
      <c r="E368" s="3" t="s">
        <v>216</v>
      </c>
      <c r="J368" s="3" t="s">
        <v>610</v>
      </c>
      <c r="K368" s="3" t="s">
        <v>216</v>
      </c>
    </row>
    <row r="369" ht="15.6" spans="4:11">
      <c r="D369" s="3">
        <v>1367</v>
      </c>
      <c r="E369" s="3" t="s">
        <v>216</v>
      </c>
      <c r="J369" s="3" t="s">
        <v>611</v>
      </c>
      <c r="K369" s="3" t="s">
        <v>216</v>
      </c>
    </row>
    <row r="370" ht="15.6" spans="4:11">
      <c r="D370" s="3">
        <v>1368</v>
      </c>
      <c r="E370" s="3" t="s">
        <v>216</v>
      </c>
      <c r="J370" s="3" t="s">
        <v>612</v>
      </c>
      <c r="K370" s="3" t="s">
        <v>216</v>
      </c>
    </row>
    <row r="371" ht="15.6" spans="4:11">
      <c r="D371" s="3">
        <v>1369</v>
      </c>
      <c r="E371" s="3" t="s">
        <v>216</v>
      </c>
      <c r="J371" s="3" t="s">
        <v>613</v>
      </c>
      <c r="K371" s="3" t="s">
        <v>216</v>
      </c>
    </row>
    <row r="372" ht="15.6" spans="4:11">
      <c r="D372" s="3">
        <v>1370</v>
      </c>
      <c r="E372" s="3" t="s">
        <v>216</v>
      </c>
      <c r="J372" s="3" t="s">
        <v>614</v>
      </c>
      <c r="K372" s="3" t="s">
        <v>216</v>
      </c>
    </row>
    <row r="373" ht="15.6" spans="4:11">
      <c r="D373" s="3">
        <v>1371</v>
      </c>
      <c r="E373" s="3" t="s">
        <v>216</v>
      </c>
      <c r="J373" s="3" t="s">
        <v>615</v>
      </c>
      <c r="K373" s="3" t="s">
        <v>216</v>
      </c>
    </row>
    <row r="374" ht="15.6" spans="4:11">
      <c r="D374" s="3">
        <v>1372</v>
      </c>
      <c r="E374" s="3" t="s">
        <v>216</v>
      </c>
      <c r="J374" s="3" t="s">
        <v>616</v>
      </c>
      <c r="K374" s="3" t="s">
        <v>216</v>
      </c>
    </row>
    <row r="375" ht="15.6" spans="4:11">
      <c r="D375" s="3">
        <v>1373</v>
      </c>
      <c r="E375" s="3" t="s">
        <v>216</v>
      </c>
      <c r="J375" s="3" t="s">
        <v>617</v>
      </c>
      <c r="K375" s="3" t="s">
        <v>216</v>
      </c>
    </row>
    <row r="376" ht="15.6" spans="4:11">
      <c r="D376" s="3">
        <v>1374</v>
      </c>
      <c r="E376" s="3" t="s">
        <v>216</v>
      </c>
      <c r="J376" s="3" t="s">
        <v>618</v>
      </c>
      <c r="K376" s="3" t="s">
        <v>216</v>
      </c>
    </row>
    <row r="377" ht="15.6" spans="4:11">
      <c r="D377" s="3">
        <v>1375</v>
      </c>
      <c r="E377" s="3" t="s">
        <v>216</v>
      </c>
      <c r="J377" s="3" t="s">
        <v>619</v>
      </c>
      <c r="K377" s="3" t="s">
        <v>216</v>
      </c>
    </row>
    <row r="378" ht="15.6" spans="4:11">
      <c r="D378" s="3">
        <v>1376</v>
      </c>
      <c r="E378" s="3" t="s">
        <v>216</v>
      </c>
      <c r="J378" s="3" t="s">
        <v>620</v>
      </c>
      <c r="K378" s="3" t="s">
        <v>216</v>
      </c>
    </row>
    <row r="379" ht="15.6" spans="4:11">
      <c r="D379" s="3">
        <v>1377</v>
      </c>
      <c r="E379" s="3" t="s">
        <v>216</v>
      </c>
      <c r="J379" s="3" t="s">
        <v>621</v>
      </c>
      <c r="K379" s="3" t="s">
        <v>216</v>
      </c>
    </row>
    <row r="380" ht="15.6" spans="4:11">
      <c r="D380" s="3">
        <v>1378</v>
      </c>
      <c r="E380" s="3" t="s">
        <v>216</v>
      </c>
      <c r="J380" s="3" t="s">
        <v>622</v>
      </c>
      <c r="K380" s="3" t="s">
        <v>216</v>
      </c>
    </row>
    <row r="381" ht="15.6" spans="4:11">
      <c r="D381" s="3">
        <v>1379</v>
      </c>
      <c r="E381" s="3" t="s">
        <v>216</v>
      </c>
      <c r="J381" s="3" t="s">
        <v>623</v>
      </c>
      <c r="K381" s="3" t="s">
        <v>216</v>
      </c>
    </row>
    <row r="382" ht="15.6" spans="4:11">
      <c r="D382" s="3">
        <v>1380</v>
      </c>
      <c r="E382" s="3" t="s">
        <v>216</v>
      </c>
      <c r="J382" s="3" t="s">
        <v>624</v>
      </c>
      <c r="K382" s="3" t="s">
        <v>216</v>
      </c>
    </row>
    <row r="383" ht="15.6" spans="4:11">
      <c r="D383" s="3">
        <v>1381</v>
      </c>
      <c r="E383" s="3" t="s">
        <v>216</v>
      </c>
      <c r="J383" s="3" t="s">
        <v>625</v>
      </c>
      <c r="K383" s="3" t="s">
        <v>216</v>
      </c>
    </row>
    <row r="384" ht="15.6" spans="4:11">
      <c r="D384" s="3">
        <v>1382</v>
      </c>
      <c r="E384" s="3" t="s">
        <v>216</v>
      </c>
      <c r="J384" s="3" t="s">
        <v>626</v>
      </c>
      <c r="K384" s="3" t="s">
        <v>216</v>
      </c>
    </row>
    <row r="385" ht="15.6" spans="4:11">
      <c r="D385" s="3">
        <v>1383</v>
      </c>
      <c r="E385" s="3" t="s">
        <v>216</v>
      </c>
      <c r="J385" s="3" t="s">
        <v>627</v>
      </c>
      <c r="K385" s="3" t="s">
        <v>216</v>
      </c>
    </row>
    <row r="386" ht="15.6" spans="4:11">
      <c r="D386" s="3">
        <v>1384</v>
      </c>
      <c r="E386" s="3" t="s">
        <v>216</v>
      </c>
      <c r="J386" s="3" t="s">
        <v>628</v>
      </c>
      <c r="K386" s="3" t="s">
        <v>216</v>
      </c>
    </row>
    <row r="387" ht="15.6" spans="4:11">
      <c r="D387" s="3">
        <v>1385</v>
      </c>
      <c r="E387" s="3" t="s">
        <v>216</v>
      </c>
      <c r="J387" s="3" t="s">
        <v>629</v>
      </c>
      <c r="K387" s="3" t="s">
        <v>216</v>
      </c>
    </row>
    <row r="388" ht="15.6" spans="4:11">
      <c r="D388" s="3">
        <v>1386</v>
      </c>
      <c r="E388" s="3" t="s">
        <v>216</v>
      </c>
      <c r="J388" s="3" t="s">
        <v>630</v>
      </c>
      <c r="K388" s="3" t="s">
        <v>216</v>
      </c>
    </row>
    <row r="389" ht="15.6" spans="4:11">
      <c r="D389" s="3">
        <v>1387</v>
      </c>
      <c r="E389" s="3" t="s">
        <v>216</v>
      </c>
      <c r="J389" s="3" t="s">
        <v>631</v>
      </c>
      <c r="K389" s="3" t="s">
        <v>216</v>
      </c>
    </row>
    <row r="390" ht="15.6" spans="4:11">
      <c r="D390" s="3">
        <v>1388</v>
      </c>
      <c r="E390" s="3" t="s">
        <v>216</v>
      </c>
      <c r="J390" s="3" t="s">
        <v>632</v>
      </c>
      <c r="K390" s="3" t="s">
        <v>216</v>
      </c>
    </row>
    <row r="391" ht="15.6" spans="4:11">
      <c r="D391" s="3">
        <v>1389</v>
      </c>
      <c r="E391" s="3" t="s">
        <v>216</v>
      </c>
      <c r="J391" s="3" t="s">
        <v>633</v>
      </c>
      <c r="K391" s="3" t="s">
        <v>216</v>
      </c>
    </row>
    <row r="392" ht="15.6" spans="4:11">
      <c r="D392" s="3">
        <v>1390</v>
      </c>
      <c r="E392" s="3" t="s">
        <v>216</v>
      </c>
      <c r="J392" s="3" t="s">
        <v>634</v>
      </c>
      <c r="K392" s="3" t="s">
        <v>216</v>
      </c>
    </row>
    <row r="393" ht="15.6" spans="4:11">
      <c r="D393" s="3">
        <v>1391</v>
      </c>
      <c r="E393" s="3" t="s">
        <v>216</v>
      </c>
      <c r="J393" s="3" t="s">
        <v>635</v>
      </c>
      <c r="K393" s="3" t="s">
        <v>216</v>
      </c>
    </row>
    <row r="394" ht="15.6" spans="4:11">
      <c r="D394" s="3">
        <v>1392</v>
      </c>
      <c r="E394" s="3" t="s">
        <v>216</v>
      </c>
      <c r="J394" s="3" t="s">
        <v>636</v>
      </c>
      <c r="K394" s="3" t="s">
        <v>216</v>
      </c>
    </row>
    <row r="395" ht="15.6" spans="4:11">
      <c r="D395" s="3">
        <v>1393</v>
      </c>
      <c r="E395" s="3" t="s">
        <v>216</v>
      </c>
      <c r="J395" s="3" t="s">
        <v>637</v>
      </c>
      <c r="K395" s="3" t="s">
        <v>216</v>
      </c>
    </row>
    <row r="396" ht="15.6" spans="4:11">
      <c r="D396" s="3">
        <v>1394</v>
      </c>
      <c r="E396" s="3" t="s">
        <v>216</v>
      </c>
      <c r="J396" s="3" t="s">
        <v>638</v>
      </c>
      <c r="K396" s="3" t="s">
        <v>216</v>
      </c>
    </row>
    <row r="397" ht="15.6" spans="4:11">
      <c r="D397" s="3">
        <v>1395</v>
      </c>
      <c r="E397" s="3" t="s">
        <v>216</v>
      </c>
      <c r="J397" s="3" t="s">
        <v>639</v>
      </c>
      <c r="K397" s="3" t="s">
        <v>216</v>
      </c>
    </row>
    <row r="398" ht="15.6" spans="4:11">
      <c r="D398" s="3">
        <v>1396</v>
      </c>
      <c r="E398" s="3" t="s">
        <v>216</v>
      </c>
      <c r="J398" s="3" t="s">
        <v>640</v>
      </c>
      <c r="K398" s="3" t="s">
        <v>216</v>
      </c>
    </row>
    <row r="399" ht="15.6" spans="4:11">
      <c r="D399" s="3">
        <v>1397</v>
      </c>
      <c r="E399" s="3" t="s">
        <v>216</v>
      </c>
      <c r="J399" s="3" t="s">
        <v>641</v>
      </c>
      <c r="K399" s="3" t="s">
        <v>216</v>
      </c>
    </row>
    <row r="400" ht="15.6" spans="4:11">
      <c r="D400" s="3">
        <v>1398</v>
      </c>
      <c r="E400" s="3" t="s">
        <v>216</v>
      </c>
      <c r="J400" s="3" t="s">
        <v>642</v>
      </c>
      <c r="K400" s="3" t="s">
        <v>216</v>
      </c>
    </row>
    <row r="401" ht="15.6" spans="4:11">
      <c r="D401" s="3">
        <v>1399</v>
      </c>
      <c r="E401" s="3" t="s">
        <v>216</v>
      </c>
      <c r="J401" s="3" t="s">
        <v>643</v>
      </c>
      <c r="K401" s="3" t="s">
        <v>216</v>
      </c>
    </row>
    <row r="402" ht="15.6" spans="4:11">
      <c r="D402" s="3">
        <v>1400</v>
      </c>
      <c r="E402" s="3" t="s">
        <v>216</v>
      </c>
      <c r="J402" s="3" t="s">
        <v>644</v>
      </c>
      <c r="K402" s="3" t="s">
        <v>216</v>
      </c>
    </row>
    <row r="403" ht="15.6" spans="4:11">
      <c r="D403" s="3">
        <v>1401</v>
      </c>
      <c r="E403" s="3" t="s">
        <v>216</v>
      </c>
      <c r="J403" s="3" t="s">
        <v>645</v>
      </c>
      <c r="K403" s="3" t="s">
        <v>216</v>
      </c>
    </row>
    <row r="404" ht="15.6" spans="4:11">
      <c r="D404" s="3">
        <v>1402</v>
      </c>
      <c r="E404" s="3" t="s">
        <v>216</v>
      </c>
      <c r="J404" s="3" t="s">
        <v>646</v>
      </c>
      <c r="K404" s="3" t="s">
        <v>216</v>
      </c>
    </row>
    <row r="405" ht="15.6" spans="4:11">
      <c r="D405" s="3">
        <v>1403</v>
      </c>
      <c r="E405" s="3" t="s">
        <v>216</v>
      </c>
      <c r="J405" s="3" t="s">
        <v>647</v>
      </c>
      <c r="K405" s="3" t="s">
        <v>216</v>
      </c>
    </row>
    <row r="406" ht="15.6" spans="4:11">
      <c r="D406" s="3">
        <v>1404</v>
      </c>
      <c r="E406" s="3" t="s">
        <v>216</v>
      </c>
      <c r="J406" s="3" t="s">
        <v>648</v>
      </c>
      <c r="K406" s="3" t="s">
        <v>216</v>
      </c>
    </row>
    <row r="407" ht="15.6" spans="4:11">
      <c r="D407" s="3">
        <v>1405</v>
      </c>
      <c r="E407" s="3" t="s">
        <v>216</v>
      </c>
      <c r="J407" s="3" t="s">
        <v>649</v>
      </c>
      <c r="K407" s="3" t="s">
        <v>216</v>
      </c>
    </row>
    <row r="408" ht="15.6" spans="4:11">
      <c r="D408" s="3">
        <v>1406</v>
      </c>
      <c r="E408" s="3" t="s">
        <v>216</v>
      </c>
      <c r="J408" s="3" t="s">
        <v>650</v>
      </c>
      <c r="K408" s="3" t="s">
        <v>216</v>
      </c>
    </row>
    <row r="409" ht="15.6" spans="4:11">
      <c r="D409" s="3">
        <v>1407</v>
      </c>
      <c r="E409" s="3" t="s">
        <v>216</v>
      </c>
      <c r="J409" s="3" t="s">
        <v>651</v>
      </c>
      <c r="K409" s="3" t="s">
        <v>216</v>
      </c>
    </row>
    <row r="410" ht="15.6" spans="4:11">
      <c r="D410" s="3">
        <v>1408</v>
      </c>
      <c r="E410" s="3" t="s">
        <v>216</v>
      </c>
      <c r="J410" s="3" t="s">
        <v>652</v>
      </c>
      <c r="K410" s="3" t="s">
        <v>216</v>
      </c>
    </row>
    <row r="411" ht="15.6" spans="4:11">
      <c r="D411" s="3">
        <v>1409</v>
      </c>
      <c r="E411" s="3" t="s">
        <v>216</v>
      </c>
      <c r="J411" s="3" t="s">
        <v>653</v>
      </c>
      <c r="K411" s="3" t="s">
        <v>216</v>
      </c>
    </row>
    <row r="412" ht="15.6" spans="4:11">
      <c r="D412" s="3">
        <v>1410</v>
      </c>
      <c r="E412" s="3" t="s">
        <v>216</v>
      </c>
      <c r="J412" s="3" t="s">
        <v>654</v>
      </c>
      <c r="K412" s="3" t="s">
        <v>216</v>
      </c>
    </row>
    <row r="413" ht="15.6" spans="4:11">
      <c r="D413" s="3">
        <v>1411</v>
      </c>
      <c r="E413" s="3" t="s">
        <v>216</v>
      </c>
      <c r="J413" s="3" t="s">
        <v>655</v>
      </c>
      <c r="K413" s="3" t="s">
        <v>216</v>
      </c>
    </row>
    <row r="414" ht="15.6" spans="4:11">
      <c r="D414" s="3">
        <v>1412</v>
      </c>
      <c r="E414" s="3" t="s">
        <v>216</v>
      </c>
      <c r="J414" s="3" t="s">
        <v>656</v>
      </c>
      <c r="K414" s="3" t="s">
        <v>216</v>
      </c>
    </row>
    <row r="415" ht="15.6" spans="4:11">
      <c r="D415" s="3">
        <v>1413</v>
      </c>
      <c r="E415" s="3" t="s">
        <v>216</v>
      </c>
      <c r="J415" s="3" t="s">
        <v>657</v>
      </c>
      <c r="K415" s="3" t="s">
        <v>216</v>
      </c>
    </row>
    <row r="416" ht="15.6" spans="4:11">
      <c r="D416" s="3">
        <v>1414</v>
      </c>
      <c r="E416" s="3" t="s">
        <v>216</v>
      </c>
      <c r="J416" s="3" t="s">
        <v>658</v>
      </c>
      <c r="K416" s="3" t="s">
        <v>216</v>
      </c>
    </row>
    <row r="417" ht="15.6" spans="4:11">
      <c r="D417" s="3">
        <v>1415</v>
      </c>
      <c r="E417" s="3" t="s">
        <v>216</v>
      </c>
      <c r="J417" s="3" t="s">
        <v>659</v>
      </c>
      <c r="K417" s="3" t="s">
        <v>216</v>
      </c>
    </row>
    <row r="418" ht="15.6" spans="4:11">
      <c r="D418" s="3">
        <v>1416</v>
      </c>
      <c r="E418" s="3" t="s">
        <v>216</v>
      </c>
      <c r="J418" s="3" t="s">
        <v>660</v>
      </c>
      <c r="K418" s="3" t="s">
        <v>216</v>
      </c>
    </row>
    <row r="419" ht="15.6" spans="4:11">
      <c r="D419" s="3">
        <v>1417</v>
      </c>
      <c r="E419" s="3" t="s">
        <v>216</v>
      </c>
      <c r="J419" s="3" t="s">
        <v>661</v>
      </c>
      <c r="K419" s="3" t="s">
        <v>216</v>
      </c>
    </row>
    <row r="420" ht="15.6" spans="4:11">
      <c r="D420" s="3">
        <v>1418</v>
      </c>
      <c r="E420" s="3" t="s">
        <v>216</v>
      </c>
      <c r="J420" s="3" t="s">
        <v>662</v>
      </c>
      <c r="K420" s="3" t="s">
        <v>216</v>
      </c>
    </row>
    <row r="421" ht="15.6" spans="4:11">
      <c r="D421" s="3">
        <v>1419</v>
      </c>
      <c r="E421" s="3" t="s">
        <v>216</v>
      </c>
      <c r="J421" s="3" t="s">
        <v>663</v>
      </c>
      <c r="K421" s="3" t="s">
        <v>216</v>
      </c>
    </row>
    <row r="422" ht="15.6" spans="4:11">
      <c r="D422" s="3">
        <v>1420</v>
      </c>
      <c r="E422" s="3" t="s">
        <v>216</v>
      </c>
      <c r="J422" s="3" t="s">
        <v>664</v>
      </c>
      <c r="K422" s="3" t="s">
        <v>216</v>
      </c>
    </row>
    <row r="423" ht="15.6" spans="4:11">
      <c r="D423" s="3">
        <v>1421</v>
      </c>
      <c r="E423" s="3" t="s">
        <v>216</v>
      </c>
      <c r="J423" s="3" t="s">
        <v>665</v>
      </c>
      <c r="K423" s="3" t="s">
        <v>216</v>
      </c>
    </row>
    <row r="424" ht="15.6" spans="4:11">
      <c r="D424" s="3">
        <v>1422</v>
      </c>
      <c r="E424" s="3" t="s">
        <v>216</v>
      </c>
      <c r="J424" s="3" t="s">
        <v>666</v>
      </c>
      <c r="K424" s="3" t="s">
        <v>216</v>
      </c>
    </row>
    <row r="425" ht="15.6" spans="4:11">
      <c r="D425" s="3">
        <v>1423</v>
      </c>
      <c r="E425" s="3" t="s">
        <v>216</v>
      </c>
      <c r="J425" s="3" t="s">
        <v>667</v>
      </c>
      <c r="K425" s="3" t="s">
        <v>216</v>
      </c>
    </row>
    <row r="426" ht="15.6" spans="4:11">
      <c r="D426" s="3">
        <v>1424</v>
      </c>
      <c r="E426" s="3" t="s">
        <v>216</v>
      </c>
      <c r="J426" s="3" t="s">
        <v>668</v>
      </c>
      <c r="K426" s="3" t="s">
        <v>216</v>
      </c>
    </row>
    <row r="427" ht="15.6" spans="4:11">
      <c r="D427" s="3">
        <v>1425</v>
      </c>
      <c r="E427" s="3" t="s">
        <v>216</v>
      </c>
      <c r="J427" s="3" t="s">
        <v>669</v>
      </c>
      <c r="K427" s="3" t="s">
        <v>216</v>
      </c>
    </row>
    <row r="428" ht="15.6" spans="4:11">
      <c r="D428" s="3">
        <v>1426</v>
      </c>
      <c r="E428" s="3" t="s">
        <v>216</v>
      </c>
      <c r="J428" s="3" t="s">
        <v>670</v>
      </c>
      <c r="K428" s="3" t="s">
        <v>216</v>
      </c>
    </row>
    <row r="429" ht="15.6" spans="4:11">
      <c r="D429" s="3">
        <v>1427</v>
      </c>
      <c r="E429" s="3" t="s">
        <v>216</v>
      </c>
      <c r="J429" s="3" t="s">
        <v>671</v>
      </c>
      <c r="K429" s="3" t="s">
        <v>216</v>
      </c>
    </row>
    <row r="430" ht="15.6" spans="4:11">
      <c r="D430" s="3">
        <v>1428</v>
      </c>
      <c r="E430" s="3" t="s">
        <v>216</v>
      </c>
      <c r="J430" s="3" t="s">
        <v>672</v>
      </c>
      <c r="K430" s="3" t="s">
        <v>216</v>
      </c>
    </row>
    <row r="431" ht="15.6" spans="4:11">
      <c r="D431" s="3">
        <v>1429</v>
      </c>
      <c r="E431" s="3" t="s">
        <v>216</v>
      </c>
      <c r="J431" s="3" t="s">
        <v>673</v>
      </c>
      <c r="K431" s="3" t="s">
        <v>216</v>
      </c>
    </row>
    <row r="432" ht="15.6" spans="4:11">
      <c r="D432" s="3">
        <v>1430</v>
      </c>
      <c r="E432" s="3" t="s">
        <v>216</v>
      </c>
      <c r="J432" s="3" t="s">
        <v>674</v>
      </c>
      <c r="K432" s="3" t="s">
        <v>216</v>
      </c>
    </row>
    <row r="433" ht="15.6" spans="4:11">
      <c r="D433" s="3">
        <v>1431</v>
      </c>
      <c r="E433" s="3" t="s">
        <v>216</v>
      </c>
      <c r="J433" s="3" t="s">
        <v>675</v>
      </c>
      <c r="K433" s="3" t="s">
        <v>216</v>
      </c>
    </row>
    <row r="434" ht="15.6" spans="4:11">
      <c r="D434" s="3">
        <v>1432</v>
      </c>
      <c r="E434" s="3" t="s">
        <v>216</v>
      </c>
      <c r="J434" s="3" t="s">
        <v>676</v>
      </c>
      <c r="K434" s="3" t="s">
        <v>216</v>
      </c>
    </row>
    <row r="435" ht="15.6" spans="4:11">
      <c r="D435" s="3">
        <v>1433</v>
      </c>
      <c r="E435" s="3" t="s">
        <v>216</v>
      </c>
      <c r="J435" s="3" t="s">
        <v>677</v>
      </c>
      <c r="K435" s="3" t="s">
        <v>216</v>
      </c>
    </row>
    <row r="436" ht="15.6" spans="4:11">
      <c r="D436" s="3">
        <v>1434</v>
      </c>
      <c r="E436" s="3" t="s">
        <v>216</v>
      </c>
      <c r="J436" s="3" t="s">
        <v>678</v>
      </c>
      <c r="K436" s="3" t="s">
        <v>216</v>
      </c>
    </row>
    <row r="437" ht="15.6" spans="4:11">
      <c r="D437" s="3">
        <v>1435</v>
      </c>
      <c r="E437" s="3" t="s">
        <v>216</v>
      </c>
      <c r="J437" s="3" t="s">
        <v>679</v>
      </c>
      <c r="K437" s="3" t="s">
        <v>216</v>
      </c>
    </row>
    <row r="438" ht="15.6" spans="4:11">
      <c r="D438" s="3">
        <v>1436</v>
      </c>
      <c r="E438" s="3" t="s">
        <v>216</v>
      </c>
      <c r="J438" s="3" t="s">
        <v>680</v>
      </c>
      <c r="K438" s="3" t="s">
        <v>216</v>
      </c>
    </row>
    <row r="439" ht="15.6" spans="4:11">
      <c r="D439" s="3">
        <v>1437</v>
      </c>
      <c r="E439" s="3" t="s">
        <v>216</v>
      </c>
      <c r="J439" s="3" t="s">
        <v>681</v>
      </c>
      <c r="K439" s="3" t="s">
        <v>216</v>
      </c>
    </row>
    <row r="440" ht="15.6" spans="4:11">
      <c r="D440" s="3">
        <v>1438</v>
      </c>
      <c r="E440" s="3" t="s">
        <v>216</v>
      </c>
      <c r="J440" s="3" t="s">
        <v>682</v>
      </c>
      <c r="K440" s="3" t="s">
        <v>216</v>
      </c>
    </row>
    <row r="441" ht="15.6" spans="4:11">
      <c r="D441" s="3">
        <v>1439</v>
      </c>
      <c r="E441" s="3" t="s">
        <v>216</v>
      </c>
      <c r="J441" s="3" t="s">
        <v>683</v>
      </c>
      <c r="K441" s="3" t="s">
        <v>216</v>
      </c>
    </row>
    <row r="442" ht="15.6" spans="4:11">
      <c r="D442" s="3">
        <v>1440</v>
      </c>
      <c r="E442" s="3" t="s">
        <v>216</v>
      </c>
      <c r="J442" s="3" t="s">
        <v>684</v>
      </c>
      <c r="K442" s="3" t="s">
        <v>216</v>
      </c>
    </row>
    <row r="443" ht="15.6" spans="4:11">
      <c r="D443" s="3">
        <v>1441</v>
      </c>
      <c r="E443" s="3" t="s">
        <v>216</v>
      </c>
      <c r="J443" s="3" t="s">
        <v>685</v>
      </c>
      <c r="K443" s="3" t="s">
        <v>216</v>
      </c>
    </row>
    <row r="444" ht="15.6" spans="4:11">
      <c r="D444" s="3">
        <v>1442</v>
      </c>
      <c r="E444" s="3" t="s">
        <v>216</v>
      </c>
      <c r="J444" s="3" t="s">
        <v>686</v>
      </c>
      <c r="K444" s="3" t="s">
        <v>216</v>
      </c>
    </row>
    <row r="445" ht="15.6" spans="4:11">
      <c r="D445" s="3">
        <v>1443</v>
      </c>
      <c r="E445" s="3" t="s">
        <v>216</v>
      </c>
      <c r="J445" s="3" t="s">
        <v>687</v>
      </c>
      <c r="K445" s="3" t="s">
        <v>216</v>
      </c>
    </row>
    <row r="446" ht="15.6" spans="4:11">
      <c r="D446" s="3">
        <v>1444</v>
      </c>
      <c r="E446" s="3" t="s">
        <v>216</v>
      </c>
      <c r="J446" s="3" t="s">
        <v>688</v>
      </c>
      <c r="K446" s="3" t="s">
        <v>216</v>
      </c>
    </row>
    <row r="447" ht="15.6" spans="4:11">
      <c r="D447" s="3">
        <v>1445</v>
      </c>
      <c r="E447" s="3" t="s">
        <v>216</v>
      </c>
      <c r="J447" s="3" t="s">
        <v>689</v>
      </c>
      <c r="K447" s="3" t="s">
        <v>216</v>
      </c>
    </row>
    <row r="448" ht="15.6" spans="4:11">
      <c r="D448" s="3">
        <v>1446</v>
      </c>
      <c r="E448" s="3" t="s">
        <v>216</v>
      </c>
      <c r="J448" s="3" t="s">
        <v>690</v>
      </c>
      <c r="K448" s="3" t="s">
        <v>216</v>
      </c>
    </row>
    <row r="449" ht="15.6" spans="4:11">
      <c r="D449" s="3">
        <v>1447</v>
      </c>
      <c r="E449" s="3" t="s">
        <v>216</v>
      </c>
      <c r="J449" s="3" t="s">
        <v>691</v>
      </c>
      <c r="K449" s="3" t="s">
        <v>216</v>
      </c>
    </row>
    <row r="450" ht="15.6" spans="4:11">
      <c r="D450" s="3">
        <v>1448</v>
      </c>
      <c r="E450" s="3" t="s">
        <v>216</v>
      </c>
      <c r="J450" s="3" t="s">
        <v>692</v>
      </c>
      <c r="K450" s="3" t="s">
        <v>216</v>
      </c>
    </row>
    <row r="451" ht="15.6" spans="4:11">
      <c r="D451" s="3">
        <v>1449</v>
      </c>
      <c r="E451" s="3" t="s">
        <v>216</v>
      </c>
      <c r="J451" s="3" t="s">
        <v>693</v>
      </c>
      <c r="K451" s="3" t="s">
        <v>216</v>
      </c>
    </row>
    <row r="452" ht="15.6" spans="4:11">
      <c r="D452" s="3">
        <v>1450</v>
      </c>
      <c r="E452" s="3" t="s">
        <v>216</v>
      </c>
      <c r="J452" s="3" t="s">
        <v>694</v>
      </c>
      <c r="K452" s="3" t="s">
        <v>216</v>
      </c>
    </row>
    <row r="453" ht="15.6" spans="4:11">
      <c r="D453" s="3">
        <v>1451</v>
      </c>
      <c r="E453" s="3" t="s">
        <v>216</v>
      </c>
      <c r="J453" s="3" t="s">
        <v>695</v>
      </c>
      <c r="K453" s="3" t="s">
        <v>216</v>
      </c>
    </row>
    <row r="454" ht="15.6" spans="4:11">
      <c r="D454" s="3">
        <v>1452</v>
      </c>
      <c r="E454" s="3" t="s">
        <v>216</v>
      </c>
      <c r="J454" s="3" t="s">
        <v>696</v>
      </c>
      <c r="K454" s="3" t="s">
        <v>216</v>
      </c>
    </row>
    <row r="455" ht="15.6" spans="4:11">
      <c r="D455" s="3">
        <v>1453</v>
      </c>
      <c r="E455" s="3" t="s">
        <v>216</v>
      </c>
      <c r="J455" s="3" t="s">
        <v>697</v>
      </c>
      <c r="K455" s="3" t="s">
        <v>216</v>
      </c>
    </row>
    <row r="456" ht="15.6" spans="4:11">
      <c r="D456" s="3">
        <v>1454</v>
      </c>
      <c r="E456" s="3" t="s">
        <v>216</v>
      </c>
      <c r="J456" s="3" t="s">
        <v>698</v>
      </c>
      <c r="K456" s="3" t="s">
        <v>216</v>
      </c>
    </row>
    <row r="457" ht="15.6" spans="4:11">
      <c r="D457" s="3">
        <v>1455</v>
      </c>
      <c r="E457" s="3" t="s">
        <v>216</v>
      </c>
      <c r="J457" s="3" t="s">
        <v>699</v>
      </c>
      <c r="K457" s="3" t="s">
        <v>216</v>
      </c>
    </row>
    <row r="458" ht="15.6" spans="4:11">
      <c r="D458" s="3">
        <v>1456</v>
      </c>
      <c r="E458" s="3" t="s">
        <v>216</v>
      </c>
      <c r="J458" s="3" t="s">
        <v>700</v>
      </c>
      <c r="K458" s="3" t="s">
        <v>216</v>
      </c>
    </row>
    <row r="459" ht="15.6" spans="4:11">
      <c r="D459" s="3">
        <v>1457</v>
      </c>
      <c r="E459" s="3" t="s">
        <v>216</v>
      </c>
      <c r="J459" s="3" t="s">
        <v>701</v>
      </c>
      <c r="K459" s="3" t="s">
        <v>216</v>
      </c>
    </row>
    <row r="460" ht="15.6" spans="4:11">
      <c r="D460" s="3">
        <v>1458</v>
      </c>
      <c r="E460" s="3" t="s">
        <v>216</v>
      </c>
      <c r="J460" s="3" t="s">
        <v>702</v>
      </c>
      <c r="K460" s="3" t="s">
        <v>216</v>
      </c>
    </row>
    <row r="461" ht="15.6" spans="4:11">
      <c r="D461" s="3">
        <v>1459</v>
      </c>
      <c r="E461" s="3" t="s">
        <v>216</v>
      </c>
      <c r="J461" s="3" t="s">
        <v>703</v>
      </c>
      <c r="K461" s="3" t="s">
        <v>216</v>
      </c>
    </row>
    <row r="462" ht="15.6" spans="4:11">
      <c r="D462" s="3">
        <v>1460</v>
      </c>
      <c r="E462" s="3" t="s">
        <v>216</v>
      </c>
      <c r="J462" s="3" t="s">
        <v>704</v>
      </c>
      <c r="K462" s="3" t="s">
        <v>216</v>
      </c>
    </row>
    <row r="463" ht="15.6" spans="4:11">
      <c r="D463" s="3">
        <v>1461</v>
      </c>
      <c r="E463" s="3" t="s">
        <v>216</v>
      </c>
      <c r="J463" s="3" t="s">
        <v>705</v>
      </c>
      <c r="K463" s="3" t="s">
        <v>216</v>
      </c>
    </row>
    <row r="464" ht="15.6" spans="4:11">
      <c r="D464" s="3">
        <v>1462</v>
      </c>
      <c r="E464" s="3" t="s">
        <v>216</v>
      </c>
      <c r="J464" s="3" t="s">
        <v>706</v>
      </c>
      <c r="K464" s="3" t="s">
        <v>216</v>
      </c>
    </row>
    <row r="465" ht="15.6" spans="4:11">
      <c r="D465" s="3">
        <v>1463</v>
      </c>
      <c r="E465" s="3" t="s">
        <v>216</v>
      </c>
      <c r="J465" s="3" t="s">
        <v>707</v>
      </c>
      <c r="K465" s="3" t="s">
        <v>216</v>
      </c>
    </row>
    <row r="466" ht="15.6" spans="4:11">
      <c r="D466" s="3">
        <v>1464</v>
      </c>
      <c r="E466" s="3" t="s">
        <v>216</v>
      </c>
      <c r="J466" s="3" t="s">
        <v>708</v>
      </c>
      <c r="K466" s="3" t="s">
        <v>216</v>
      </c>
    </row>
    <row r="467" ht="15.6" spans="4:11">
      <c r="D467" s="3">
        <v>1465</v>
      </c>
      <c r="E467" s="3" t="s">
        <v>216</v>
      </c>
      <c r="J467" s="3" t="s">
        <v>709</v>
      </c>
      <c r="K467" s="3" t="s">
        <v>216</v>
      </c>
    </row>
    <row r="468" ht="15.6" spans="4:11">
      <c r="D468" s="3">
        <v>1466</v>
      </c>
      <c r="E468" s="3" t="s">
        <v>216</v>
      </c>
      <c r="J468" s="3" t="s">
        <v>710</v>
      </c>
      <c r="K468" s="3" t="s">
        <v>216</v>
      </c>
    </row>
    <row r="469" ht="15.6" spans="4:11">
      <c r="D469" s="3">
        <v>1467</v>
      </c>
      <c r="E469" s="3" t="s">
        <v>216</v>
      </c>
      <c r="J469" s="3" t="s">
        <v>711</v>
      </c>
      <c r="K469" s="3" t="s">
        <v>216</v>
      </c>
    </row>
    <row r="470" ht="15.6" spans="4:11">
      <c r="D470" s="3">
        <v>1468</v>
      </c>
      <c r="E470" s="3" t="s">
        <v>216</v>
      </c>
      <c r="J470" s="3" t="s">
        <v>712</v>
      </c>
      <c r="K470" s="3" t="s">
        <v>216</v>
      </c>
    </row>
    <row r="471" ht="15.6" spans="4:11">
      <c r="D471" s="3">
        <v>1469</v>
      </c>
      <c r="E471" s="3" t="s">
        <v>216</v>
      </c>
      <c r="J471" s="3" t="s">
        <v>713</v>
      </c>
      <c r="K471" s="3" t="s">
        <v>216</v>
      </c>
    </row>
    <row r="472" ht="15.6" spans="4:11">
      <c r="D472" s="3">
        <v>1470</v>
      </c>
      <c r="E472" s="3" t="s">
        <v>216</v>
      </c>
      <c r="J472" s="3" t="s">
        <v>714</v>
      </c>
      <c r="K472" s="3" t="s">
        <v>216</v>
      </c>
    </row>
    <row r="473" ht="15.6" spans="4:11">
      <c r="D473" s="3">
        <v>1471</v>
      </c>
      <c r="E473" s="3" t="s">
        <v>216</v>
      </c>
      <c r="J473" s="3" t="s">
        <v>715</v>
      </c>
      <c r="K473" s="3" t="s">
        <v>216</v>
      </c>
    </row>
    <row r="474" ht="15.6" spans="4:11">
      <c r="D474" s="3">
        <v>1472</v>
      </c>
      <c r="E474" s="3" t="s">
        <v>216</v>
      </c>
      <c r="J474" s="3" t="s">
        <v>716</v>
      </c>
      <c r="K474" s="3" t="s">
        <v>216</v>
      </c>
    </row>
    <row r="475" ht="15.6" spans="4:11">
      <c r="D475" s="3">
        <v>1473</v>
      </c>
      <c r="E475" s="3" t="s">
        <v>216</v>
      </c>
      <c r="J475" s="3" t="s">
        <v>717</v>
      </c>
      <c r="K475" s="3" t="s">
        <v>216</v>
      </c>
    </row>
    <row r="476" ht="15.6" spans="4:11">
      <c r="D476" s="3">
        <v>1474</v>
      </c>
      <c r="E476" s="3" t="s">
        <v>216</v>
      </c>
      <c r="J476" s="3" t="s">
        <v>718</v>
      </c>
      <c r="K476" s="3" t="s">
        <v>216</v>
      </c>
    </row>
    <row r="477" ht="15.6" spans="4:11">
      <c r="D477" s="3">
        <v>1475</v>
      </c>
      <c r="E477" s="3" t="s">
        <v>216</v>
      </c>
      <c r="J477" s="3" t="s">
        <v>719</v>
      </c>
      <c r="K477" s="3" t="s">
        <v>216</v>
      </c>
    </row>
    <row r="478" ht="15.6" spans="4:11">
      <c r="D478" s="3">
        <v>1476</v>
      </c>
      <c r="E478" s="3" t="s">
        <v>216</v>
      </c>
      <c r="J478" s="3" t="s">
        <v>720</v>
      </c>
      <c r="K478" s="3" t="s">
        <v>216</v>
      </c>
    </row>
    <row r="479" ht="15.6" spans="4:11">
      <c r="D479" s="3">
        <v>1477</v>
      </c>
      <c r="E479" s="3" t="s">
        <v>216</v>
      </c>
      <c r="J479" s="3" t="s">
        <v>721</v>
      </c>
      <c r="K479" s="3" t="s">
        <v>216</v>
      </c>
    </row>
    <row r="480" ht="15.6" spans="4:11">
      <c r="D480" s="3">
        <v>1478</v>
      </c>
      <c r="E480" s="3" t="s">
        <v>216</v>
      </c>
      <c r="J480" s="3" t="s">
        <v>722</v>
      </c>
      <c r="K480" s="3" t="s">
        <v>216</v>
      </c>
    </row>
    <row r="481" ht="15.6" spans="4:11">
      <c r="D481" s="3">
        <v>1479</v>
      </c>
      <c r="E481" s="3" t="s">
        <v>216</v>
      </c>
      <c r="J481" s="3" t="s">
        <v>723</v>
      </c>
      <c r="K481" s="3" t="s">
        <v>216</v>
      </c>
    </row>
    <row r="482" ht="15.6" spans="4:11">
      <c r="D482" s="3">
        <v>1480</v>
      </c>
      <c r="E482" s="3" t="s">
        <v>216</v>
      </c>
      <c r="J482" s="3" t="s">
        <v>724</v>
      </c>
      <c r="K482" s="3" t="s">
        <v>216</v>
      </c>
    </row>
    <row r="483" ht="15.6" spans="4:11">
      <c r="D483" s="3">
        <v>1481</v>
      </c>
      <c r="E483" s="3" t="s">
        <v>216</v>
      </c>
      <c r="J483" s="3" t="s">
        <v>725</v>
      </c>
      <c r="K483" s="3" t="s">
        <v>216</v>
      </c>
    </row>
    <row r="484" ht="15.6" spans="4:11">
      <c r="D484" s="3">
        <v>1482</v>
      </c>
      <c r="E484" s="3" t="s">
        <v>216</v>
      </c>
      <c r="J484" s="3" t="s">
        <v>726</v>
      </c>
      <c r="K484" s="3" t="s">
        <v>216</v>
      </c>
    </row>
    <row r="485" ht="15.6" spans="4:11">
      <c r="D485" s="3">
        <v>1483</v>
      </c>
      <c r="E485" s="3" t="s">
        <v>216</v>
      </c>
      <c r="J485" s="3" t="s">
        <v>727</v>
      </c>
      <c r="K485" s="3" t="s">
        <v>216</v>
      </c>
    </row>
    <row r="486" ht="15.6" spans="4:11">
      <c r="D486" s="3">
        <v>1484</v>
      </c>
      <c r="E486" s="3" t="s">
        <v>216</v>
      </c>
      <c r="J486" s="3" t="s">
        <v>728</v>
      </c>
      <c r="K486" s="3" t="s">
        <v>216</v>
      </c>
    </row>
    <row r="487" ht="15.6" spans="4:11">
      <c r="D487" s="3">
        <v>1485</v>
      </c>
      <c r="E487" s="3" t="s">
        <v>216</v>
      </c>
      <c r="J487" s="3" t="s">
        <v>729</v>
      </c>
      <c r="K487" s="3" t="s">
        <v>216</v>
      </c>
    </row>
    <row r="488" ht="15.6" spans="4:11">
      <c r="D488" s="3">
        <v>1486</v>
      </c>
      <c r="E488" s="3" t="s">
        <v>216</v>
      </c>
      <c r="J488" s="3" t="s">
        <v>730</v>
      </c>
      <c r="K488" s="3" t="s">
        <v>216</v>
      </c>
    </row>
    <row r="489" ht="15.6" spans="4:11">
      <c r="D489" s="3">
        <v>1487</v>
      </c>
      <c r="E489" s="3" t="s">
        <v>216</v>
      </c>
      <c r="J489" s="3" t="s">
        <v>731</v>
      </c>
      <c r="K489" s="3" t="s">
        <v>216</v>
      </c>
    </row>
    <row r="490" ht="15.6" spans="4:11">
      <c r="D490" s="3">
        <v>1488</v>
      </c>
      <c r="E490" s="3" t="s">
        <v>216</v>
      </c>
      <c r="J490" s="3" t="s">
        <v>732</v>
      </c>
      <c r="K490" s="3" t="s">
        <v>216</v>
      </c>
    </row>
    <row r="491" ht="15.6" spans="4:11">
      <c r="D491" s="3">
        <v>1489</v>
      </c>
      <c r="E491" s="3" t="s">
        <v>216</v>
      </c>
      <c r="J491" s="3" t="s">
        <v>733</v>
      </c>
      <c r="K491" s="3" t="s">
        <v>216</v>
      </c>
    </row>
    <row r="492" ht="15.6" spans="4:11">
      <c r="D492" s="3">
        <v>1490</v>
      </c>
      <c r="E492" s="3" t="s">
        <v>216</v>
      </c>
      <c r="J492" s="3" t="s">
        <v>734</v>
      </c>
      <c r="K492" s="3" t="s">
        <v>216</v>
      </c>
    </row>
    <row r="493" ht="15.6" spans="4:11">
      <c r="D493" s="3">
        <v>1491</v>
      </c>
      <c r="E493" s="3" t="s">
        <v>216</v>
      </c>
      <c r="J493" s="3" t="s">
        <v>735</v>
      </c>
      <c r="K493" s="3" t="s">
        <v>216</v>
      </c>
    </row>
    <row r="494" ht="15.6" spans="4:11">
      <c r="D494" s="3">
        <v>1492</v>
      </c>
      <c r="E494" s="3" t="s">
        <v>216</v>
      </c>
      <c r="J494" s="3" t="s">
        <v>736</v>
      </c>
      <c r="K494" s="3" t="s">
        <v>216</v>
      </c>
    </row>
    <row r="495" ht="15.6" spans="4:11">
      <c r="D495" s="3">
        <v>1493</v>
      </c>
      <c r="E495" s="3" t="s">
        <v>216</v>
      </c>
      <c r="J495" s="3" t="s">
        <v>737</v>
      </c>
      <c r="K495" s="3" t="s">
        <v>216</v>
      </c>
    </row>
    <row r="496" ht="15.6" spans="4:11">
      <c r="D496" s="3">
        <v>1494</v>
      </c>
      <c r="E496" s="3" t="s">
        <v>216</v>
      </c>
      <c r="J496" s="3" t="s">
        <v>738</v>
      </c>
      <c r="K496" s="3" t="s">
        <v>216</v>
      </c>
    </row>
    <row r="497" ht="15.6" spans="4:11">
      <c r="D497" s="3">
        <v>1495</v>
      </c>
      <c r="E497" s="3" t="s">
        <v>216</v>
      </c>
      <c r="J497" s="3" t="s">
        <v>739</v>
      </c>
      <c r="K497" s="3" t="s">
        <v>216</v>
      </c>
    </row>
    <row r="498" ht="15.6" spans="4:11">
      <c r="D498" s="3">
        <v>1496</v>
      </c>
      <c r="E498" s="3" t="s">
        <v>216</v>
      </c>
      <c r="J498" s="3" t="s">
        <v>740</v>
      </c>
      <c r="K498" s="3" t="s">
        <v>216</v>
      </c>
    </row>
    <row r="499" ht="15.6" spans="4:11">
      <c r="D499" s="3">
        <v>1497</v>
      </c>
      <c r="E499" s="3" t="s">
        <v>216</v>
      </c>
      <c r="J499" s="3" t="s">
        <v>741</v>
      </c>
      <c r="K499" s="3" t="s">
        <v>216</v>
      </c>
    </row>
    <row r="500" ht="15.6" spans="4:11">
      <c r="D500" s="3">
        <v>1498</v>
      </c>
      <c r="E500" s="3" t="s">
        <v>216</v>
      </c>
      <c r="J500" s="3" t="s">
        <v>742</v>
      </c>
      <c r="K500" s="3" t="s">
        <v>216</v>
      </c>
    </row>
    <row r="501" ht="15.6" spans="4:11">
      <c r="D501" s="3">
        <v>1499</v>
      </c>
      <c r="E501" s="3" t="s">
        <v>216</v>
      </c>
      <c r="J501" s="3" t="s">
        <v>743</v>
      </c>
      <c r="K501" s="3" t="s">
        <v>216</v>
      </c>
    </row>
    <row r="502" ht="15.6" spans="4:11">
      <c r="D502" s="3">
        <v>1500</v>
      </c>
      <c r="E502" s="3" t="s">
        <v>216</v>
      </c>
      <c r="J502" s="3" t="s">
        <v>744</v>
      </c>
      <c r="K502" s="3" t="s">
        <v>216</v>
      </c>
    </row>
    <row r="503" ht="15.6" spans="4:11">
      <c r="D503" s="3">
        <v>1501</v>
      </c>
      <c r="E503" s="3" t="s">
        <v>216</v>
      </c>
      <c r="J503" s="3" t="s">
        <v>745</v>
      </c>
      <c r="K503" s="3" t="s">
        <v>216</v>
      </c>
    </row>
    <row r="504" ht="15.6" spans="4:11">
      <c r="D504" s="3">
        <v>1502</v>
      </c>
      <c r="E504" s="3" t="s">
        <v>216</v>
      </c>
      <c r="J504" s="3" t="s">
        <v>746</v>
      </c>
      <c r="K504" s="3" t="s">
        <v>216</v>
      </c>
    </row>
    <row r="505" ht="15.6" spans="4:11">
      <c r="D505" s="3">
        <v>1503</v>
      </c>
      <c r="E505" s="3" t="s">
        <v>216</v>
      </c>
      <c r="J505" s="3" t="s">
        <v>747</v>
      </c>
      <c r="K505" s="3" t="s">
        <v>216</v>
      </c>
    </row>
    <row r="506" ht="15.6" spans="4:11">
      <c r="D506" s="3">
        <v>1504</v>
      </c>
      <c r="E506" s="3" t="s">
        <v>216</v>
      </c>
      <c r="J506" s="3" t="s">
        <v>748</v>
      </c>
      <c r="K506" s="3" t="s">
        <v>216</v>
      </c>
    </row>
    <row r="507" ht="15.6" spans="4:11">
      <c r="D507" s="3">
        <v>1505</v>
      </c>
      <c r="E507" s="3" t="s">
        <v>216</v>
      </c>
      <c r="J507" s="3" t="s">
        <v>749</v>
      </c>
      <c r="K507" s="3" t="s">
        <v>216</v>
      </c>
    </row>
    <row r="508" ht="15.6" spans="4:11">
      <c r="D508" s="3">
        <v>1506</v>
      </c>
      <c r="E508" s="3" t="s">
        <v>216</v>
      </c>
      <c r="J508" s="3" t="s">
        <v>750</v>
      </c>
      <c r="K508" s="3" t="s">
        <v>216</v>
      </c>
    </row>
    <row r="509" ht="15.6" spans="4:11">
      <c r="D509" s="3">
        <v>1507</v>
      </c>
      <c r="E509" s="3" t="s">
        <v>216</v>
      </c>
      <c r="J509" s="3" t="s">
        <v>751</v>
      </c>
      <c r="K509" s="3" t="s">
        <v>216</v>
      </c>
    </row>
    <row r="510" ht="15.6" spans="4:11">
      <c r="D510" s="3">
        <v>1508</v>
      </c>
      <c r="E510" s="3" t="s">
        <v>216</v>
      </c>
      <c r="J510" s="3" t="s">
        <v>752</v>
      </c>
      <c r="K510" s="3" t="s">
        <v>216</v>
      </c>
    </row>
    <row r="511" ht="15.6" spans="4:11">
      <c r="D511" s="3">
        <v>1509</v>
      </c>
      <c r="E511" s="3" t="s">
        <v>216</v>
      </c>
      <c r="J511" s="3" t="s">
        <v>753</v>
      </c>
      <c r="K511" s="3" t="s">
        <v>216</v>
      </c>
    </row>
    <row r="512" ht="15.6" spans="4:11">
      <c r="D512" s="3">
        <v>1510</v>
      </c>
      <c r="E512" s="3" t="s">
        <v>216</v>
      </c>
      <c r="J512" s="3" t="s">
        <v>754</v>
      </c>
      <c r="K512" s="3" t="s">
        <v>216</v>
      </c>
    </row>
    <row r="513" ht="15.6" spans="4:11">
      <c r="D513" s="3">
        <v>1511</v>
      </c>
      <c r="E513" s="3" t="s">
        <v>216</v>
      </c>
      <c r="J513" s="3" t="s">
        <v>755</v>
      </c>
      <c r="K513" s="3" t="s">
        <v>216</v>
      </c>
    </row>
    <row r="514" ht="15.6" spans="4:11">
      <c r="D514" s="3">
        <v>1512</v>
      </c>
      <c r="E514" s="3" t="s">
        <v>216</v>
      </c>
      <c r="J514" s="3" t="s">
        <v>756</v>
      </c>
      <c r="K514" s="3" t="s">
        <v>216</v>
      </c>
    </row>
    <row r="515" ht="15.6" spans="4:11">
      <c r="D515" s="3">
        <v>1513</v>
      </c>
      <c r="E515" s="3" t="s">
        <v>216</v>
      </c>
      <c r="J515" s="3" t="s">
        <v>757</v>
      </c>
      <c r="K515" s="3" t="s">
        <v>216</v>
      </c>
    </row>
    <row r="516" ht="15.6" spans="4:11">
      <c r="D516" s="3">
        <v>1514</v>
      </c>
      <c r="E516" s="3" t="s">
        <v>216</v>
      </c>
      <c r="J516" s="3" t="s">
        <v>758</v>
      </c>
      <c r="K516" s="3" t="s">
        <v>216</v>
      </c>
    </row>
    <row r="517" ht="15.6" spans="4:11">
      <c r="D517" s="3">
        <v>1515</v>
      </c>
      <c r="E517" s="3" t="s">
        <v>216</v>
      </c>
      <c r="J517" s="3" t="s">
        <v>759</v>
      </c>
      <c r="K517" s="3" t="s">
        <v>216</v>
      </c>
    </row>
    <row r="518" ht="15.6" spans="4:11">
      <c r="D518" s="3">
        <v>1516</v>
      </c>
      <c r="E518" s="3" t="s">
        <v>216</v>
      </c>
      <c r="J518" s="3" t="s">
        <v>760</v>
      </c>
      <c r="K518" s="3" t="s">
        <v>216</v>
      </c>
    </row>
    <row r="519" ht="15.6" spans="4:11">
      <c r="D519" s="3">
        <v>1517</v>
      </c>
      <c r="E519" s="3" t="s">
        <v>216</v>
      </c>
      <c r="J519" s="3" t="s">
        <v>761</v>
      </c>
      <c r="K519" s="3" t="s">
        <v>216</v>
      </c>
    </row>
    <row r="520" ht="15.6" spans="4:11">
      <c r="D520" s="3">
        <v>1518</v>
      </c>
      <c r="E520" s="3" t="s">
        <v>216</v>
      </c>
      <c r="J520" s="3" t="s">
        <v>762</v>
      </c>
      <c r="K520" s="3" t="s">
        <v>216</v>
      </c>
    </row>
    <row r="521" ht="15.6" spans="4:11">
      <c r="D521" s="3">
        <v>1519</v>
      </c>
      <c r="E521" s="3" t="s">
        <v>216</v>
      </c>
      <c r="J521" s="3" t="s">
        <v>763</v>
      </c>
      <c r="K521" s="3" t="s">
        <v>216</v>
      </c>
    </row>
    <row r="522" ht="15.6" spans="4:11">
      <c r="D522" s="3">
        <v>1520</v>
      </c>
      <c r="E522" s="3" t="s">
        <v>216</v>
      </c>
      <c r="J522" s="3" t="s">
        <v>764</v>
      </c>
      <c r="K522" s="3" t="s">
        <v>216</v>
      </c>
    </row>
    <row r="523" ht="15.6" spans="4:11">
      <c r="D523" s="3">
        <v>1521</v>
      </c>
      <c r="E523" s="3" t="s">
        <v>216</v>
      </c>
      <c r="J523" s="3" t="s">
        <v>765</v>
      </c>
      <c r="K523" s="3" t="s">
        <v>216</v>
      </c>
    </row>
    <row r="524" ht="15.6" spans="4:11">
      <c r="D524" s="3">
        <v>1522</v>
      </c>
      <c r="E524" s="3" t="s">
        <v>216</v>
      </c>
      <c r="J524" s="3" t="s">
        <v>766</v>
      </c>
      <c r="K524" s="3" t="s">
        <v>216</v>
      </c>
    </row>
    <row r="525" ht="15.6" spans="4:11">
      <c r="D525" s="3">
        <v>1523</v>
      </c>
      <c r="E525" s="3" t="s">
        <v>216</v>
      </c>
      <c r="J525" s="3" t="s">
        <v>767</v>
      </c>
      <c r="K525" s="3" t="s">
        <v>216</v>
      </c>
    </row>
    <row r="526" ht="15.6" spans="4:11">
      <c r="D526" s="3">
        <v>1524</v>
      </c>
      <c r="E526" s="3" t="s">
        <v>216</v>
      </c>
      <c r="J526" s="3" t="s">
        <v>768</v>
      </c>
      <c r="K526" s="3" t="s">
        <v>216</v>
      </c>
    </row>
    <row r="527" ht="15.6" spans="4:11">
      <c r="D527" s="3">
        <v>1525</v>
      </c>
      <c r="E527" s="3" t="s">
        <v>216</v>
      </c>
      <c r="J527" s="3" t="s">
        <v>769</v>
      </c>
      <c r="K527" s="3" t="s">
        <v>216</v>
      </c>
    </row>
    <row r="528" ht="15.6" spans="4:11">
      <c r="D528" s="3">
        <v>1526</v>
      </c>
      <c r="E528" s="3" t="s">
        <v>216</v>
      </c>
      <c r="J528" s="3" t="s">
        <v>770</v>
      </c>
      <c r="K528" s="3" t="s">
        <v>216</v>
      </c>
    </row>
    <row r="529" ht="15.6" spans="4:11">
      <c r="D529" s="3">
        <v>1527</v>
      </c>
      <c r="E529" s="3" t="s">
        <v>216</v>
      </c>
      <c r="J529" s="3" t="s">
        <v>771</v>
      </c>
      <c r="K529" s="3" t="s">
        <v>216</v>
      </c>
    </row>
    <row r="530" ht="15.6" spans="4:11">
      <c r="D530" s="3">
        <v>1528</v>
      </c>
      <c r="E530" s="3" t="s">
        <v>216</v>
      </c>
      <c r="J530" s="3" t="s">
        <v>772</v>
      </c>
      <c r="K530" s="3" t="s">
        <v>216</v>
      </c>
    </row>
    <row r="531" ht="15.6" spans="4:11">
      <c r="D531" s="3">
        <v>1529</v>
      </c>
      <c r="E531" s="3" t="s">
        <v>216</v>
      </c>
      <c r="J531" s="3" t="s">
        <v>773</v>
      </c>
      <c r="K531" s="3" t="s">
        <v>216</v>
      </c>
    </row>
    <row r="532" ht="15.6" spans="4:11">
      <c r="D532" s="3">
        <v>1530</v>
      </c>
      <c r="E532" s="3" t="s">
        <v>216</v>
      </c>
      <c r="J532" s="3" t="s">
        <v>774</v>
      </c>
      <c r="K532" s="3" t="s">
        <v>216</v>
      </c>
    </row>
    <row r="533" ht="15.6" spans="4:11">
      <c r="D533" s="3">
        <v>1531</v>
      </c>
      <c r="E533" s="3" t="s">
        <v>216</v>
      </c>
      <c r="J533" s="3" t="s">
        <v>775</v>
      </c>
      <c r="K533" s="3" t="s">
        <v>216</v>
      </c>
    </row>
    <row r="534" ht="15.6" spans="4:11">
      <c r="D534" s="3">
        <v>1532</v>
      </c>
      <c r="E534" s="3" t="s">
        <v>216</v>
      </c>
      <c r="J534" s="3" t="s">
        <v>776</v>
      </c>
      <c r="K534" s="3" t="s">
        <v>216</v>
      </c>
    </row>
    <row r="535" ht="15.6" spans="4:11">
      <c r="D535" s="3">
        <v>1533</v>
      </c>
      <c r="E535" s="3" t="s">
        <v>216</v>
      </c>
      <c r="J535" s="3" t="s">
        <v>777</v>
      </c>
      <c r="K535" s="3" t="s">
        <v>216</v>
      </c>
    </row>
    <row r="536" ht="15.6" spans="4:11">
      <c r="D536" s="3">
        <v>1534</v>
      </c>
      <c r="E536" s="3" t="s">
        <v>216</v>
      </c>
      <c r="J536" s="3" t="s">
        <v>778</v>
      </c>
      <c r="K536" s="3" t="s">
        <v>216</v>
      </c>
    </row>
    <row r="537" ht="15.6" spans="4:11">
      <c r="D537" s="3">
        <v>1535</v>
      </c>
      <c r="E537" s="3" t="s">
        <v>216</v>
      </c>
      <c r="J537" s="3" t="s">
        <v>779</v>
      </c>
      <c r="K537" s="3" t="s">
        <v>216</v>
      </c>
    </row>
    <row r="538" ht="15.6" spans="4:11">
      <c r="D538" s="3">
        <v>1536</v>
      </c>
      <c r="E538" s="3" t="s">
        <v>216</v>
      </c>
      <c r="J538" s="3" t="s">
        <v>780</v>
      </c>
      <c r="K538" s="3" t="s">
        <v>216</v>
      </c>
    </row>
    <row r="539" ht="15.6" spans="4:11">
      <c r="D539" s="3">
        <v>1537</v>
      </c>
      <c r="E539" s="3" t="s">
        <v>216</v>
      </c>
      <c r="J539" s="3" t="s">
        <v>781</v>
      </c>
      <c r="K539" s="3" t="s">
        <v>216</v>
      </c>
    </row>
    <row r="540" ht="15.6" spans="4:11">
      <c r="D540" s="3">
        <v>1538</v>
      </c>
      <c r="E540" s="3" t="s">
        <v>216</v>
      </c>
      <c r="J540" s="3" t="s">
        <v>782</v>
      </c>
      <c r="K540" s="3" t="s">
        <v>216</v>
      </c>
    </row>
    <row r="541" ht="15.6" spans="4:11">
      <c r="D541" s="3">
        <v>1539</v>
      </c>
      <c r="E541" s="3" t="s">
        <v>216</v>
      </c>
      <c r="J541" s="3" t="s">
        <v>783</v>
      </c>
      <c r="K541" s="3" t="s">
        <v>216</v>
      </c>
    </row>
    <row r="542" ht="15.6" spans="4:11">
      <c r="D542" s="3">
        <v>1540</v>
      </c>
      <c r="E542" s="3" t="s">
        <v>216</v>
      </c>
      <c r="J542" s="3" t="s">
        <v>784</v>
      </c>
      <c r="K542" s="3" t="s">
        <v>216</v>
      </c>
    </row>
    <row r="543" ht="15.6" spans="4:11">
      <c r="D543" s="3">
        <v>1541</v>
      </c>
      <c r="E543" s="3" t="s">
        <v>216</v>
      </c>
      <c r="J543" s="3" t="s">
        <v>785</v>
      </c>
      <c r="K543" s="3" t="s">
        <v>216</v>
      </c>
    </row>
    <row r="544" ht="15.6" spans="4:11">
      <c r="D544" s="3">
        <v>1542</v>
      </c>
      <c r="E544" s="3" t="s">
        <v>216</v>
      </c>
      <c r="J544" s="3" t="s">
        <v>786</v>
      </c>
      <c r="K544" s="3" t="s">
        <v>216</v>
      </c>
    </row>
    <row r="545" ht="15.6" spans="4:11">
      <c r="D545" s="3">
        <v>1543</v>
      </c>
      <c r="E545" s="3" t="s">
        <v>216</v>
      </c>
      <c r="J545" s="3" t="s">
        <v>787</v>
      </c>
      <c r="K545" s="3" t="s">
        <v>216</v>
      </c>
    </row>
    <row r="546" ht="15.6" spans="4:11">
      <c r="D546" s="3">
        <v>1544</v>
      </c>
      <c r="E546" s="3" t="s">
        <v>216</v>
      </c>
      <c r="J546" s="3" t="s">
        <v>788</v>
      </c>
      <c r="K546" s="3" t="s">
        <v>216</v>
      </c>
    </row>
    <row r="547" ht="15.6" spans="4:11">
      <c r="D547" s="3">
        <v>1545</v>
      </c>
      <c r="E547" s="3" t="s">
        <v>216</v>
      </c>
      <c r="J547" s="3" t="s">
        <v>789</v>
      </c>
      <c r="K547" s="3" t="s">
        <v>216</v>
      </c>
    </row>
    <row r="548" ht="15.6" spans="4:11">
      <c r="D548" s="3">
        <v>1546</v>
      </c>
      <c r="E548" s="3" t="s">
        <v>216</v>
      </c>
      <c r="J548" s="3" t="s">
        <v>790</v>
      </c>
      <c r="K548" s="3" t="s">
        <v>216</v>
      </c>
    </row>
    <row r="549" ht="15.6" spans="4:11">
      <c r="D549" s="3">
        <v>1547</v>
      </c>
      <c r="E549" s="3" t="s">
        <v>216</v>
      </c>
      <c r="J549" s="3" t="s">
        <v>791</v>
      </c>
      <c r="K549" s="3" t="s">
        <v>216</v>
      </c>
    </row>
    <row r="550" ht="15.6" spans="4:11">
      <c r="D550" s="3">
        <v>1548</v>
      </c>
      <c r="E550" s="3" t="s">
        <v>216</v>
      </c>
      <c r="J550" s="3" t="s">
        <v>792</v>
      </c>
      <c r="K550" s="3" t="s">
        <v>216</v>
      </c>
    </row>
    <row r="551" ht="15.6" spans="4:11">
      <c r="D551" s="3">
        <v>1549</v>
      </c>
      <c r="E551" s="3" t="s">
        <v>216</v>
      </c>
      <c r="J551" s="3" t="s">
        <v>793</v>
      </c>
      <c r="K551" s="3" t="s">
        <v>216</v>
      </c>
    </row>
    <row r="552" ht="15.6" spans="4:11">
      <c r="D552" s="3">
        <v>1550</v>
      </c>
      <c r="E552" s="3" t="s">
        <v>216</v>
      </c>
      <c r="J552" s="3" t="s">
        <v>794</v>
      </c>
      <c r="K552" s="3" t="s">
        <v>216</v>
      </c>
    </row>
    <row r="553" ht="15.6" spans="4:11">
      <c r="D553" s="3">
        <v>1551</v>
      </c>
      <c r="E553" s="3" t="s">
        <v>216</v>
      </c>
      <c r="J553" s="3" t="s">
        <v>795</v>
      </c>
      <c r="K553" s="3" t="s">
        <v>216</v>
      </c>
    </row>
    <row r="554" ht="15.6" spans="4:11">
      <c r="D554" s="3">
        <v>1552</v>
      </c>
      <c r="E554" s="3" t="s">
        <v>216</v>
      </c>
      <c r="J554" s="3" t="s">
        <v>796</v>
      </c>
      <c r="K554" s="3" t="s">
        <v>216</v>
      </c>
    </row>
    <row r="555" ht="15.6" spans="4:11">
      <c r="D555" s="3">
        <v>1553</v>
      </c>
      <c r="E555" s="3" t="s">
        <v>216</v>
      </c>
      <c r="J555" s="3" t="s">
        <v>797</v>
      </c>
      <c r="K555" s="3" t="s">
        <v>216</v>
      </c>
    </row>
    <row r="556" ht="15.6" spans="4:11">
      <c r="D556" s="3">
        <v>1554</v>
      </c>
      <c r="E556" s="3" t="s">
        <v>216</v>
      </c>
      <c r="J556" s="3" t="s">
        <v>798</v>
      </c>
      <c r="K556" s="3" t="s">
        <v>216</v>
      </c>
    </row>
    <row r="557" ht="15.6" spans="4:11">
      <c r="D557" s="3">
        <v>1555</v>
      </c>
      <c r="E557" s="3" t="s">
        <v>216</v>
      </c>
      <c r="J557" s="3" t="s">
        <v>799</v>
      </c>
      <c r="K557" s="3" t="s">
        <v>216</v>
      </c>
    </row>
    <row r="558" ht="15.6" spans="4:11">
      <c r="D558" s="3">
        <v>1556</v>
      </c>
      <c r="E558" s="3" t="s">
        <v>216</v>
      </c>
      <c r="J558" s="3" t="s">
        <v>800</v>
      </c>
      <c r="K558" s="3" t="s">
        <v>216</v>
      </c>
    </row>
    <row r="559" ht="15.6" spans="4:11">
      <c r="D559" s="3">
        <v>1557</v>
      </c>
      <c r="E559" s="3" t="s">
        <v>216</v>
      </c>
      <c r="J559" s="3" t="s">
        <v>801</v>
      </c>
      <c r="K559" s="3" t="s">
        <v>216</v>
      </c>
    </row>
    <row r="560" ht="15.6" spans="4:11">
      <c r="D560" s="3">
        <v>1558</v>
      </c>
      <c r="E560" s="3" t="s">
        <v>216</v>
      </c>
      <c r="J560" s="3" t="s">
        <v>802</v>
      </c>
      <c r="K560" s="3" t="s">
        <v>216</v>
      </c>
    </row>
    <row r="561" ht="15.6" spans="4:11">
      <c r="D561" s="3">
        <v>1559</v>
      </c>
      <c r="E561" s="3" t="s">
        <v>216</v>
      </c>
      <c r="J561" s="3" t="s">
        <v>803</v>
      </c>
      <c r="K561" s="3" t="s">
        <v>216</v>
      </c>
    </row>
    <row r="562" ht="15.6" spans="4:11">
      <c r="D562" s="3">
        <v>1560</v>
      </c>
      <c r="E562" s="3" t="s">
        <v>216</v>
      </c>
      <c r="J562" s="3" t="s">
        <v>804</v>
      </c>
      <c r="K562" s="3" t="s">
        <v>216</v>
      </c>
    </row>
    <row r="563" ht="15.6" spans="4:11">
      <c r="D563" s="3">
        <v>1561</v>
      </c>
      <c r="E563" s="3" t="s">
        <v>216</v>
      </c>
      <c r="J563" s="3" t="s">
        <v>805</v>
      </c>
      <c r="K563" s="3" t="s">
        <v>216</v>
      </c>
    </row>
    <row r="564" ht="15.6" spans="4:11">
      <c r="D564" s="3">
        <v>1562</v>
      </c>
      <c r="E564" s="3" t="s">
        <v>216</v>
      </c>
      <c r="J564" s="3" t="s">
        <v>806</v>
      </c>
      <c r="K564" s="3" t="s">
        <v>216</v>
      </c>
    </row>
    <row r="565" ht="15.6" spans="4:11">
      <c r="D565" s="3">
        <v>1563</v>
      </c>
      <c r="E565" s="3" t="s">
        <v>216</v>
      </c>
      <c r="J565" s="3" t="s">
        <v>807</v>
      </c>
      <c r="K565" s="3" t="s">
        <v>216</v>
      </c>
    </row>
    <row r="566" ht="15.6" spans="4:11">
      <c r="D566" s="3">
        <v>1564</v>
      </c>
      <c r="E566" s="3" t="s">
        <v>216</v>
      </c>
      <c r="J566" s="3" t="s">
        <v>808</v>
      </c>
      <c r="K566" s="3" t="s">
        <v>216</v>
      </c>
    </row>
    <row r="567" ht="15.6" spans="4:11">
      <c r="D567" s="3">
        <v>1565</v>
      </c>
      <c r="E567" s="3" t="s">
        <v>216</v>
      </c>
      <c r="J567" s="3" t="s">
        <v>809</v>
      </c>
      <c r="K567" s="3" t="s">
        <v>216</v>
      </c>
    </row>
    <row r="568" ht="15.6" spans="4:11">
      <c r="D568" s="3">
        <v>1566</v>
      </c>
      <c r="E568" s="3" t="s">
        <v>216</v>
      </c>
      <c r="J568" s="3" t="s">
        <v>810</v>
      </c>
      <c r="K568" s="3" t="s">
        <v>216</v>
      </c>
    </row>
    <row r="569" ht="15.6" spans="4:11">
      <c r="D569" s="3">
        <v>1567</v>
      </c>
      <c r="E569" s="3" t="s">
        <v>216</v>
      </c>
      <c r="J569" s="3" t="s">
        <v>811</v>
      </c>
      <c r="K569" s="3" t="s">
        <v>216</v>
      </c>
    </row>
    <row r="570" ht="15.6" spans="4:11">
      <c r="D570" s="3">
        <v>1568</v>
      </c>
      <c r="E570" s="3" t="s">
        <v>216</v>
      </c>
      <c r="J570" s="3" t="s">
        <v>812</v>
      </c>
      <c r="K570" s="3" t="s">
        <v>216</v>
      </c>
    </row>
    <row r="571" ht="15.6" spans="4:11">
      <c r="D571" s="3">
        <v>1569</v>
      </c>
      <c r="E571" s="3" t="s">
        <v>216</v>
      </c>
      <c r="J571" s="3" t="s">
        <v>813</v>
      </c>
      <c r="K571" s="3" t="s">
        <v>216</v>
      </c>
    </row>
    <row r="572" ht="15.6" spans="4:11">
      <c r="D572" s="3">
        <v>1570</v>
      </c>
      <c r="E572" s="3" t="s">
        <v>216</v>
      </c>
      <c r="J572" s="3" t="s">
        <v>814</v>
      </c>
      <c r="K572" s="3" t="s">
        <v>216</v>
      </c>
    </row>
    <row r="573" ht="15.6" spans="4:11">
      <c r="D573" s="3">
        <v>1571</v>
      </c>
      <c r="E573" s="3" t="s">
        <v>216</v>
      </c>
      <c r="J573" s="3" t="s">
        <v>815</v>
      </c>
      <c r="K573" s="3" t="s">
        <v>216</v>
      </c>
    </row>
    <row r="574" ht="15.6" spans="4:11">
      <c r="D574" s="3">
        <v>1572</v>
      </c>
      <c r="E574" s="3" t="s">
        <v>216</v>
      </c>
      <c r="J574" s="3" t="s">
        <v>816</v>
      </c>
      <c r="K574" s="3" t="s">
        <v>216</v>
      </c>
    </row>
    <row r="575" ht="15.6" spans="4:11">
      <c r="D575" s="3">
        <v>1573</v>
      </c>
      <c r="E575" s="3" t="s">
        <v>216</v>
      </c>
      <c r="J575" s="3" t="s">
        <v>817</v>
      </c>
      <c r="K575" s="3" t="s">
        <v>216</v>
      </c>
    </row>
    <row r="576" ht="15.6" spans="4:11">
      <c r="D576" s="3">
        <v>1574</v>
      </c>
      <c r="E576" s="3" t="s">
        <v>216</v>
      </c>
      <c r="J576" s="3" t="s">
        <v>818</v>
      </c>
      <c r="K576" s="3" t="s">
        <v>216</v>
      </c>
    </row>
    <row r="577" ht="15.6" spans="4:11">
      <c r="D577" s="3">
        <v>1575</v>
      </c>
      <c r="E577" s="3" t="s">
        <v>216</v>
      </c>
      <c r="J577" s="3" t="s">
        <v>819</v>
      </c>
      <c r="K577" s="3" t="s">
        <v>216</v>
      </c>
    </row>
    <row r="578" ht="15.6" spans="4:11">
      <c r="D578" s="3">
        <v>1576</v>
      </c>
      <c r="E578" s="3" t="s">
        <v>216</v>
      </c>
      <c r="J578" s="3" t="s">
        <v>820</v>
      </c>
      <c r="K578" s="3" t="s">
        <v>216</v>
      </c>
    </row>
    <row r="579" ht="15.6" spans="4:11">
      <c r="D579" s="3">
        <v>1577</v>
      </c>
      <c r="E579" s="3" t="s">
        <v>216</v>
      </c>
      <c r="J579" s="3" t="s">
        <v>821</v>
      </c>
      <c r="K579" s="3" t="s">
        <v>216</v>
      </c>
    </row>
    <row r="580" ht="15.6" spans="4:11">
      <c r="D580" s="3">
        <v>1578</v>
      </c>
      <c r="E580" s="3" t="s">
        <v>216</v>
      </c>
      <c r="J580" s="3" t="s">
        <v>822</v>
      </c>
      <c r="K580" s="3" t="s">
        <v>216</v>
      </c>
    </row>
    <row r="581" ht="15.6" spans="4:11">
      <c r="D581" s="3">
        <v>1579</v>
      </c>
      <c r="E581" s="3" t="s">
        <v>216</v>
      </c>
      <c r="J581" s="3" t="s">
        <v>823</v>
      </c>
      <c r="K581" s="3" t="s">
        <v>216</v>
      </c>
    </row>
    <row r="582" ht="15.6" spans="4:11">
      <c r="D582" s="3">
        <v>1580</v>
      </c>
      <c r="E582" s="3" t="s">
        <v>216</v>
      </c>
      <c r="J582" s="3" t="s">
        <v>824</v>
      </c>
      <c r="K582" s="3" t="s">
        <v>216</v>
      </c>
    </row>
    <row r="583" ht="15.6" spans="4:11">
      <c r="D583" s="3">
        <v>1581</v>
      </c>
      <c r="E583" s="3" t="s">
        <v>216</v>
      </c>
      <c r="J583" s="3" t="s">
        <v>825</v>
      </c>
      <c r="K583" s="3" t="s">
        <v>216</v>
      </c>
    </row>
    <row r="584" ht="15.6" spans="4:11">
      <c r="D584" s="3">
        <v>1582</v>
      </c>
      <c r="E584" s="3" t="s">
        <v>216</v>
      </c>
      <c r="J584" s="3" t="s">
        <v>826</v>
      </c>
      <c r="K584" s="3" t="s">
        <v>216</v>
      </c>
    </row>
    <row r="585" ht="15.6" spans="4:11">
      <c r="D585" s="3">
        <v>1583</v>
      </c>
      <c r="E585" s="3" t="s">
        <v>216</v>
      </c>
      <c r="J585" s="3" t="s">
        <v>827</v>
      </c>
      <c r="K585" s="3" t="s">
        <v>216</v>
      </c>
    </row>
    <row r="586" ht="15.6" spans="4:11">
      <c r="D586" s="3">
        <v>1584</v>
      </c>
      <c r="E586" s="3" t="s">
        <v>216</v>
      </c>
      <c r="J586" s="3" t="s">
        <v>828</v>
      </c>
      <c r="K586" s="3" t="s">
        <v>216</v>
      </c>
    </row>
    <row r="587" ht="15.6" spans="4:11">
      <c r="D587" s="3">
        <v>1585</v>
      </c>
      <c r="E587" s="3" t="s">
        <v>216</v>
      </c>
      <c r="J587" s="3" t="s">
        <v>829</v>
      </c>
      <c r="K587" s="3" t="s">
        <v>216</v>
      </c>
    </row>
    <row r="588" ht="15.6" spans="4:11">
      <c r="D588" s="3">
        <v>1586</v>
      </c>
      <c r="E588" s="3" t="s">
        <v>216</v>
      </c>
      <c r="J588" s="3" t="s">
        <v>830</v>
      </c>
      <c r="K588" s="3" t="s">
        <v>216</v>
      </c>
    </row>
    <row r="589" ht="15.6" spans="4:11">
      <c r="D589" s="3">
        <v>1587</v>
      </c>
      <c r="E589" s="3" t="s">
        <v>216</v>
      </c>
      <c r="J589" s="3" t="s">
        <v>831</v>
      </c>
      <c r="K589" s="3" t="s">
        <v>216</v>
      </c>
    </row>
    <row r="590" ht="15.6" spans="4:11">
      <c r="D590" s="3">
        <v>1588</v>
      </c>
      <c r="E590" s="3" t="s">
        <v>216</v>
      </c>
      <c r="J590" s="3" t="s">
        <v>832</v>
      </c>
      <c r="K590" s="3" t="s">
        <v>216</v>
      </c>
    </row>
    <row r="591" ht="15.6" spans="4:11">
      <c r="D591" s="3">
        <v>1589</v>
      </c>
      <c r="E591" s="3" t="s">
        <v>216</v>
      </c>
      <c r="J591" s="3" t="s">
        <v>833</v>
      </c>
      <c r="K591" s="3" t="s">
        <v>216</v>
      </c>
    </row>
    <row r="592" ht="15.6" spans="4:11">
      <c r="D592" s="3">
        <v>1590</v>
      </c>
      <c r="E592" s="3" t="s">
        <v>216</v>
      </c>
      <c r="J592" s="3" t="s">
        <v>834</v>
      </c>
      <c r="K592" s="3" t="s">
        <v>216</v>
      </c>
    </row>
    <row r="593" ht="15.6" spans="4:11">
      <c r="D593" s="3">
        <v>1591</v>
      </c>
      <c r="E593" s="3" t="s">
        <v>216</v>
      </c>
      <c r="J593" s="3" t="s">
        <v>835</v>
      </c>
      <c r="K593" s="3" t="s">
        <v>216</v>
      </c>
    </row>
    <row r="594" ht="15.6" spans="4:11">
      <c r="D594" s="3">
        <v>1592</v>
      </c>
      <c r="E594" s="3" t="s">
        <v>216</v>
      </c>
      <c r="J594" s="3" t="s">
        <v>836</v>
      </c>
      <c r="K594" s="3" t="s">
        <v>216</v>
      </c>
    </row>
    <row r="595" ht="15.6" spans="4:11">
      <c r="D595" s="3">
        <v>1593</v>
      </c>
      <c r="E595" s="3" t="s">
        <v>216</v>
      </c>
      <c r="J595" s="3" t="s">
        <v>837</v>
      </c>
      <c r="K595" s="3" t="s">
        <v>216</v>
      </c>
    </row>
    <row r="596" ht="15.6" spans="4:11">
      <c r="D596" s="3">
        <v>1594</v>
      </c>
      <c r="E596" s="3" t="s">
        <v>216</v>
      </c>
      <c r="J596" s="3" t="s">
        <v>838</v>
      </c>
      <c r="K596" s="3" t="s">
        <v>216</v>
      </c>
    </row>
    <row r="597" ht="15.6" spans="4:11">
      <c r="D597" s="3">
        <v>1595</v>
      </c>
      <c r="E597" s="3" t="s">
        <v>216</v>
      </c>
      <c r="J597" s="3" t="s">
        <v>839</v>
      </c>
      <c r="K597" s="3" t="s">
        <v>216</v>
      </c>
    </row>
    <row r="598" ht="15.6" spans="4:11">
      <c r="D598" s="3">
        <v>1596</v>
      </c>
      <c r="E598" s="3" t="s">
        <v>216</v>
      </c>
      <c r="J598" s="3" t="s">
        <v>840</v>
      </c>
      <c r="K598" s="3" t="s">
        <v>216</v>
      </c>
    </row>
    <row r="599" ht="15.6" spans="4:11">
      <c r="D599" s="3">
        <v>1597</v>
      </c>
      <c r="E599" s="3" t="s">
        <v>216</v>
      </c>
      <c r="J599" s="3" t="s">
        <v>841</v>
      </c>
      <c r="K599" s="3" t="s">
        <v>216</v>
      </c>
    </row>
    <row r="600" ht="15.6" spans="4:11">
      <c r="D600" s="3">
        <v>1598</v>
      </c>
      <c r="E600" s="3" t="s">
        <v>216</v>
      </c>
      <c r="J600" s="3" t="s">
        <v>842</v>
      </c>
      <c r="K600" s="3" t="s">
        <v>216</v>
      </c>
    </row>
    <row r="601" ht="15.6" spans="4:11">
      <c r="D601" s="3">
        <v>1599</v>
      </c>
      <c r="E601" s="3" t="s">
        <v>216</v>
      </c>
      <c r="J601" s="3" t="s">
        <v>843</v>
      </c>
      <c r="K601" s="3" t="s">
        <v>216</v>
      </c>
    </row>
    <row r="602" ht="15.6" spans="4:11">
      <c r="D602" s="3">
        <v>1600</v>
      </c>
      <c r="E602" s="3" t="s">
        <v>216</v>
      </c>
      <c r="J602" s="3" t="s">
        <v>844</v>
      </c>
      <c r="K602" s="3" t="s">
        <v>216</v>
      </c>
    </row>
    <row r="603" ht="15.6" spans="4:11">
      <c r="D603" s="3">
        <v>1601</v>
      </c>
      <c r="E603" s="3" t="s">
        <v>216</v>
      </c>
      <c r="J603" s="3" t="s">
        <v>845</v>
      </c>
      <c r="K603" s="3" t="s">
        <v>216</v>
      </c>
    </row>
    <row r="604" ht="15.6" spans="4:11">
      <c r="D604" s="3">
        <v>1602</v>
      </c>
      <c r="E604" s="3" t="s">
        <v>216</v>
      </c>
      <c r="J604" s="3" t="s">
        <v>846</v>
      </c>
      <c r="K604" s="3" t="s">
        <v>216</v>
      </c>
    </row>
    <row r="605" ht="15.6" spans="4:11">
      <c r="D605" s="3">
        <v>1603</v>
      </c>
      <c r="E605" s="3" t="s">
        <v>216</v>
      </c>
      <c r="J605" s="3" t="s">
        <v>847</v>
      </c>
      <c r="K605" s="3" t="s">
        <v>216</v>
      </c>
    </row>
    <row r="606" ht="15.6" spans="4:11">
      <c r="D606" s="3">
        <v>1604</v>
      </c>
      <c r="E606" s="3" t="s">
        <v>216</v>
      </c>
      <c r="J606" s="3" t="s">
        <v>848</v>
      </c>
      <c r="K606" s="3" t="s">
        <v>216</v>
      </c>
    </row>
    <row r="607" ht="15.6" spans="4:11">
      <c r="D607" s="3">
        <v>1605</v>
      </c>
      <c r="E607" s="3" t="s">
        <v>216</v>
      </c>
      <c r="J607" s="3" t="s">
        <v>849</v>
      </c>
      <c r="K607" s="3" t="s">
        <v>216</v>
      </c>
    </row>
    <row r="608" ht="15.6" spans="4:11">
      <c r="D608" s="3">
        <v>1606</v>
      </c>
      <c r="E608" s="3" t="s">
        <v>216</v>
      </c>
      <c r="J608" s="3" t="s">
        <v>850</v>
      </c>
      <c r="K608" s="3" t="s">
        <v>216</v>
      </c>
    </row>
    <row r="609" ht="15.6" spans="4:11">
      <c r="D609" s="3">
        <v>1607</v>
      </c>
      <c r="E609" s="3" t="s">
        <v>216</v>
      </c>
      <c r="J609" s="3" t="s">
        <v>851</v>
      </c>
      <c r="K609" s="3" t="s">
        <v>216</v>
      </c>
    </row>
    <row r="610" ht="15.6" spans="4:11">
      <c r="D610" s="3">
        <v>1608</v>
      </c>
      <c r="E610" s="3" t="s">
        <v>216</v>
      </c>
      <c r="J610" s="3" t="s">
        <v>852</v>
      </c>
      <c r="K610" s="3" t="s">
        <v>216</v>
      </c>
    </row>
    <row r="611" ht="15.6" spans="4:11">
      <c r="D611" s="3">
        <v>1609</v>
      </c>
      <c r="E611" s="3" t="s">
        <v>216</v>
      </c>
      <c r="J611" s="3" t="s">
        <v>853</v>
      </c>
      <c r="K611" s="3" t="s">
        <v>216</v>
      </c>
    </row>
    <row r="612" ht="15.6" spans="4:11">
      <c r="D612" s="3">
        <v>1610</v>
      </c>
      <c r="E612" s="3" t="s">
        <v>216</v>
      </c>
      <c r="J612" s="3" t="s">
        <v>854</v>
      </c>
      <c r="K612" s="3" t="s">
        <v>216</v>
      </c>
    </row>
    <row r="613" ht="15.6" spans="4:11">
      <c r="D613" s="3">
        <v>1611</v>
      </c>
      <c r="E613" s="3" t="s">
        <v>216</v>
      </c>
      <c r="J613" s="3" t="s">
        <v>855</v>
      </c>
      <c r="K613" s="3" t="s">
        <v>216</v>
      </c>
    </row>
    <row r="614" ht="15.6" spans="4:11">
      <c r="D614" s="3">
        <v>1612</v>
      </c>
      <c r="E614" s="3" t="s">
        <v>216</v>
      </c>
      <c r="J614" s="3" t="s">
        <v>856</v>
      </c>
      <c r="K614" s="3" t="s">
        <v>216</v>
      </c>
    </row>
    <row r="615" ht="15.6" spans="4:11">
      <c r="D615" s="3">
        <v>1613</v>
      </c>
      <c r="E615" s="3" t="s">
        <v>216</v>
      </c>
      <c r="J615" s="3" t="s">
        <v>857</v>
      </c>
      <c r="K615" s="3" t="s">
        <v>216</v>
      </c>
    </row>
    <row r="616" ht="15.6" spans="4:11">
      <c r="D616" s="3">
        <v>1614</v>
      </c>
      <c r="E616" s="3" t="s">
        <v>216</v>
      </c>
      <c r="J616" s="3" t="s">
        <v>858</v>
      </c>
      <c r="K616" s="3" t="s">
        <v>216</v>
      </c>
    </row>
    <row r="617" ht="15.6" spans="4:11">
      <c r="D617" s="3">
        <v>1615</v>
      </c>
      <c r="E617" s="3" t="s">
        <v>216</v>
      </c>
      <c r="J617" s="3" t="s">
        <v>859</v>
      </c>
      <c r="K617" s="3" t="s">
        <v>216</v>
      </c>
    </row>
    <row r="618" ht="15.6" spans="4:11">
      <c r="D618" s="3">
        <v>1616</v>
      </c>
      <c r="E618" s="3" t="s">
        <v>216</v>
      </c>
      <c r="J618" s="3" t="s">
        <v>860</v>
      </c>
      <c r="K618" s="3" t="s">
        <v>216</v>
      </c>
    </row>
    <row r="619" ht="15.6" spans="4:11">
      <c r="D619" s="3">
        <v>1617</v>
      </c>
      <c r="E619" s="3" t="s">
        <v>216</v>
      </c>
      <c r="J619" s="3" t="s">
        <v>861</v>
      </c>
      <c r="K619" s="3" t="s">
        <v>216</v>
      </c>
    </row>
    <row r="620" ht="15.6" spans="4:11">
      <c r="D620" s="3">
        <v>1618</v>
      </c>
      <c r="E620" s="3" t="s">
        <v>216</v>
      </c>
      <c r="J620" s="3" t="s">
        <v>862</v>
      </c>
      <c r="K620" s="3" t="s">
        <v>216</v>
      </c>
    </row>
    <row r="621" ht="15.6" spans="4:11">
      <c r="D621" s="3">
        <v>1619</v>
      </c>
      <c r="E621" s="3" t="s">
        <v>216</v>
      </c>
      <c r="J621" s="3" t="s">
        <v>863</v>
      </c>
      <c r="K621" s="3" t="s">
        <v>216</v>
      </c>
    </row>
    <row r="622" ht="15.6" spans="4:11">
      <c r="D622" s="3">
        <v>1620</v>
      </c>
      <c r="E622" s="3" t="s">
        <v>216</v>
      </c>
      <c r="J622" s="3" t="s">
        <v>864</v>
      </c>
      <c r="K622" s="3" t="s">
        <v>216</v>
      </c>
    </row>
    <row r="623" ht="15.6" spans="4:11">
      <c r="D623" s="3">
        <v>1621</v>
      </c>
      <c r="E623" s="3" t="s">
        <v>216</v>
      </c>
      <c r="J623" s="3" t="s">
        <v>865</v>
      </c>
      <c r="K623" s="3" t="s">
        <v>216</v>
      </c>
    </row>
    <row r="624" ht="15.6" spans="4:11">
      <c r="D624" s="3">
        <v>1622</v>
      </c>
      <c r="E624" s="3" t="s">
        <v>216</v>
      </c>
      <c r="J624" s="3" t="s">
        <v>866</v>
      </c>
      <c r="K624" s="3" t="s">
        <v>216</v>
      </c>
    </row>
    <row r="625" ht="15.6" spans="4:11">
      <c r="D625" s="3">
        <v>1623</v>
      </c>
      <c r="E625" s="3" t="s">
        <v>216</v>
      </c>
      <c r="J625" s="3" t="s">
        <v>867</v>
      </c>
      <c r="K625" s="3" t="s">
        <v>216</v>
      </c>
    </row>
    <row r="626" ht="15.6" spans="4:11">
      <c r="D626" s="3">
        <v>1624</v>
      </c>
      <c r="E626" s="3" t="s">
        <v>216</v>
      </c>
      <c r="J626" s="3" t="s">
        <v>868</v>
      </c>
      <c r="K626" s="3" t="s">
        <v>216</v>
      </c>
    </row>
    <row r="627" ht="15.6" spans="4:11">
      <c r="D627" s="3">
        <v>1625</v>
      </c>
      <c r="E627" s="3" t="s">
        <v>216</v>
      </c>
      <c r="J627" s="3" t="s">
        <v>869</v>
      </c>
      <c r="K627" s="3" t="s">
        <v>216</v>
      </c>
    </row>
    <row r="628" ht="15.6" spans="4:11">
      <c r="D628" s="3">
        <v>1626</v>
      </c>
      <c r="E628" s="3" t="s">
        <v>216</v>
      </c>
      <c r="J628" s="3" t="s">
        <v>870</v>
      </c>
      <c r="K628" s="3" t="s">
        <v>216</v>
      </c>
    </row>
    <row r="629" ht="15.6" spans="4:11">
      <c r="D629" s="3">
        <v>1627</v>
      </c>
      <c r="E629" s="3" t="s">
        <v>216</v>
      </c>
      <c r="J629" s="3" t="s">
        <v>871</v>
      </c>
      <c r="K629" s="3" t="s">
        <v>216</v>
      </c>
    </row>
    <row r="630" ht="15.6" spans="4:11">
      <c r="D630" s="3">
        <v>1628</v>
      </c>
      <c r="E630" s="3" t="s">
        <v>216</v>
      </c>
      <c r="J630" s="3" t="s">
        <v>872</v>
      </c>
      <c r="K630" s="3" t="s">
        <v>216</v>
      </c>
    </row>
    <row r="631" ht="15.6" spans="4:11">
      <c r="D631" s="3">
        <v>1629</v>
      </c>
      <c r="E631" s="3" t="s">
        <v>216</v>
      </c>
      <c r="J631" s="3" t="s">
        <v>873</v>
      </c>
      <c r="K631" s="3" t="s">
        <v>216</v>
      </c>
    </row>
    <row r="632" ht="15.6" spans="4:11">
      <c r="D632" s="3">
        <v>1630</v>
      </c>
      <c r="E632" s="3" t="s">
        <v>216</v>
      </c>
      <c r="J632" s="3" t="s">
        <v>874</v>
      </c>
      <c r="K632" s="3" t="s">
        <v>216</v>
      </c>
    </row>
    <row r="633" ht="15.6" spans="4:11">
      <c r="D633" s="3">
        <v>1631</v>
      </c>
      <c r="E633" s="3" t="s">
        <v>216</v>
      </c>
      <c r="J633" s="3" t="s">
        <v>875</v>
      </c>
      <c r="K633" s="3" t="s">
        <v>216</v>
      </c>
    </row>
    <row r="634" ht="15.6" spans="4:11">
      <c r="D634" s="3">
        <v>1632</v>
      </c>
      <c r="E634" s="3" t="s">
        <v>216</v>
      </c>
      <c r="J634" s="3" t="s">
        <v>876</v>
      </c>
      <c r="K634" s="3" t="s">
        <v>216</v>
      </c>
    </row>
    <row r="635" ht="15.6" spans="4:11">
      <c r="D635" s="3">
        <v>1633</v>
      </c>
      <c r="E635" s="3" t="s">
        <v>216</v>
      </c>
      <c r="J635" s="3" t="s">
        <v>877</v>
      </c>
      <c r="K635" s="3" t="s">
        <v>216</v>
      </c>
    </row>
    <row r="636" ht="15.6" spans="4:11">
      <c r="D636" s="3">
        <v>1634</v>
      </c>
      <c r="E636" s="3" t="s">
        <v>216</v>
      </c>
      <c r="J636" s="3" t="s">
        <v>878</v>
      </c>
      <c r="K636" s="3" t="s">
        <v>216</v>
      </c>
    </row>
    <row r="637" ht="15.6" spans="4:11">
      <c r="D637" s="3">
        <v>1635</v>
      </c>
      <c r="E637" s="3" t="s">
        <v>216</v>
      </c>
      <c r="J637" s="3" t="s">
        <v>879</v>
      </c>
      <c r="K637" s="3" t="s">
        <v>216</v>
      </c>
    </row>
    <row r="638" ht="15.6" spans="4:11">
      <c r="D638" s="3">
        <v>1636</v>
      </c>
      <c r="E638" s="3" t="s">
        <v>216</v>
      </c>
      <c r="J638" s="3" t="s">
        <v>880</v>
      </c>
      <c r="K638" s="3" t="s">
        <v>216</v>
      </c>
    </row>
    <row r="639" ht="15.6" spans="4:11">
      <c r="D639" s="3">
        <v>1637</v>
      </c>
      <c r="E639" s="3" t="s">
        <v>216</v>
      </c>
      <c r="J639" s="3" t="s">
        <v>881</v>
      </c>
      <c r="K639" s="3" t="s">
        <v>216</v>
      </c>
    </row>
    <row r="640" ht="15.6" spans="4:11">
      <c r="D640" s="3">
        <v>1638</v>
      </c>
      <c r="E640" s="3" t="s">
        <v>216</v>
      </c>
      <c r="J640" s="3" t="s">
        <v>882</v>
      </c>
      <c r="K640" s="3" t="s">
        <v>216</v>
      </c>
    </row>
    <row r="641" ht="15.6" spans="4:11">
      <c r="D641" s="3">
        <v>1639</v>
      </c>
      <c r="E641" s="3" t="s">
        <v>216</v>
      </c>
      <c r="J641" s="3" t="s">
        <v>883</v>
      </c>
      <c r="K641" s="3" t="s">
        <v>216</v>
      </c>
    </row>
    <row r="642" ht="15.6" spans="4:11">
      <c r="D642" s="3">
        <v>1640</v>
      </c>
      <c r="E642" s="3" t="s">
        <v>216</v>
      </c>
      <c r="J642" s="3" t="s">
        <v>884</v>
      </c>
      <c r="K642" s="3" t="s">
        <v>216</v>
      </c>
    </row>
    <row r="643" ht="15.6" spans="4:11">
      <c r="D643" s="3">
        <v>1641</v>
      </c>
      <c r="E643" s="3" t="s">
        <v>216</v>
      </c>
      <c r="J643" s="3" t="s">
        <v>885</v>
      </c>
      <c r="K643" s="3" t="s">
        <v>216</v>
      </c>
    </row>
    <row r="644" ht="15.6" spans="4:11">
      <c r="D644" s="3">
        <v>1642</v>
      </c>
      <c r="E644" s="3" t="s">
        <v>216</v>
      </c>
      <c r="J644" s="3" t="s">
        <v>886</v>
      </c>
      <c r="K644" s="3" t="s">
        <v>216</v>
      </c>
    </row>
    <row r="645" ht="15.6" spans="4:11">
      <c r="D645" s="3">
        <v>1643</v>
      </c>
      <c r="E645" s="3" t="s">
        <v>216</v>
      </c>
      <c r="J645" s="3" t="s">
        <v>887</v>
      </c>
      <c r="K645" s="3" t="s">
        <v>216</v>
      </c>
    </row>
    <row r="646" ht="15.6" spans="4:11">
      <c r="D646" s="3">
        <v>1644</v>
      </c>
      <c r="E646" s="3" t="s">
        <v>216</v>
      </c>
      <c r="J646" s="3" t="s">
        <v>888</v>
      </c>
      <c r="K646" s="3" t="s">
        <v>216</v>
      </c>
    </row>
    <row r="647" ht="15.6" spans="4:11">
      <c r="D647" s="3">
        <v>1645</v>
      </c>
      <c r="E647" s="3" t="s">
        <v>216</v>
      </c>
      <c r="J647" s="3" t="s">
        <v>889</v>
      </c>
      <c r="K647" s="3" t="s">
        <v>216</v>
      </c>
    </row>
    <row r="648" ht="15.6" spans="4:11">
      <c r="D648" s="3">
        <v>1646</v>
      </c>
      <c r="E648" s="3" t="s">
        <v>216</v>
      </c>
      <c r="J648" s="3" t="s">
        <v>890</v>
      </c>
      <c r="K648" s="3" t="s">
        <v>216</v>
      </c>
    </row>
    <row r="649" ht="15.6" spans="4:11">
      <c r="D649" s="3">
        <v>1647</v>
      </c>
      <c r="E649" s="3" t="s">
        <v>216</v>
      </c>
      <c r="J649" s="3" t="s">
        <v>891</v>
      </c>
      <c r="K649" s="3" t="s">
        <v>216</v>
      </c>
    </row>
    <row r="650" ht="15.6" spans="4:11">
      <c r="D650" s="3">
        <v>1648</v>
      </c>
      <c r="E650" s="3" t="s">
        <v>216</v>
      </c>
      <c r="J650" s="3" t="s">
        <v>892</v>
      </c>
      <c r="K650" s="3" t="s">
        <v>216</v>
      </c>
    </row>
    <row r="651" ht="15.6" spans="4:11">
      <c r="D651" s="3">
        <v>1649</v>
      </c>
      <c r="E651" s="3" t="s">
        <v>216</v>
      </c>
      <c r="J651" s="3" t="s">
        <v>893</v>
      </c>
      <c r="K651" s="3" t="s">
        <v>216</v>
      </c>
    </row>
    <row r="652" ht="15.6" spans="4:11">
      <c r="D652" s="3">
        <v>1650</v>
      </c>
      <c r="E652" s="3" t="s">
        <v>216</v>
      </c>
      <c r="J652" s="3" t="s">
        <v>894</v>
      </c>
      <c r="K652" s="3" t="s">
        <v>216</v>
      </c>
    </row>
    <row r="653" ht="15.6" spans="4:11">
      <c r="D653" s="3">
        <v>1651</v>
      </c>
      <c r="E653" s="3" t="s">
        <v>216</v>
      </c>
      <c r="J653" s="3" t="s">
        <v>895</v>
      </c>
      <c r="K653" s="3" t="s">
        <v>216</v>
      </c>
    </row>
    <row r="654" ht="15.6" spans="4:11">
      <c r="D654" s="3">
        <v>1652</v>
      </c>
      <c r="E654" s="3" t="s">
        <v>216</v>
      </c>
      <c r="J654" s="3" t="s">
        <v>896</v>
      </c>
      <c r="K654" s="3" t="s">
        <v>216</v>
      </c>
    </row>
    <row r="655" ht="15.6" spans="4:11">
      <c r="D655" s="3">
        <v>1653</v>
      </c>
      <c r="E655" s="3" t="s">
        <v>216</v>
      </c>
      <c r="J655" s="3" t="s">
        <v>897</v>
      </c>
      <c r="K655" s="3" t="s">
        <v>216</v>
      </c>
    </row>
    <row r="656" ht="15.6" spans="4:11">
      <c r="D656" s="3">
        <v>1654</v>
      </c>
      <c r="E656" s="3" t="s">
        <v>216</v>
      </c>
      <c r="J656" s="3" t="s">
        <v>898</v>
      </c>
      <c r="K656" s="3" t="s">
        <v>216</v>
      </c>
    </row>
    <row r="657" ht="15.6" spans="4:11">
      <c r="D657" s="3">
        <v>1655</v>
      </c>
      <c r="E657" s="3" t="s">
        <v>216</v>
      </c>
      <c r="J657" s="3" t="s">
        <v>899</v>
      </c>
      <c r="K657" s="3" t="s">
        <v>216</v>
      </c>
    </row>
    <row r="658" ht="15.6" spans="4:11">
      <c r="D658" s="3">
        <v>1656</v>
      </c>
      <c r="E658" s="3" t="s">
        <v>216</v>
      </c>
      <c r="J658" s="3" t="s">
        <v>900</v>
      </c>
      <c r="K658" s="3" t="s">
        <v>216</v>
      </c>
    </row>
    <row r="659" ht="15.6" spans="4:11">
      <c r="D659" s="3">
        <v>1657</v>
      </c>
      <c r="E659" s="3" t="s">
        <v>216</v>
      </c>
      <c r="J659" s="3" t="s">
        <v>901</v>
      </c>
      <c r="K659" s="3" t="s">
        <v>216</v>
      </c>
    </row>
    <row r="660" ht="15.6" spans="4:11">
      <c r="D660" s="3">
        <v>1658</v>
      </c>
      <c r="E660" s="3" t="s">
        <v>216</v>
      </c>
      <c r="J660" s="3" t="s">
        <v>902</v>
      </c>
      <c r="K660" s="3" t="s">
        <v>216</v>
      </c>
    </row>
    <row r="661" ht="15.6" spans="4:11">
      <c r="D661" s="3">
        <v>1659</v>
      </c>
      <c r="E661" s="3" t="s">
        <v>216</v>
      </c>
      <c r="J661" s="3" t="s">
        <v>903</v>
      </c>
      <c r="K661" s="3" t="s">
        <v>216</v>
      </c>
    </row>
    <row r="662" ht="15.6" spans="4:11">
      <c r="D662" s="3">
        <v>1660</v>
      </c>
      <c r="E662" s="3" t="s">
        <v>216</v>
      </c>
      <c r="J662" s="3" t="s">
        <v>904</v>
      </c>
      <c r="K662" s="3" t="s">
        <v>216</v>
      </c>
    </row>
    <row r="663" ht="15.6" spans="4:11">
      <c r="D663" s="3">
        <v>1661</v>
      </c>
      <c r="E663" s="3" t="s">
        <v>216</v>
      </c>
      <c r="J663" s="3" t="s">
        <v>905</v>
      </c>
      <c r="K663" s="3" t="s">
        <v>216</v>
      </c>
    </row>
    <row r="664" ht="15.6" spans="4:11">
      <c r="D664" s="3">
        <v>1662</v>
      </c>
      <c r="E664" s="3" t="s">
        <v>216</v>
      </c>
      <c r="J664" s="3" t="s">
        <v>906</v>
      </c>
      <c r="K664" s="3" t="s">
        <v>216</v>
      </c>
    </row>
    <row r="665" ht="15.6" spans="4:11">
      <c r="D665" s="3">
        <v>1663</v>
      </c>
      <c r="E665" s="3" t="s">
        <v>216</v>
      </c>
      <c r="J665" s="3" t="s">
        <v>907</v>
      </c>
      <c r="K665" s="3" t="s">
        <v>216</v>
      </c>
    </row>
    <row r="666" ht="15.6" spans="4:11">
      <c r="D666" s="3">
        <v>1664</v>
      </c>
      <c r="E666" s="3" t="s">
        <v>216</v>
      </c>
      <c r="J666" s="3" t="s">
        <v>908</v>
      </c>
      <c r="K666" s="3" t="s">
        <v>216</v>
      </c>
    </row>
    <row r="667" ht="15.6" spans="4:11">
      <c r="D667" s="3">
        <v>1665</v>
      </c>
      <c r="E667" s="3" t="s">
        <v>216</v>
      </c>
      <c r="J667" s="3" t="s">
        <v>909</v>
      </c>
      <c r="K667" s="3" t="s">
        <v>216</v>
      </c>
    </row>
    <row r="668" ht="15.6" spans="4:11">
      <c r="D668" s="3">
        <v>1666</v>
      </c>
      <c r="E668" s="3" t="s">
        <v>216</v>
      </c>
      <c r="J668" s="3" t="s">
        <v>910</v>
      </c>
      <c r="K668" s="3" t="s">
        <v>216</v>
      </c>
    </row>
    <row r="669" ht="15.6" spans="4:11">
      <c r="D669" s="3">
        <v>1667</v>
      </c>
      <c r="E669" s="3" t="s">
        <v>216</v>
      </c>
      <c r="J669" s="3" t="s">
        <v>911</v>
      </c>
      <c r="K669" s="3" t="s">
        <v>216</v>
      </c>
    </row>
    <row r="670" ht="15.6" spans="4:11">
      <c r="D670" s="3">
        <v>1668</v>
      </c>
      <c r="E670" s="3" t="s">
        <v>216</v>
      </c>
      <c r="J670" s="3" t="s">
        <v>912</v>
      </c>
      <c r="K670" s="3" t="s">
        <v>216</v>
      </c>
    </row>
    <row r="671" ht="15.6" spans="4:11">
      <c r="D671" s="3">
        <v>1669</v>
      </c>
      <c r="E671" s="3" t="s">
        <v>216</v>
      </c>
      <c r="J671" s="3" t="s">
        <v>913</v>
      </c>
      <c r="K671" s="3" t="s">
        <v>216</v>
      </c>
    </row>
    <row r="672" ht="15.6" spans="4:11">
      <c r="D672" s="3">
        <v>1670</v>
      </c>
      <c r="E672" s="3" t="s">
        <v>216</v>
      </c>
      <c r="J672" s="3" t="s">
        <v>914</v>
      </c>
      <c r="K672" s="3" t="s">
        <v>216</v>
      </c>
    </row>
    <row r="673" ht="15.6" spans="4:11">
      <c r="D673" s="3">
        <v>1671</v>
      </c>
      <c r="E673" s="3" t="s">
        <v>216</v>
      </c>
      <c r="J673" s="3" t="s">
        <v>915</v>
      </c>
      <c r="K673" s="3" t="s">
        <v>216</v>
      </c>
    </row>
    <row r="674" ht="15.6" spans="4:11">
      <c r="D674" s="3">
        <v>1672</v>
      </c>
      <c r="E674" s="3" t="s">
        <v>216</v>
      </c>
      <c r="J674" s="3" t="s">
        <v>916</v>
      </c>
      <c r="K674" s="3" t="s">
        <v>216</v>
      </c>
    </row>
    <row r="675" ht="15.6" spans="4:11">
      <c r="D675" s="3">
        <v>1673</v>
      </c>
      <c r="E675" s="3" t="s">
        <v>216</v>
      </c>
      <c r="J675" s="3" t="s">
        <v>917</v>
      </c>
      <c r="K675" s="3" t="s">
        <v>216</v>
      </c>
    </row>
    <row r="676" ht="15.6" spans="4:11">
      <c r="D676" s="3">
        <v>1674</v>
      </c>
      <c r="E676" s="3" t="s">
        <v>216</v>
      </c>
      <c r="J676" s="3" t="s">
        <v>918</v>
      </c>
      <c r="K676" s="3" t="s">
        <v>216</v>
      </c>
    </row>
    <row r="677" ht="15.6" spans="4:11">
      <c r="D677" s="3">
        <v>1675</v>
      </c>
      <c r="E677" s="3" t="s">
        <v>216</v>
      </c>
      <c r="J677" s="3" t="s">
        <v>919</v>
      </c>
      <c r="K677" s="3" t="s">
        <v>216</v>
      </c>
    </row>
    <row r="678" ht="15.6" spans="4:11">
      <c r="D678" s="3">
        <v>1676</v>
      </c>
      <c r="E678" s="3" t="s">
        <v>216</v>
      </c>
      <c r="J678" s="3" t="s">
        <v>920</v>
      </c>
      <c r="K678" s="3" t="s">
        <v>216</v>
      </c>
    </row>
    <row r="679" ht="15.6" spans="4:11">
      <c r="D679" s="3">
        <v>1677</v>
      </c>
      <c r="E679" s="3" t="s">
        <v>216</v>
      </c>
      <c r="J679" s="3" t="s">
        <v>921</v>
      </c>
      <c r="K679" s="3" t="s">
        <v>216</v>
      </c>
    </row>
    <row r="680" ht="15.6" spans="4:11">
      <c r="D680" s="3">
        <v>1678</v>
      </c>
      <c r="E680" s="3" t="s">
        <v>216</v>
      </c>
      <c r="J680" s="3" t="s">
        <v>922</v>
      </c>
      <c r="K680" s="3" t="s">
        <v>216</v>
      </c>
    </row>
    <row r="681" ht="15.6" spans="4:11">
      <c r="D681" s="3">
        <v>1679</v>
      </c>
      <c r="E681" s="3" t="s">
        <v>216</v>
      </c>
      <c r="J681" s="3" t="s">
        <v>923</v>
      </c>
      <c r="K681" s="3" t="s">
        <v>216</v>
      </c>
    </row>
    <row r="682" ht="15.6" spans="4:11">
      <c r="D682" s="3">
        <v>1680</v>
      </c>
      <c r="E682" s="3" t="s">
        <v>216</v>
      </c>
      <c r="J682" s="3" t="s">
        <v>924</v>
      </c>
      <c r="K682" s="3" t="s">
        <v>216</v>
      </c>
    </row>
    <row r="683" ht="15.6" spans="4:11">
      <c r="D683" s="3">
        <v>1681</v>
      </c>
      <c r="E683" s="3" t="s">
        <v>216</v>
      </c>
      <c r="J683" s="3" t="s">
        <v>925</v>
      </c>
      <c r="K683" s="3" t="s">
        <v>216</v>
      </c>
    </row>
    <row r="684" ht="15.6" spans="4:11">
      <c r="D684" s="3">
        <v>1682</v>
      </c>
      <c r="E684" s="3" t="s">
        <v>216</v>
      </c>
      <c r="J684" s="3" t="s">
        <v>926</v>
      </c>
      <c r="K684" s="3" t="s">
        <v>216</v>
      </c>
    </row>
    <row r="685" ht="15.6" spans="4:11">
      <c r="D685" s="3">
        <v>1683</v>
      </c>
      <c r="E685" s="3" t="s">
        <v>216</v>
      </c>
      <c r="J685" s="3" t="s">
        <v>927</v>
      </c>
      <c r="K685" s="3" t="s">
        <v>216</v>
      </c>
    </row>
    <row r="686" ht="15.6" spans="4:11">
      <c r="D686" s="3">
        <v>1684</v>
      </c>
      <c r="E686" s="3" t="s">
        <v>216</v>
      </c>
      <c r="J686" s="3" t="s">
        <v>928</v>
      </c>
      <c r="K686" s="3" t="s">
        <v>216</v>
      </c>
    </row>
    <row r="687" ht="15.6" spans="4:11">
      <c r="D687" s="3">
        <v>1685</v>
      </c>
      <c r="E687" s="3" t="s">
        <v>216</v>
      </c>
      <c r="J687" s="3" t="s">
        <v>929</v>
      </c>
      <c r="K687" s="3" t="s">
        <v>216</v>
      </c>
    </row>
    <row r="688" ht="15.6" spans="4:11">
      <c r="D688" s="3">
        <v>1686</v>
      </c>
      <c r="E688" s="3" t="s">
        <v>216</v>
      </c>
      <c r="J688" s="3" t="s">
        <v>930</v>
      </c>
      <c r="K688" s="3" t="s">
        <v>216</v>
      </c>
    </row>
    <row r="689" ht="15.6" spans="4:11">
      <c r="D689" s="3">
        <v>1687</v>
      </c>
      <c r="E689" s="3" t="s">
        <v>216</v>
      </c>
      <c r="J689" s="3" t="s">
        <v>931</v>
      </c>
      <c r="K689" s="3" t="s">
        <v>216</v>
      </c>
    </row>
    <row r="690" ht="15.6" spans="4:11">
      <c r="D690" s="3">
        <v>1688</v>
      </c>
      <c r="E690" s="3" t="s">
        <v>216</v>
      </c>
      <c r="J690" s="3" t="s">
        <v>932</v>
      </c>
      <c r="K690" s="3" t="s">
        <v>216</v>
      </c>
    </row>
    <row r="691" ht="15.6" spans="4:11">
      <c r="D691" s="3">
        <v>1689</v>
      </c>
      <c r="E691" s="3" t="s">
        <v>216</v>
      </c>
      <c r="J691" s="3" t="s">
        <v>933</v>
      </c>
      <c r="K691" s="3" t="s">
        <v>216</v>
      </c>
    </row>
    <row r="692" ht="15.6" spans="4:11">
      <c r="D692" s="3">
        <v>1690</v>
      </c>
      <c r="E692" s="3" t="s">
        <v>216</v>
      </c>
      <c r="J692" s="3" t="s">
        <v>934</v>
      </c>
      <c r="K692" s="3" t="s">
        <v>216</v>
      </c>
    </row>
    <row r="693" ht="15.6" spans="4:11">
      <c r="D693" s="3">
        <v>1691</v>
      </c>
      <c r="E693" s="3" t="s">
        <v>216</v>
      </c>
      <c r="J693" s="3" t="s">
        <v>935</v>
      </c>
      <c r="K693" s="3" t="s">
        <v>216</v>
      </c>
    </row>
    <row r="694" ht="15.6" spans="4:11">
      <c r="D694" s="3">
        <v>1692</v>
      </c>
      <c r="E694" s="3" t="s">
        <v>216</v>
      </c>
      <c r="J694" s="3" t="s">
        <v>936</v>
      </c>
      <c r="K694" s="3" t="s">
        <v>216</v>
      </c>
    </row>
    <row r="695" ht="15.6" spans="4:11">
      <c r="D695" s="3">
        <v>1693</v>
      </c>
      <c r="E695" s="3" t="s">
        <v>216</v>
      </c>
      <c r="J695" s="3" t="s">
        <v>937</v>
      </c>
      <c r="K695" s="3" t="s">
        <v>216</v>
      </c>
    </row>
    <row r="696" ht="15.6" spans="4:11">
      <c r="D696" s="3">
        <v>1694</v>
      </c>
      <c r="E696" s="3" t="s">
        <v>216</v>
      </c>
      <c r="J696" s="3" t="s">
        <v>938</v>
      </c>
      <c r="K696" s="3" t="s">
        <v>216</v>
      </c>
    </row>
    <row r="697" ht="15.6" spans="4:11">
      <c r="D697" s="3">
        <v>1695</v>
      </c>
      <c r="E697" s="3" t="s">
        <v>216</v>
      </c>
      <c r="J697" s="3" t="s">
        <v>939</v>
      </c>
      <c r="K697" s="3" t="s">
        <v>216</v>
      </c>
    </row>
    <row r="698" ht="15.6" spans="4:11">
      <c r="D698" s="3">
        <v>1696</v>
      </c>
      <c r="E698" s="3" t="s">
        <v>216</v>
      </c>
      <c r="J698" s="3" t="s">
        <v>940</v>
      </c>
      <c r="K698" s="3" t="s">
        <v>216</v>
      </c>
    </row>
    <row r="699" ht="15.6" spans="4:11">
      <c r="D699" s="3">
        <v>1697</v>
      </c>
      <c r="E699" s="3" t="s">
        <v>216</v>
      </c>
      <c r="J699" s="3" t="s">
        <v>941</v>
      </c>
      <c r="K699" s="3" t="s">
        <v>216</v>
      </c>
    </row>
    <row r="700" ht="15.6" spans="4:11">
      <c r="D700" s="3">
        <v>1698</v>
      </c>
      <c r="E700" s="3" t="s">
        <v>216</v>
      </c>
      <c r="J700" s="3" t="s">
        <v>942</v>
      </c>
      <c r="K700" s="3" t="s">
        <v>216</v>
      </c>
    </row>
    <row r="701" ht="15.6" spans="4:11">
      <c r="D701" s="3">
        <v>1699</v>
      </c>
      <c r="E701" s="3" t="s">
        <v>216</v>
      </c>
      <c r="J701" s="3" t="s">
        <v>943</v>
      </c>
      <c r="K701" s="3" t="s">
        <v>216</v>
      </c>
    </row>
    <row r="702" ht="15.6" spans="4:11">
      <c r="D702" s="3">
        <v>1700</v>
      </c>
      <c r="E702" s="3" t="s">
        <v>216</v>
      </c>
      <c r="J702" s="3" t="s">
        <v>944</v>
      </c>
      <c r="K702" s="3" t="s">
        <v>216</v>
      </c>
    </row>
    <row r="703" ht="15.6" spans="4:11">
      <c r="D703" s="3">
        <v>1701</v>
      </c>
      <c r="E703" s="3" t="s">
        <v>216</v>
      </c>
      <c r="J703" s="3" t="s">
        <v>945</v>
      </c>
      <c r="K703" s="3" t="s">
        <v>216</v>
      </c>
    </row>
    <row r="704" ht="15.6" spans="4:11">
      <c r="D704" s="3">
        <v>1702</v>
      </c>
      <c r="E704" s="3" t="s">
        <v>216</v>
      </c>
      <c r="J704" s="3" t="s">
        <v>946</v>
      </c>
      <c r="K704" s="3" t="s">
        <v>216</v>
      </c>
    </row>
    <row r="705" ht="15.6" spans="4:11">
      <c r="D705" s="3">
        <v>1703</v>
      </c>
      <c r="E705" s="3" t="s">
        <v>216</v>
      </c>
      <c r="J705" s="3" t="s">
        <v>947</v>
      </c>
      <c r="K705" s="3" t="s">
        <v>216</v>
      </c>
    </row>
    <row r="706" ht="15.6" spans="4:11">
      <c r="D706" s="3">
        <v>1704</v>
      </c>
      <c r="E706" s="3" t="s">
        <v>216</v>
      </c>
      <c r="J706" s="3" t="s">
        <v>948</v>
      </c>
      <c r="K706" s="3" t="s">
        <v>216</v>
      </c>
    </row>
    <row r="707" ht="15.6" spans="4:11">
      <c r="D707" s="3">
        <v>1705</v>
      </c>
      <c r="E707" s="3" t="s">
        <v>216</v>
      </c>
      <c r="J707" s="3" t="s">
        <v>949</v>
      </c>
      <c r="K707" s="3" t="s">
        <v>216</v>
      </c>
    </row>
    <row r="708" ht="15.6" spans="4:11">
      <c r="D708" s="3">
        <v>1706</v>
      </c>
      <c r="E708" s="3" t="s">
        <v>216</v>
      </c>
      <c r="J708" s="3" t="s">
        <v>950</v>
      </c>
      <c r="K708" s="3" t="s">
        <v>216</v>
      </c>
    </row>
    <row r="709" ht="15.6" spans="4:11">
      <c r="D709" s="3">
        <v>1707</v>
      </c>
      <c r="E709" s="3" t="s">
        <v>216</v>
      </c>
      <c r="J709" s="3" t="s">
        <v>951</v>
      </c>
      <c r="K709" s="3" t="s">
        <v>216</v>
      </c>
    </row>
    <row r="710" ht="15.6" spans="4:11">
      <c r="D710" s="3">
        <v>1708</v>
      </c>
      <c r="E710" s="3" t="s">
        <v>216</v>
      </c>
      <c r="J710" s="3" t="s">
        <v>952</v>
      </c>
      <c r="K710" s="3" t="s">
        <v>216</v>
      </c>
    </row>
    <row r="711" ht="15.6" spans="4:11">
      <c r="D711" s="3">
        <v>1709</v>
      </c>
      <c r="E711" s="3" t="s">
        <v>216</v>
      </c>
      <c r="J711" s="3" t="s">
        <v>953</v>
      </c>
      <c r="K711" s="3" t="s">
        <v>216</v>
      </c>
    </row>
    <row r="712" ht="15.6" spans="4:11">
      <c r="D712" s="3">
        <v>1710</v>
      </c>
      <c r="E712" s="3" t="s">
        <v>216</v>
      </c>
      <c r="J712" s="3" t="s">
        <v>954</v>
      </c>
      <c r="K712" s="3" t="s">
        <v>216</v>
      </c>
    </row>
    <row r="713" ht="15.6" spans="4:11">
      <c r="D713" s="3">
        <v>1711</v>
      </c>
      <c r="E713" s="3" t="s">
        <v>216</v>
      </c>
      <c r="J713" s="3" t="s">
        <v>955</v>
      </c>
      <c r="K713" s="3" t="s">
        <v>216</v>
      </c>
    </row>
    <row r="714" ht="15.6" spans="4:11">
      <c r="D714" s="3">
        <v>1712</v>
      </c>
      <c r="E714" s="3" t="s">
        <v>216</v>
      </c>
      <c r="J714" s="3" t="s">
        <v>956</v>
      </c>
      <c r="K714" s="3" t="s">
        <v>216</v>
      </c>
    </row>
    <row r="715" ht="15.6" spans="4:11">
      <c r="D715" s="3">
        <v>1713</v>
      </c>
      <c r="E715" s="3" t="s">
        <v>216</v>
      </c>
      <c r="J715" s="3" t="s">
        <v>957</v>
      </c>
      <c r="K715" s="3" t="s">
        <v>216</v>
      </c>
    </row>
    <row r="716" ht="15.6" spans="4:11">
      <c r="D716" s="3">
        <v>1714</v>
      </c>
      <c r="E716" s="3" t="s">
        <v>216</v>
      </c>
      <c r="J716" s="3" t="s">
        <v>958</v>
      </c>
      <c r="K716" s="3" t="s">
        <v>216</v>
      </c>
    </row>
    <row r="717" ht="15.6" spans="4:11">
      <c r="D717" s="3">
        <v>1715</v>
      </c>
      <c r="E717" s="3" t="s">
        <v>216</v>
      </c>
      <c r="J717" s="3" t="s">
        <v>959</v>
      </c>
      <c r="K717" s="3" t="s">
        <v>216</v>
      </c>
    </row>
    <row r="718" ht="15.6" spans="4:11">
      <c r="D718" s="3">
        <v>1716</v>
      </c>
      <c r="E718" s="3" t="s">
        <v>216</v>
      </c>
      <c r="J718" s="3" t="s">
        <v>960</v>
      </c>
      <c r="K718" s="3" t="s">
        <v>216</v>
      </c>
    </row>
    <row r="719" ht="15.6" spans="4:11">
      <c r="D719" s="3">
        <v>1717</v>
      </c>
      <c r="E719" s="3" t="s">
        <v>216</v>
      </c>
      <c r="J719" s="3" t="s">
        <v>961</v>
      </c>
      <c r="K719" s="3" t="s">
        <v>216</v>
      </c>
    </row>
    <row r="720" ht="15.6" spans="4:11">
      <c r="D720" s="3">
        <v>1718</v>
      </c>
      <c r="E720" s="3" t="s">
        <v>216</v>
      </c>
      <c r="J720" s="3" t="s">
        <v>962</v>
      </c>
      <c r="K720" s="3" t="s">
        <v>216</v>
      </c>
    </row>
    <row r="721" ht="15.6" spans="4:11">
      <c r="D721" s="3">
        <v>1719</v>
      </c>
      <c r="E721" s="3" t="s">
        <v>216</v>
      </c>
      <c r="J721" s="3" t="s">
        <v>963</v>
      </c>
      <c r="K721" s="3" t="s">
        <v>216</v>
      </c>
    </row>
    <row r="722" ht="15.6" spans="4:11">
      <c r="D722" s="3">
        <v>1720</v>
      </c>
      <c r="E722" s="3" t="s">
        <v>216</v>
      </c>
      <c r="J722" s="3" t="s">
        <v>964</v>
      </c>
      <c r="K722" s="3" t="s">
        <v>216</v>
      </c>
    </row>
    <row r="723" ht="15.6" spans="4:11">
      <c r="D723" s="3">
        <v>1721</v>
      </c>
      <c r="E723" s="3" t="s">
        <v>216</v>
      </c>
      <c r="J723" s="3" t="s">
        <v>965</v>
      </c>
      <c r="K723" s="3" t="s">
        <v>216</v>
      </c>
    </row>
    <row r="724" ht="15.6" spans="4:11">
      <c r="D724" s="3">
        <v>1722</v>
      </c>
      <c r="E724" s="3" t="s">
        <v>216</v>
      </c>
      <c r="J724" s="3" t="s">
        <v>966</v>
      </c>
      <c r="K724" s="3" t="s">
        <v>216</v>
      </c>
    </row>
    <row r="725" ht="15.6" spans="4:11">
      <c r="D725" s="3">
        <v>1723</v>
      </c>
      <c r="E725" s="3" t="s">
        <v>216</v>
      </c>
      <c r="J725" s="3" t="s">
        <v>967</v>
      </c>
      <c r="K725" s="3" t="s">
        <v>216</v>
      </c>
    </row>
    <row r="726" ht="15.6" spans="4:11">
      <c r="D726" s="3">
        <v>1724</v>
      </c>
      <c r="E726" s="3" t="s">
        <v>216</v>
      </c>
      <c r="J726" s="3" t="s">
        <v>968</v>
      </c>
      <c r="K726" s="3" t="s">
        <v>216</v>
      </c>
    </row>
    <row r="727" ht="15.6" spans="4:11">
      <c r="D727" s="3">
        <v>1725</v>
      </c>
      <c r="E727" s="3" t="s">
        <v>216</v>
      </c>
      <c r="J727" s="3" t="s">
        <v>969</v>
      </c>
      <c r="K727" s="3" t="s">
        <v>216</v>
      </c>
    </row>
    <row r="728" ht="15.6" spans="4:11">
      <c r="D728" s="3">
        <v>1726</v>
      </c>
      <c r="E728" s="3" t="s">
        <v>216</v>
      </c>
      <c r="J728" s="3" t="s">
        <v>970</v>
      </c>
      <c r="K728" s="3" t="s">
        <v>216</v>
      </c>
    </row>
    <row r="729" ht="15.6" spans="4:11">
      <c r="D729" s="3">
        <v>1727</v>
      </c>
      <c r="E729" s="3" t="s">
        <v>216</v>
      </c>
      <c r="J729" s="3" t="s">
        <v>971</v>
      </c>
      <c r="K729" s="3" t="s">
        <v>216</v>
      </c>
    </row>
    <row r="730" ht="15.6" spans="4:11">
      <c r="D730" s="3">
        <v>1728</v>
      </c>
      <c r="E730" s="3" t="s">
        <v>216</v>
      </c>
      <c r="J730" s="3" t="s">
        <v>972</v>
      </c>
      <c r="K730" s="3" t="s">
        <v>216</v>
      </c>
    </row>
    <row r="731" ht="15.6" spans="4:11">
      <c r="D731" s="3">
        <v>1729</v>
      </c>
      <c r="E731" s="3" t="s">
        <v>216</v>
      </c>
      <c r="J731" s="3" t="s">
        <v>973</v>
      </c>
      <c r="K731" s="3" t="s">
        <v>216</v>
      </c>
    </row>
    <row r="732" ht="15.6" spans="4:11">
      <c r="D732" s="3">
        <v>1730</v>
      </c>
      <c r="E732" s="3" t="s">
        <v>216</v>
      </c>
      <c r="J732" s="3" t="s">
        <v>974</v>
      </c>
      <c r="K732" s="3" t="s">
        <v>216</v>
      </c>
    </row>
    <row r="733" ht="15.6" spans="4:11">
      <c r="D733" s="3">
        <v>1731</v>
      </c>
      <c r="E733" s="3" t="s">
        <v>216</v>
      </c>
      <c r="J733" s="3" t="s">
        <v>975</v>
      </c>
      <c r="K733" s="3" t="s">
        <v>216</v>
      </c>
    </row>
    <row r="734" ht="15.6" spans="4:11">
      <c r="D734" s="3">
        <v>1732</v>
      </c>
      <c r="E734" s="3" t="s">
        <v>216</v>
      </c>
      <c r="J734" s="3" t="s">
        <v>976</v>
      </c>
      <c r="K734" s="3" t="s">
        <v>216</v>
      </c>
    </row>
    <row r="735" ht="15.6" spans="4:11">
      <c r="D735" s="3">
        <v>1733</v>
      </c>
      <c r="E735" s="3" t="s">
        <v>216</v>
      </c>
      <c r="J735" s="3" t="s">
        <v>977</v>
      </c>
      <c r="K735" s="3" t="s">
        <v>216</v>
      </c>
    </row>
    <row r="736" ht="15.6" spans="4:11">
      <c r="D736" s="3">
        <v>1734</v>
      </c>
      <c r="E736" s="3" t="s">
        <v>216</v>
      </c>
      <c r="J736" s="3" t="s">
        <v>978</v>
      </c>
      <c r="K736" s="3" t="s">
        <v>216</v>
      </c>
    </row>
    <row r="737" ht="15.6" spans="4:11">
      <c r="D737" s="3">
        <v>1735</v>
      </c>
      <c r="E737" s="3" t="s">
        <v>216</v>
      </c>
      <c r="J737" s="3" t="s">
        <v>979</v>
      </c>
      <c r="K737" s="3" t="s">
        <v>216</v>
      </c>
    </row>
    <row r="738" ht="15.6" spans="4:11">
      <c r="D738" s="3">
        <v>1736</v>
      </c>
      <c r="E738" s="3" t="s">
        <v>216</v>
      </c>
      <c r="J738" s="3" t="s">
        <v>980</v>
      </c>
      <c r="K738" s="3" t="s">
        <v>216</v>
      </c>
    </row>
    <row r="739" ht="15.6" spans="4:11">
      <c r="D739" s="3">
        <v>1737</v>
      </c>
      <c r="E739" s="3" t="s">
        <v>216</v>
      </c>
      <c r="J739" s="3" t="s">
        <v>981</v>
      </c>
      <c r="K739" s="3" t="s">
        <v>216</v>
      </c>
    </row>
    <row r="740" ht="15.6" spans="4:11">
      <c r="D740" s="3">
        <v>1738</v>
      </c>
      <c r="E740" s="3" t="s">
        <v>216</v>
      </c>
      <c r="J740" s="3" t="s">
        <v>982</v>
      </c>
      <c r="K740" s="3" t="s">
        <v>216</v>
      </c>
    </row>
    <row r="741" ht="15.6" spans="4:11">
      <c r="D741" s="3">
        <v>1739</v>
      </c>
      <c r="E741" s="3" t="s">
        <v>216</v>
      </c>
      <c r="J741" s="3" t="s">
        <v>983</v>
      </c>
      <c r="K741" s="3" t="s">
        <v>216</v>
      </c>
    </row>
    <row r="742" ht="15.6" spans="4:11">
      <c r="D742" s="3">
        <v>1740</v>
      </c>
      <c r="E742" s="3" t="s">
        <v>216</v>
      </c>
      <c r="J742" s="3" t="s">
        <v>984</v>
      </c>
      <c r="K742" s="3" t="s">
        <v>216</v>
      </c>
    </row>
    <row r="743" ht="15.6" spans="4:11">
      <c r="D743" s="3">
        <v>1741</v>
      </c>
      <c r="E743" s="3" t="s">
        <v>216</v>
      </c>
      <c r="J743" s="3" t="s">
        <v>985</v>
      </c>
      <c r="K743" s="3" t="s">
        <v>216</v>
      </c>
    </row>
    <row r="744" ht="15.6" spans="4:11">
      <c r="D744" s="3">
        <v>1742</v>
      </c>
      <c r="E744" s="3" t="s">
        <v>216</v>
      </c>
      <c r="J744" s="3" t="s">
        <v>986</v>
      </c>
      <c r="K744" s="3" t="s">
        <v>216</v>
      </c>
    </row>
    <row r="745" ht="15.6" spans="4:11">
      <c r="D745" s="3">
        <v>1743</v>
      </c>
      <c r="E745" s="3" t="s">
        <v>216</v>
      </c>
      <c r="J745" s="3" t="s">
        <v>987</v>
      </c>
      <c r="K745" s="3" t="s">
        <v>216</v>
      </c>
    </row>
    <row r="746" ht="15.6" spans="4:11">
      <c r="D746" s="3">
        <v>1744</v>
      </c>
      <c r="E746" s="3" t="s">
        <v>216</v>
      </c>
      <c r="J746" s="3" t="s">
        <v>988</v>
      </c>
      <c r="K746" s="3" t="s">
        <v>216</v>
      </c>
    </row>
    <row r="747" ht="15.6" spans="4:11">
      <c r="D747" s="3">
        <v>1745</v>
      </c>
      <c r="E747" s="3" t="s">
        <v>216</v>
      </c>
      <c r="J747" s="3" t="s">
        <v>989</v>
      </c>
      <c r="K747" s="3" t="s">
        <v>216</v>
      </c>
    </row>
    <row r="748" ht="15.6" spans="4:11">
      <c r="D748" s="3">
        <v>1746</v>
      </c>
      <c r="E748" s="3" t="s">
        <v>216</v>
      </c>
      <c r="J748" s="3" t="s">
        <v>990</v>
      </c>
      <c r="K748" s="3" t="s">
        <v>216</v>
      </c>
    </row>
    <row r="749" ht="15.6" spans="4:11">
      <c r="D749" s="3">
        <v>1747</v>
      </c>
      <c r="E749" s="3" t="s">
        <v>216</v>
      </c>
      <c r="J749" s="3" t="s">
        <v>991</v>
      </c>
      <c r="K749" s="3" t="s">
        <v>216</v>
      </c>
    </row>
    <row r="750" ht="15.6" spans="4:11">
      <c r="D750" s="3">
        <v>1748</v>
      </c>
      <c r="E750" s="3" t="s">
        <v>216</v>
      </c>
      <c r="J750" s="3" t="s">
        <v>992</v>
      </c>
      <c r="K750" s="3" t="s">
        <v>216</v>
      </c>
    </row>
    <row r="751" ht="15.6" spans="4:11">
      <c r="D751" s="3">
        <v>1749</v>
      </c>
      <c r="E751" s="3" t="s">
        <v>216</v>
      </c>
      <c r="J751" s="3" t="s">
        <v>993</v>
      </c>
      <c r="K751" s="3" t="s">
        <v>216</v>
      </c>
    </row>
    <row r="752" ht="15.6" spans="4:11">
      <c r="D752" s="3">
        <v>1750</v>
      </c>
      <c r="E752" s="3" t="s">
        <v>216</v>
      </c>
      <c r="J752" s="3" t="s">
        <v>994</v>
      </c>
      <c r="K752" s="3" t="s">
        <v>216</v>
      </c>
    </row>
    <row r="753" ht="15.6" spans="4:11">
      <c r="D753" s="3">
        <v>1751</v>
      </c>
      <c r="E753" s="3" t="s">
        <v>216</v>
      </c>
      <c r="J753" s="3" t="s">
        <v>995</v>
      </c>
      <c r="K753" s="3" t="s">
        <v>216</v>
      </c>
    </row>
    <row r="754" ht="15.6" spans="4:11">
      <c r="D754" s="3">
        <v>1752</v>
      </c>
      <c r="E754" s="3" t="s">
        <v>216</v>
      </c>
      <c r="J754" s="3" t="s">
        <v>996</v>
      </c>
      <c r="K754" s="3" t="s">
        <v>216</v>
      </c>
    </row>
    <row r="755" ht="15.6" spans="4:11">
      <c r="D755" s="3">
        <v>1753</v>
      </c>
      <c r="E755" s="3" t="s">
        <v>216</v>
      </c>
      <c r="J755" s="3" t="s">
        <v>997</v>
      </c>
      <c r="K755" s="3" t="s">
        <v>216</v>
      </c>
    </row>
    <row r="756" ht="15.6" spans="4:11">
      <c r="D756" s="3">
        <v>1754</v>
      </c>
      <c r="E756" s="3" t="s">
        <v>216</v>
      </c>
      <c r="J756" s="3" t="s">
        <v>998</v>
      </c>
      <c r="K756" s="3" t="s">
        <v>216</v>
      </c>
    </row>
    <row r="757" ht="15.6" spans="4:11">
      <c r="D757" s="3">
        <v>1755</v>
      </c>
      <c r="E757" s="3" t="s">
        <v>216</v>
      </c>
      <c r="J757" s="3" t="s">
        <v>999</v>
      </c>
      <c r="K757" s="3" t="s">
        <v>216</v>
      </c>
    </row>
    <row r="758" ht="15.6" spans="4:11">
      <c r="D758" s="3">
        <v>1756</v>
      </c>
      <c r="E758" s="3" t="s">
        <v>216</v>
      </c>
      <c r="J758" s="3" t="s">
        <v>1000</v>
      </c>
      <c r="K758" s="3" t="s">
        <v>216</v>
      </c>
    </row>
    <row r="759" ht="15.6" spans="4:11">
      <c r="D759" s="3">
        <v>1757</v>
      </c>
      <c r="E759" s="3" t="s">
        <v>216</v>
      </c>
      <c r="J759" s="3" t="s">
        <v>1001</v>
      </c>
      <c r="K759" s="3" t="s">
        <v>216</v>
      </c>
    </row>
    <row r="760" ht="15.6" spans="4:11">
      <c r="D760" s="3">
        <v>1758</v>
      </c>
      <c r="E760" s="3" t="s">
        <v>216</v>
      </c>
      <c r="J760" s="3" t="s">
        <v>1002</v>
      </c>
      <c r="K760" s="3" t="s">
        <v>216</v>
      </c>
    </row>
    <row r="761" ht="15.6" spans="4:11">
      <c r="D761" s="3">
        <v>1759</v>
      </c>
      <c r="E761" s="3" t="s">
        <v>216</v>
      </c>
      <c r="J761" s="3" t="s">
        <v>1003</v>
      </c>
      <c r="K761" s="3" t="s">
        <v>216</v>
      </c>
    </row>
    <row r="762" ht="15.6" spans="4:11">
      <c r="D762" s="3">
        <v>1760</v>
      </c>
      <c r="E762" s="3" t="s">
        <v>216</v>
      </c>
      <c r="J762" s="3" t="s">
        <v>1004</v>
      </c>
      <c r="K762" s="3" t="s">
        <v>216</v>
      </c>
    </row>
    <row r="763" ht="15.6" spans="4:11">
      <c r="D763" s="3">
        <v>1761</v>
      </c>
      <c r="E763" s="3" t="s">
        <v>216</v>
      </c>
      <c r="J763" s="3" t="s">
        <v>1005</v>
      </c>
      <c r="K763" s="3" t="s">
        <v>216</v>
      </c>
    </row>
    <row r="764" ht="15.6" spans="4:11">
      <c r="D764" s="3">
        <v>1762</v>
      </c>
      <c r="E764" s="3" t="s">
        <v>216</v>
      </c>
      <c r="J764" s="3" t="s">
        <v>1006</v>
      </c>
      <c r="K764" s="3" t="s">
        <v>216</v>
      </c>
    </row>
    <row r="765" ht="15.6" spans="4:11">
      <c r="D765" s="3">
        <v>1763</v>
      </c>
      <c r="E765" s="3" t="s">
        <v>216</v>
      </c>
      <c r="J765" s="3" t="s">
        <v>1007</v>
      </c>
      <c r="K765" s="3" t="s">
        <v>216</v>
      </c>
    </row>
    <row r="766" ht="15.6" spans="4:11">
      <c r="D766" s="3">
        <v>1764</v>
      </c>
      <c r="E766" s="3" t="s">
        <v>216</v>
      </c>
      <c r="J766" s="3" t="s">
        <v>1008</v>
      </c>
      <c r="K766" s="3" t="s">
        <v>216</v>
      </c>
    </row>
    <row r="767" ht="15.6" spans="4:11">
      <c r="D767" s="3">
        <v>1765</v>
      </c>
      <c r="E767" s="3" t="s">
        <v>216</v>
      </c>
      <c r="J767" s="3" t="s">
        <v>1009</v>
      </c>
      <c r="K767" s="3" t="s">
        <v>216</v>
      </c>
    </row>
    <row r="768" ht="15.6" spans="4:11">
      <c r="D768" s="3">
        <v>1766</v>
      </c>
      <c r="E768" s="3" t="s">
        <v>216</v>
      </c>
      <c r="J768" s="3" t="s">
        <v>1010</v>
      </c>
      <c r="K768" s="3" t="s">
        <v>216</v>
      </c>
    </row>
    <row r="769" ht="15.6" spans="4:11">
      <c r="D769" s="3">
        <v>1767</v>
      </c>
      <c r="E769" s="3" t="s">
        <v>216</v>
      </c>
      <c r="J769" s="3" t="s">
        <v>1011</v>
      </c>
      <c r="K769" s="3" t="s">
        <v>216</v>
      </c>
    </row>
    <row r="770" ht="15.6" spans="4:11">
      <c r="D770" s="3">
        <v>1768</v>
      </c>
      <c r="E770" s="3" t="s">
        <v>216</v>
      </c>
      <c r="J770" s="3" t="s">
        <v>1012</v>
      </c>
      <c r="K770" s="3" t="s">
        <v>216</v>
      </c>
    </row>
    <row r="771" ht="15.6" spans="4:11">
      <c r="D771" s="3">
        <v>1769</v>
      </c>
      <c r="E771" s="3" t="s">
        <v>216</v>
      </c>
      <c r="J771" s="3" t="s">
        <v>1013</v>
      </c>
      <c r="K771" s="3" t="s">
        <v>216</v>
      </c>
    </row>
    <row r="772" ht="15.6" spans="4:11">
      <c r="D772" s="3">
        <v>1770</v>
      </c>
      <c r="E772" s="3" t="s">
        <v>216</v>
      </c>
      <c r="J772" s="3" t="s">
        <v>1014</v>
      </c>
      <c r="K772" s="3" t="s">
        <v>216</v>
      </c>
    </row>
    <row r="773" ht="15.6" spans="4:11">
      <c r="D773" s="3">
        <v>1771</v>
      </c>
      <c r="E773" s="3" t="s">
        <v>216</v>
      </c>
      <c r="J773" s="3" t="s">
        <v>1015</v>
      </c>
      <c r="K773" s="3" t="s">
        <v>216</v>
      </c>
    </row>
    <row r="774" ht="15.6" spans="4:11">
      <c r="D774" s="3">
        <v>1772</v>
      </c>
      <c r="E774" s="3" t="s">
        <v>216</v>
      </c>
      <c r="J774" s="3" t="s">
        <v>1016</v>
      </c>
      <c r="K774" s="3" t="s">
        <v>216</v>
      </c>
    </row>
    <row r="775" ht="15.6" spans="4:11">
      <c r="D775" s="3">
        <v>1773</v>
      </c>
      <c r="E775" s="3" t="s">
        <v>216</v>
      </c>
      <c r="J775" s="3" t="s">
        <v>1017</v>
      </c>
      <c r="K775" s="3" t="s">
        <v>216</v>
      </c>
    </row>
    <row r="776" ht="15.6" spans="4:11">
      <c r="D776" s="3">
        <v>1774</v>
      </c>
      <c r="E776" s="3" t="s">
        <v>216</v>
      </c>
      <c r="J776" s="3" t="s">
        <v>1018</v>
      </c>
      <c r="K776" s="3" t="s">
        <v>216</v>
      </c>
    </row>
    <row r="777" ht="15.6" spans="4:11">
      <c r="D777" s="3">
        <v>1775</v>
      </c>
      <c r="E777" s="3" t="s">
        <v>216</v>
      </c>
      <c r="J777" s="3" t="s">
        <v>1019</v>
      </c>
      <c r="K777" s="3" t="s">
        <v>216</v>
      </c>
    </row>
    <row r="778" ht="15.6" spans="4:11">
      <c r="D778" s="3">
        <v>1776</v>
      </c>
      <c r="E778" s="3" t="s">
        <v>216</v>
      </c>
      <c r="J778" s="3" t="s">
        <v>1020</v>
      </c>
      <c r="K778" s="3" t="s">
        <v>216</v>
      </c>
    </row>
    <row r="779" ht="15.6" spans="4:11">
      <c r="D779" s="3">
        <v>1777</v>
      </c>
      <c r="E779" s="3" t="s">
        <v>216</v>
      </c>
      <c r="J779" s="3" t="s">
        <v>1021</v>
      </c>
      <c r="K779" s="3" t="s">
        <v>216</v>
      </c>
    </row>
    <row r="780" ht="15.6" spans="4:11">
      <c r="D780" s="3">
        <v>1778</v>
      </c>
      <c r="E780" s="3" t="s">
        <v>216</v>
      </c>
      <c r="J780" s="3" t="s">
        <v>1022</v>
      </c>
      <c r="K780" s="3" t="s">
        <v>216</v>
      </c>
    </row>
    <row r="781" ht="15.6" spans="4:11">
      <c r="D781" s="3">
        <v>1779</v>
      </c>
      <c r="E781" s="3" t="s">
        <v>216</v>
      </c>
      <c r="J781" s="3" t="s">
        <v>1023</v>
      </c>
      <c r="K781" s="3" t="s">
        <v>216</v>
      </c>
    </row>
    <row r="782" ht="15.6" spans="4:11">
      <c r="D782" s="3">
        <v>1780</v>
      </c>
      <c r="E782" s="3" t="s">
        <v>216</v>
      </c>
      <c r="J782" s="3" t="s">
        <v>1024</v>
      </c>
      <c r="K782" s="3" t="s">
        <v>216</v>
      </c>
    </row>
    <row r="783" ht="15.6" spans="4:11">
      <c r="D783" s="3">
        <v>1781</v>
      </c>
      <c r="E783" s="3" t="s">
        <v>216</v>
      </c>
      <c r="J783" s="3" t="s">
        <v>1025</v>
      </c>
      <c r="K783" s="3" t="s">
        <v>216</v>
      </c>
    </row>
    <row r="784" ht="15.6" spans="4:11">
      <c r="D784" s="3">
        <v>1782</v>
      </c>
      <c r="E784" s="3" t="s">
        <v>216</v>
      </c>
      <c r="J784" s="3" t="s">
        <v>1026</v>
      </c>
      <c r="K784" s="3" t="s">
        <v>216</v>
      </c>
    </row>
    <row r="785" ht="15.6" spans="4:11">
      <c r="D785" s="3">
        <v>1783</v>
      </c>
      <c r="E785" s="3" t="s">
        <v>216</v>
      </c>
      <c r="J785" s="3" t="s">
        <v>1027</v>
      </c>
      <c r="K785" s="3" t="s">
        <v>216</v>
      </c>
    </row>
    <row r="786" ht="15.6" spans="4:11">
      <c r="D786" s="3">
        <v>1784</v>
      </c>
      <c r="E786" s="3" t="s">
        <v>216</v>
      </c>
      <c r="J786" s="3" t="s">
        <v>1028</v>
      </c>
      <c r="K786" s="3" t="s">
        <v>216</v>
      </c>
    </row>
    <row r="787" ht="15.6" spans="4:11">
      <c r="D787" s="3">
        <v>1785</v>
      </c>
      <c r="E787" s="3" t="s">
        <v>216</v>
      </c>
      <c r="J787" s="3" t="s">
        <v>1029</v>
      </c>
      <c r="K787" s="3" t="s">
        <v>216</v>
      </c>
    </row>
    <row r="788" ht="15.6" spans="4:11">
      <c r="D788" s="3">
        <v>1786</v>
      </c>
      <c r="E788" s="3" t="s">
        <v>216</v>
      </c>
      <c r="J788" s="3" t="s">
        <v>1030</v>
      </c>
      <c r="K788" s="3" t="s">
        <v>216</v>
      </c>
    </row>
    <row r="789" ht="15.6" spans="4:11">
      <c r="D789" s="3">
        <v>1787</v>
      </c>
      <c r="E789" s="3" t="s">
        <v>216</v>
      </c>
      <c r="J789" s="3" t="s">
        <v>1031</v>
      </c>
      <c r="K789" s="3" t="s">
        <v>216</v>
      </c>
    </row>
    <row r="790" ht="15.6" spans="4:11">
      <c r="D790" s="3">
        <v>1788</v>
      </c>
      <c r="E790" s="3" t="s">
        <v>216</v>
      </c>
      <c r="J790" s="3" t="s">
        <v>1032</v>
      </c>
      <c r="K790" s="3" t="s">
        <v>216</v>
      </c>
    </row>
    <row r="791" ht="15.6" spans="4:11">
      <c r="D791" s="3">
        <v>1789</v>
      </c>
      <c r="E791" s="3" t="s">
        <v>216</v>
      </c>
      <c r="J791" s="3" t="s">
        <v>1033</v>
      </c>
      <c r="K791" s="3" t="s">
        <v>216</v>
      </c>
    </row>
    <row r="792" ht="15.6" spans="4:11">
      <c r="D792" s="3">
        <v>1790</v>
      </c>
      <c r="E792" s="3" t="s">
        <v>216</v>
      </c>
      <c r="J792" s="3" t="s">
        <v>1034</v>
      </c>
      <c r="K792" s="3" t="s">
        <v>216</v>
      </c>
    </row>
    <row r="793" ht="15.6" spans="4:11">
      <c r="D793" s="3">
        <v>1791</v>
      </c>
      <c r="E793" s="3" t="s">
        <v>216</v>
      </c>
      <c r="J793" s="3" t="s">
        <v>1035</v>
      </c>
      <c r="K793" s="3" t="s">
        <v>216</v>
      </c>
    </row>
    <row r="794" ht="15.6" spans="4:11">
      <c r="D794" s="3">
        <v>1792</v>
      </c>
      <c r="E794" s="3" t="s">
        <v>216</v>
      </c>
      <c r="J794" s="3" t="s">
        <v>1036</v>
      </c>
      <c r="K794" s="3" t="s">
        <v>216</v>
      </c>
    </row>
    <row r="795" ht="15.6" spans="4:11">
      <c r="D795" s="3">
        <v>1793</v>
      </c>
      <c r="E795" s="3" t="s">
        <v>216</v>
      </c>
      <c r="J795" s="3" t="s">
        <v>1037</v>
      </c>
      <c r="K795" s="3" t="s">
        <v>216</v>
      </c>
    </row>
    <row r="796" ht="15.6" spans="4:11">
      <c r="D796" s="3">
        <v>1794</v>
      </c>
      <c r="E796" s="3" t="s">
        <v>216</v>
      </c>
      <c r="J796" s="3" t="s">
        <v>1038</v>
      </c>
      <c r="K796" s="3" t="s">
        <v>216</v>
      </c>
    </row>
    <row r="797" ht="15.6" spans="4:11">
      <c r="D797" s="3">
        <v>1795</v>
      </c>
      <c r="E797" s="3" t="s">
        <v>216</v>
      </c>
      <c r="J797" s="3" t="s">
        <v>1039</v>
      </c>
      <c r="K797" s="3" t="s">
        <v>216</v>
      </c>
    </row>
    <row r="798" ht="15.6" spans="4:11">
      <c r="D798" s="3">
        <v>1796</v>
      </c>
      <c r="E798" s="3" t="s">
        <v>216</v>
      </c>
      <c r="J798" s="3" t="s">
        <v>1040</v>
      </c>
      <c r="K798" s="3" t="s">
        <v>216</v>
      </c>
    </row>
    <row r="799" ht="15.6" spans="4:11">
      <c r="D799" s="3">
        <v>1797</v>
      </c>
      <c r="E799" s="3" t="s">
        <v>216</v>
      </c>
      <c r="J799" s="3" t="s">
        <v>1041</v>
      </c>
      <c r="K799" s="3" t="s">
        <v>216</v>
      </c>
    </row>
    <row r="800" ht="15.6" spans="4:11">
      <c r="D800" s="3">
        <v>1798</v>
      </c>
      <c r="E800" s="3" t="s">
        <v>216</v>
      </c>
      <c r="J800" s="3" t="s">
        <v>1042</v>
      </c>
      <c r="K800" s="3" t="s">
        <v>216</v>
      </c>
    </row>
    <row r="801" ht="15.6" spans="4:11">
      <c r="D801" s="3">
        <v>1799</v>
      </c>
      <c r="E801" s="3" t="s">
        <v>216</v>
      </c>
      <c r="J801" s="3" t="s">
        <v>1043</v>
      </c>
      <c r="K801" s="3" t="s">
        <v>216</v>
      </c>
    </row>
    <row r="802" ht="15.6" spans="4:11">
      <c r="D802" s="3">
        <v>1800</v>
      </c>
      <c r="E802" s="3" t="s">
        <v>216</v>
      </c>
      <c r="J802" s="3" t="s">
        <v>1044</v>
      </c>
      <c r="K802" s="3" t="s">
        <v>216</v>
      </c>
    </row>
    <row r="803" ht="15.6" spans="4:11">
      <c r="D803" s="3">
        <v>1801</v>
      </c>
      <c r="E803" s="3" t="s">
        <v>216</v>
      </c>
      <c r="J803" s="3" t="s">
        <v>1045</v>
      </c>
      <c r="K803" s="3" t="s">
        <v>216</v>
      </c>
    </row>
    <row r="804" ht="15.6" spans="4:11">
      <c r="D804" s="3">
        <v>1802</v>
      </c>
      <c r="E804" s="3" t="s">
        <v>216</v>
      </c>
      <c r="J804" s="3" t="s">
        <v>1046</v>
      </c>
      <c r="K804" s="3" t="s">
        <v>216</v>
      </c>
    </row>
    <row r="805" ht="15.6" spans="4:11">
      <c r="D805" s="3">
        <v>1803</v>
      </c>
      <c r="E805" s="3" t="s">
        <v>216</v>
      </c>
      <c r="J805" s="3" t="s">
        <v>1047</v>
      </c>
      <c r="K805" s="3" t="s">
        <v>216</v>
      </c>
    </row>
    <row r="806" ht="15.6" spans="4:11">
      <c r="D806" s="3">
        <v>1804</v>
      </c>
      <c r="E806" s="3" t="s">
        <v>216</v>
      </c>
      <c r="J806" s="3" t="s">
        <v>1048</v>
      </c>
      <c r="K806" s="3" t="s">
        <v>216</v>
      </c>
    </row>
    <row r="807" ht="15.6" spans="4:11">
      <c r="D807" s="3">
        <v>1805</v>
      </c>
      <c r="E807" s="3" t="s">
        <v>216</v>
      </c>
      <c r="J807" s="3" t="s">
        <v>1049</v>
      </c>
      <c r="K807" s="3" t="s">
        <v>216</v>
      </c>
    </row>
    <row r="808" ht="15.6" spans="4:11">
      <c r="D808" s="3">
        <v>1806</v>
      </c>
      <c r="E808" s="3" t="s">
        <v>216</v>
      </c>
      <c r="J808" s="3" t="s">
        <v>1050</v>
      </c>
      <c r="K808" s="3" t="s">
        <v>216</v>
      </c>
    </row>
    <row r="809" ht="15.6" spans="4:11">
      <c r="D809" s="3">
        <v>1807</v>
      </c>
      <c r="E809" s="3" t="s">
        <v>216</v>
      </c>
      <c r="J809" s="3" t="s">
        <v>1051</v>
      </c>
      <c r="K809" s="3" t="s">
        <v>216</v>
      </c>
    </row>
    <row r="810" ht="15.6" spans="4:11">
      <c r="D810" s="3">
        <v>1808</v>
      </c>
      <c r="E810" s="3" t="s">
        <v>216</v>
      </c>
      <c r="J810" s="3" t="s">
        <v>1052</v>
      </c>
      <c r="K810" s="3" t="s">
        <v>216</v>
      </c>
    </row>
    <row r="811" ht="15.6" spans="4:11">
      <c r="D811" s="3">
        <v>1809</v>
      </c>
      <c r="E811" s="3" t="s">
        <v>216</v>
      </c>
      <c r="J811" s="3" t="s">
        <v>1053</v>
      </c>
      <c r="K811" s="3" t="s">
        <v>216</v>
      </c>
    </row>
    <row r="812" ht="15.6" spans="4:11">
      <c r="D812" s="3">
        <v>1810</v>
      </c>
      <c r="E812" s="3" t="s">
        <v>216</v>
      </c>
      <c r="J812" s="3" t="s">
        <v>1054</v>
      </c>
      <c r="K812" s="3" t="s">
        <v>216</v>
      </c>
    </row>
    <row r="813" ht="15.6" spans="4:11">
      <c r="D813" s="3">
        <v>1811</v>
      </c>
      <c r="E813" s="3" t="s">
        <v>216</v>
      </c>
      <c r="J813" s="3" t="s">
        <v>1055</v>
      </c>
      <c r="K813" s="3" t="s">
        <v>216</v>
      </c>
    </row>
    <row r="814" ht="15.6" spans="4:11">
      <c r="D814" s="3">
        <v>1812</v>
      </c>
      <c r="E814" s="3" t="s">
        <v>216</v>
      </c>
      <c r="J814" s="3" t="s">
        <v>1056</v>
      </c>
      <c r="K814" s="3" t="s">
        <v>216</v>
      </c>
    </row>
    <row r="815" ht="15.6" spans="4:11">
      <c r="D815" s="3">
        <v>1813</v>
      </c>
      <c r="E815" s="3" t="s">
        <v>216</v>
      </c>
      <c r="J815" s="3" t="s">
        <v>1057</v>
      </c>
      <c r="K815" s="3" t="s">
        <v>216</v>
      </c>
    </row>
    <row r="816" ht="15.6" spans="4:11">
      <c r="D816" s="3">
        <v>1814</v>
      </c>
      <c r="E816" s="3" t="s">
        <v>216</v>
      </c>
      <c r="J816" s="3" t="s">
        <v>1058</v>
      </c>
      <c r="K816" s="3" t="s">
        <v>216</v>
      </c>
    </row>
    <row r="817" ht="15.6" spans="4:11">
      <c r="D817" s="3">
        <v>1815</v>
      </c>
      <c r="E817" s="3" t="s">
        <v>216</v>
      </c>
      <c r="J817" s="3" t="s">
        <v>1059</v>
      </c>
      <c r="K817" s="3" t="s">
        <v>216</v>
      </c>
    </row>
    <row r="818" ht="15.6" spans="4:11">
      <c r="D818" s="3">
        <v>1816</v>
      </c>
      <c r="E818" s="3" t="s">
        <v>216</v>
      </c>
      <c r="J818" s="3" t="s">
        <v>1060</v>
      </c>
      <c r="K818" s="3" t="s">
        <v>216</v>
      </c>
    </row>
    <row r="819" ht="15.6" spans="4:11">
      <c r="D819" s="3">
        <v>1817</v>
      </c>
      <c r="E819" s="3" t="s">
        <v>216</v>
      </c>
      <c r="J819" s="3" t="s">
        <v>1061</v>
      </c>
      <c r="K819" s="3" t="s">
        <v>216</v>
      </c>
    </row>
    <row r="820" ht="15.6" spans="4:11">
      <c r="D820" s="3">
        <v>1818</v>
      </c>
      <c r="E820" s="3" t="s">
        <v>216</v>
      </c>
      <c r="J820" s="3" t="s">
        <v>1062</v>
      </c>
      <c r="K820" s="3" t="s">
        <v>216</v>
      </c>
    </row>
    <row r="821" ht="15.6" spans="4:11">
      <c r="D821" s="3">
        <v>1819</v>
      </c>
      <c r="E821" s="3" t="s">
        <v>216</v>
      </c>
      <c r="J821" s="3" t="s">
        <v>1063</v>
      </c>
      <c r="K821" s="3" t="s">
        <v>216</v>
      </c>
    </row>
    <row r="822" ht="15.6" spans="4:11">
      <c r="D822" s="3">
        <v>1820</v>
      </c>
      <c r="E822" s="3" t="s">
        <v>216</v>
      </c>
      <c r="J822" s="3" t="s">
        <v>1064</v>
      </c>
      <c r="K822" s="3" t="s">
        <v>216</v>
      </c>
    </row>
    <row r="823" ht="15.6" spans="4:11">
      <c r="D823" s="3">
        <v>1821</v>
      </c>
      <c r="E823" s="3" t="s">
        <v>216</v>
      </c>
      <c r="J823" s="3" t="s">
        <v>1065</v>
      </c>
      <c r="K823" s="3" t="s">
        <v>216</v>
      </c>
    </row>
    <row r="824" ht="15.6" spans="4:11">
      <c r="D824" s="3">
        <v>1822</v>
      </c>
      <c r="E824" s="3" t="s">
        <v>216</v>
      </c>
      <c r="J824" s="3" t="s">
        <v>1066</v>
      </c>
      <c r="K824" s="3" t="s">
        <v>216</v>
      </c>
    </row>
    <row r="825" ht="15.6" spans="4:11">
      <c r="D825" s="3">
        <v>1823</v>
      </c>
      <c r="E825" s="3" t="s">
        <v>216</v>
      </c>
      <c r="J825" s="3" t="s">
        <v>1067</v>
      </c>
      <c r="K825" s="3" t="s">
        <v>216</v>
      </c>
    </row>
    <row r="826" ht="15.6" spans="4:11">
      <c r="D826" s="3">
        <v>1824</v>
      </c>
      <c r="E826" s="3" t="s">
        <v>216</v>
      </c>
      <c r="J826" s="3" t="s">
        <v>1068</v>
      </c>
      <c r="K826" s="3" t="s">
        <v>216</v>
      </c>
    </row>
    <row r="827" ht="15.6" spans="4:11">
      <c r="D827" s="3">
        <v>1825</v>
      </c>
      <c r="E827" s="3" t="s">
        <v>216</v>
      </c>
      <c r="J827" s="3" t="s">
        <v>1069</v>
      </c>
      <c r="K827" s="3" t="s">
        <v>216</v>
      </c>
    </row>
    <row r="828" ht="15.6" spans="4:11">
      <c r="D828" s="3">
        <v>1826</v>
      </c>
      <c r="E828" s="3" t="s">
        <v>216</v>
      </c>
      <c r="J828" s="3" t="s">
        <v>1070</v>
      </c>
      <c r="K828" s="3" t="s">
        <v>216</v>
      </c>
    </row>
    <row r="829" ht="15.6" spans="4:11">
      <c r="D829" s="3">
        <v>1827</v>
      </c>
      <c r="E829" s="3" t="s">
        <v>216</v>
      </c>
      <c r="J829" s="3" t="s">
        <v>1071</v>
      </c>
      <c r="K829" s="3" t="s">
        <v>216</v>
      </c>
    </row>
    <row r="830" ht="15.6" spans="4:11">
      <c r="D830" s="3">
        <v>1828</v>
      </c>
      <c r="E830" s="3" t="s">
        <v>216</v>
      </c>
      <c r="J830" s="3" t="s">
        <v>1072</v>
      </c>
      <c r="K830" s="3" t="s">
        <v>216</v>
      </c>
    </row>
    <row r="831" ht="15.6" spans="4:11">
      <c r="D831" s="3">
        <v>1829</v>
      </c>
      <c r="E831" s="3" t="s">
        <v>216</v>
      </c>
      <c r="J831" s="3" t="s">
        <v>1073</v>
      </c>
      <c r="K831" s="3" t="s">
        <v>216</v>
      </c>
    </row>
    <row r="832" ht="15.6" spans="4:11">
      <c r="D832" s="3">
        <v>1830</v>
      </c>
      <c r="E832" s="3" t="s">
        <v>216</v>
      </c>
      <c r="J832" s="3" t="s">
        <v>1074</v>
      </c>
      <c r="K832" s="3" t="s">
        <v>216</v>
      </c>
    </row>
    <row r="833" ht="15.6" spans="4:11">
      <c r="D833" s="3">
        <v>1831</v>
      </c>
      <c r="E833" s="3" t="s">
        <v>216</v>
      </c>
      <c r="J833" s="3" t="s">
        <v>1075</v>
      </c>
      <c r="K833" s="3" t="s">
        <v>216</v>
      </c>
    </row>
    <row r="834" ht="15.6" spans="4:11">
      <c r="D834" s="3">
        <v>1832</v>
      </c>
      <c r="E834" s="3" t="s">
        <v>216</v>
      </c>
      <c r="J834" s="3" t="s">
        <v>1076</v>
      </c>
      <c r="K834" s="3" t="s">
        <v>216</v>
      </c>
    </row>
    <row r="835" ht="15.6" spans="4:11">
      <c r="D835" s="3">
        <v>1833</v>
      </c>
      <c r="E835" s="3" t="s">
        <v>216</v>
      </c>
      <c r="J835" s="3" t="s">
        <v>1077</v>
      </c>
      <c r="K835" s="3" t="s">
        <v>216</v>
      </c>
    </row>
    <row r="836" ht="15.6" spans="4:11">
      <c r="D836" s="3">
        <v>1834</v>
      </c>
      <c r="E836" s="3" t="s">
        <v>216</v>
      </c>
      <c r="J836" s="3" t="s">
        <v>1078</v>
      </c>
      <c r="K836" s="3" t="s">
        <v>216</v>
      </c>
    </row>
    <row r="837" ht="15.6" spans="4:11">
      <c r="D837" s="3">
        <v>1835</v>
      </c>
      <c r="E837" s="3" t="s">
        <v>216</v>
      </c>
      <c r="J837" s="3" t="s">
        <v>1079</v>
      </c>
      <c r="K837" s="3" t="s">
        <v>216</v>
      </c>
    </row>
    <row r="838" ht="15.6" spans="4:11">
      <c r="D838" s="3">
        <v>1836</v>
      </c>
      <c r="E838" s="3" t="s">
        <v>216</v>
      </c>
      <c r="J838" s="3" t="s">
        <v>1080</v>
      </c>
      <c r="K838" s="3" t="s">
        <v>216</v>
      </c>
    </row>
    <row r="839" ht="15.6" spans="4:11">
      <c r="D839" s="3">
        <v>1837</v>
      </c>
      <c r="E839" s="3" t="s">
        <v>216</v>
      </c>
      <c r="J839" s="3" t="s">
        <v>1081</v>
      </c>
      <c r="K839" s="3" t="s">
        <v>216</v>
      </c>
    </row>
    <row r="840" ht="15.6" spans="4:11">
      <c r="D840" s="3">
        <v>1838</v>
      </c>
      <c r="E840" s="3" t="s">
        <v>216</v>
      </c>
      <c r="J840" s="3" t="s">
        <v>1082</v>
      </c>
      <c r="K840" s="3" t="s">
        <v>216</v>
      </c>
    </row>
    <row r="841" ht="15.6" spans="4:11">
      <c r="D841" s="3">
        <v>1839</v>
      </c>
      <c r="E841" s="3" t="s">
        <v>216</v>
      </c>
      <c r="J841" s="3" t="s">
        <v>1083</v>
      </c>
      <c r="K841" s="3" t="s">
        <v>216</v>
      </c>
    </row>
    <row r="842" ht="15.6" spans="4:11">
      <c r="D842" s="3">
        <v>1840</v>
      </c>
      <c r="E842" s="3" t="s">
        <v>216</v>
      </c>
      <c r="J842" s="3" t="s">
        <v>1084</v>
      </c>
      <c r="K842" s="3" t="s">
        <v>216</v>
      </c>
    </row>
    <row r="843" ht="15.6" spans="4:11">
      <c r="D843" s="3">
        <v>1841</v>
      </c>
      <c r="E843" s="3" t="s">
        <v>216</v>
      </c>
      <c r="J843" s="3" t="s">
        <v>1085</v>
      </c>
      <c r="K843" s="3" t="s">
        <v>216</v>
      </c>
    </row>
    <row r="844" ht="15.6" spans="4:11">
      <c r="D844" s="3">
        <v>1842</v>
      </c>
      <c r="E844" s="3" t="s">
        <v>216</v>
      </c>
      <c r="J844" s="3" t="s">
        <v>1086</v>
      </c>
      <c r="K844" s="3" t="s">
        <v>216</v>
      </c>
    </row>
    <row r="845" ht="15.6" spans="4:11">
      <c r="D845" s="3">
        <v>1843</v>
      </c>
      <c r="E845" s="3" t="s">
        <v>216</v>
      </c>
      <c r="J845" s="3" t="s">
        <v>1087</v>
      </c>
      <c r="K845" s="3" t="s">
        <v>216</v>
      </c>
    </row>
    <row r="846" ht="15.6" spans="4:11">
      <c r="D846" s="3">
        <v>1844</v>
      </c>
      <c r="E846" s="3" t="s">
        <v>216</v>
      </c>
      <c r="J846" s="3" t="s">
        <v>1088</v>
      </c>
      <c r="K846" s="3" t="s">
        <v>216</v>
      </c>
    </row>
    <row r="847" ht="15.6" spans="4:11">
      <c r="D847" s="3">
        <v>1845</v>
      </c>
      <c r="E847" s="3" t="s">
        <v>216</v>
      </c>
      <c r="J847" s="3" t="s">
        <v>1089</v>
      </c>
      <c r="K847" s="3" t="s">
        <v>216</v>
      </c>
    </row>
    <row r="848" ht="15.6" spans="4:11">
      <c r="D848" s="3">
        <v>1846</v>
      </c>
      <c r="E848" s="3" t="s">
        <v>216</v>
      </c>
      <c r="J848" s="3" t="s">
        <v>1090</v>
      </c>
      <c r="K848" s="3" t="s">
        <v>216</v>
      </c>
    </row>
    <row r="849" ht="15.6" spans="4:11">
      <c r="D849" s="3">
        <v>1847</v>
      </c>
      <c r="E849" s="3" t="s">
        <v>216</v>
      </c>
      <c r="J849" s="3" t="s">
        <v>1091</v>
      </c>
      <c r="K849" s="3" t="s">
        <v>216</v>
      </c>
    </row>
    <row r="850" ht="15.6" spans="4:11">
      <c r="D850" s="3">
        <v>1848</v>
      </c>
      <c r="E850" s="3" t="s">
        <v>216</v>
      </c>
      <c r="J850" s="3" t="s">
        <v>1092</v>
      </c>
      <c r="K850" s="3" t="s">
        <v>216</v>
      </c>
    </row>
    <row r="851" ht="15.6" spans="4:11">
      <c r="D851" s="3">
        <v>1849</v>
      </c>
      <c r="E851" s="3" t="s">
        <v>216</v>
      </c>
      <c r="J851" s="3" t="s">
        <v>1093</v>
      </c>
      <c r="K851" s="3" t="s">
        <v>216</v>
      </c>
    </row>
    <row r="852" ht="15.6" spans="4:11">
      <c r="D852" s="3">
        <v>1850</v>
      </c>
      <c r="E852" s="3" t="s">
        <v>216</v>
      </c>
      <c r="J852" s="3" t="s">
        <v>1094</v>
      </c>
      <c r="K852" s="3" t="s">
        <v>216</v>
      </c>
    </row>
    <row r="853" ht="15.6" spans="4:11">
      <c r="D853" s="3">
        <v>1851</v>
      </c>
      <c r="E853" s="3" t="s">
        <v>216</v>
      </c>
      <c r="J853" s="3" t="s">
        <v>1095</v>
      </c>
      <c r="K853" s="3" t="s">
        <v>216</v>
      </c>
    </row>
    <row r="854" ht="15.6" spans="4:11">
      <c r="D854" s="3">
        <v>1852</v>
      </c>
      <c r="E854" s="3" t="s">
        <v>216</v>
      </c>
      <c r="J854" s="3" t="s">
        <v>1096</v>
      </c>
      <c r="K854" s="3" t="s">
        <v>216</v>
      </c>
    </row>
    <row r="855" ht="15.6" spans="4:11">
      <c r="D855" s="3">
        <v>1853</v>
      </c>
      <c r="E855" s="3" t="s">
        <v>216</v>
      </c>
      <c r="J855" s="3" t="s">
        <v>1097</v>
      </c>
      <c r="K855" s="3" t="s">
        <v>216</v>
      </c>
    </row>
    <row r="856" ht="15.6" spans="4:11">
      <c r="D856" s="3">
        <v>1854</v>
      </c>
      <c r="E856" s="3" t="s">
        <v>216</v>
      </c>
      <c r="J856" s="3" t="s">
        <v>1098</v>
      </c>
      <c r="K856" s="3" t="s">
        <v>216</v>
      </c>
    </row>
    <row r="857" ht="15.6" spans="4:11">
      <c r="D857" s="3">
        <v>1855</v>
      </c>
      <c r="E857" s="3" t="s">
        <v>216</v>
      </c>
      <c r="J857" s="3" t="s">
        <v>1099</v>
      </c>
      <c r="K857" s="3" t="s">
        <v>216</v>
      </c>
    </row>
    <row r="858" ht="15.6" spans="4:11">
      <c r="D858" s="3">
        <v>1856</v>
      </c>
      <c r="E858" s="3" t="s">
        <v>216</v>
      </c>
      <c r="J858" s="3" t="s">
        <v>1100</v>
      </c>
      <c r="K858" s="3" t="s">
        <v>216</v>
      </c>
    </row>
    <row r="859" ht="15.6" spans="4:11">
      <c r="D859" s="3">
        <v>1857</v>
      </c>
      <c r="E859" s="3" t="s">
        <v>216</v>
      </c>
      <c r="J859" s="3" t="s">
        <v>1101</v>
      </c>
      <c r="K859" s="3" t="s">
        <v>216</v>
      </c>
    </row>
    <row r="860" ht="15.6" spans="4:11">
      <c r="D860" s="3">
        <v>1858</v>
      </c>
      <c r="E860" s="3" t="s">
        <v>216</v>
      </c>
      <c r="J860" s="3" t="s">
        <v>1102</v>
      </c>
      <c r="K860" s="3" t="s">
        <v>216</v>
      </c>
    </row>
    <row r="861" ht="15.6" spans="4:11">
      <c r="D861" s="3">
        <v>1859</v>
      </c>
      <c r="E861" s="3" t="s">
        <v>216</v>
      </c>
      <c r="J861" s="3" t="s">
        <v>1103</v>
      </c>
      <c r="K861" s="3" t="s">
        <v>216</v>
      </c>
    </row>
    <row r="862" ht="15.6" spans="4:11">
      <c r="D862" s="3">
        <v>1860</v>
      </c>
      <c r="E862" s="3" t="s">
        <v>216</v>
      </c>
      <c r="J862" s="3" t="s">
        <v>1104</v>
      </c>
      <c r="K862" s="3" t="s">
        <v>216</v>
      </c>
    </row>
    <row r="863" ht="15.6" spans="4:11">
      <c r="D863" s="3">
        <v>1861</v>
      </c>
      <c r="E863" s="3" t="s">
        <v>216</v>
      </c>
      <c r="J863" s="3" t="s">
        <v>1105</v>
      </c>
      <c r="K863" s="3" t="s">
        <v>216</v>
      </c>
    </row>
    <row r="864" ht="15.6" spans="4:11">
      <c r="D864" s="3">
        <v>1862</v>
      </c>
      <c r="E864" s="3" t="s">
        <v>216</v>
      </c>
      <c r="J864" s="3" t="s">
        <v>1106</v>
      </c>
      <c r="K864" s="3" t="s">
        <v>216</v>
      </c>
    </row>
    <row r="865" ht="15.6" spans="4:11">
      <c r="D865" s="3">
        <v>1863</v>
      </c>
      <c r="E865" s="3" t="s">
        <v>216</v>
      </c>
      <c r="J865" s="3" t="s">
        <v>1107</v>
      </c>
      <c r="K865" s="3" t="s">
        <v>216</v>
      </c>
    </row>
    <row r="866" ht="15.6" spans="4:11">
      <c r="D866" s="3">
        <v>1864</v>
      </c>
      <c r="E866" s="3" t="s">
        <v>216</v>
      </c>
      <c r="J866" s="3" t="s">
        <v>1108</v>
      </c>
      <c r="K866" s="3" t="s">
        <v>216</v>
      </c>
    </row>
    <row r="867" ht="15.6" spans="4:11">
      <c r="D867" s="3">
        <v>1865</v>
      </c>
      <c r="E867" s="3" t="s">
        <v>216</v>
      </c>
      <c r="J867" s="3" t="s">
        <v>1109</v>
      </c>
      <c r="K867" s="3" t="s">
        <v>216</v>
      </c>
    </row>
    <row r="868" ht="15.6" spans="4:11">
      <c r="D868" s="3">
        <v>1866</v>
      </c>
      <c r="E868" s="3" t="s">
        <v>216</v>
      </c>
      <c r="J868" s="3" t="s">
        <v>1110</v>
      </c>
      <c r="K868" s="3" t="s">
        <v>216</v>
      </c>
    </row>
    <row r="869" ht="15.6" spans="4:11">
      <c r="D869" s="3">
        <v>1867</v>
      </c>
      <c r="E869" s="3" t="s">
        <v>216</v>
      </c>
      <c r="J869" s="3" t="s">
        <v>1111</v>
      </c>
      <c r="K869" s="3" t="s">
        <v>216</v>
      </c>
    </row>
    <row r="870" ht="15.6" spans="4:11">
      <c r="D870" s="3">
        <v>1868</v>
      </c>
      <c r="E870" s="3" t="s">
        <v>216</v>
      </c>
      <c r="J870" s="3" t="s">
        <v>1112</v>
      </c>
      <c r="K870" s="3" t="s">
        <v>216</v>
      </c>
    </row>
    <row r="871" ht="15.6" spans="4:11">
      <c r="D871" s="3">
        <v>1869</v>
      </c>
      <c r="E871" s="3" t="s">
        <v>216</v>
      </c>
      <c r="J871" s="3" t="s">
        <v>1113</v>
      </c>
      <c r="K871" s="3" t="s">
        <v>216</v>
      </c>
    </row>
    <row r="872" ht="15.6" spans="4:11">
      <c r="D872" s="3">
        <v>1870</v>
      </c>
      <c r="E872" s="3" t="s">
        <v>216</v>
      </c>
      <c r="J872" s="3" t="s">
        <v>1114</v>
      </c>
      <c r="K872" s="3" t="s">
        <v>216</v>
      </c>
    </row>
    <row r="873" ht="15.6" spans="4:11">
      <c r="D873" s="3">
        <v>1871</v>
      </c>
      <c r="E873" s="3" t="s">
        <v>216</v>
      </c>
      <c r="J873" s="3" t="s">
        <v>1115</v>
      </c>
      <c r="K873" s="3" t="s">
        <v>216</v>
      </c>
    </row>
    <row r="874" ht="15.6" spans="4:11">
      <c r="D874" s="3">
        <v>1872</v>
      </c>
      <c r="E874" s="3" t="s">
        <v>216</v>
      </c>
      <c r="J874" s="3" t="s">
        <v>1116</v>
      </c>
      <c r="K874" s="3" t="s">
        <v>216</v>
      </c>
    </row>
    <row r="875" ht="15.6" spans="4:11">
      <c r="D875" s="3">
        <v>1873</v>
      </c>
      <c r="E875" s="3" t="s">
        <v>216</v>
      </c>
      <c r="J875" s="3" t="s">
        <v>1117</v>
      </c>
      <c r="K875" s="3" t="s">
        <v>216</v>
      </c>
    </row>
    <row r="876" ht="15.6" spans="4:11">
      <c r="D876" s="3">
        <v>1874</v>
      </c>
      <c r="E876" s="3" t="s">
        <v>216</v>
      </c>
      <c r="J876" s="3" t="s">
        <v>1118</v>
      </c>
      <c r="K876" s="3" t="s">
        <v>216</v>
      </c>
    </row>
    <row r="877" ht="15.6" spans="4:11">
      <c r="D877" s="3">
        <v>1875</v>
      </c>
      <c r="E877" s="3" t="s">
        <v>216</v>
      </c>
      <c r="J877" s="3" t="s">
        <v>1119</v>
      </c>
      <c r="K877" s="3" t="s">
        <v>216</v>
      </c>
    </row>
    <row r="878" ht="15.6" spans="4:11">
      <c r="D878" s="3">
        <v>1876</v>
      </c>
      <c r="E878" s="3" t="s">
        <v>216</v>
      </c>
      <c r="J878" s="3" t="s">
        <v>1120</v>
      </c>
      <c r="K878" s="3" t="s">
        <v>216</v>
      </c>
    </row>
    <row r="879" ht="15.6" spans="4:11">
      <c r="D879" s="3">
        <v>1877</v>
      </c>
      <c r="E879" s="3" t="s">
        <v>216</v>
      </c>
      <c r="J879" s="3" t="s">
        <v>1121</v>
      </c>
      <c r="K879" s="3" t="s">
        <v>216</v>
      </c>
    </row>
    <row r="880" ht="15.6" spans="4:11">
      <c r="D880" s="3">
        <v>1878</v>
      </c>
      <c r="E880" s="3" t="s">
        <v>216</v>
      </c>
      <c r="J880" s="3" t="s">
        <v>1122</v>
      </c>
      <c r="K880" s="3" t="s">
        <v>216</v>
      </c>
    </row>
    <row r="881" ht="15.6" spans="4:11">
      <c r="D881" s="3">
        <v>1879</v>
      </c>
      <c r="E881" s="3" t="s">
        <v>216</v>
      </c>
      <c r="J881" s="3" t="s">
        <v>1123</v>
      </c>
      <c r="K881" s="3" t="s">
        <v>216</v>
      </c>
    </row>
    <row r="882" ht="15.6" spans="4:11">
      <c r="D882" s="3">
        <v>1880</v>
      </c>
      <c r="E882" s="3" t="s">
        <v>216</v>
      </c>
      <c r="J882" s="3" t="s">
        <v>1124</v>
      </c>
      <c r="K882" s="3" t="s">
        <v>216</v>
      </c>
    </row>
    <row r="883" ht="15.6" spans="4:11">
      <c r="D883" s="3">
        <v>1881</v>
      </c>
      <c r="E883" s="3" t="s">
        <v>216</v>
      </c>
      <c r="J883" s="3" t="s">
        <v>1125</v>
      </c>
      <c r="K883" s="3" t="s">
        <v>216</v>
      </c>
    </row>
    <row r="884" ht="15.6" spans="4:11">
      <c r="D884" s="3">
        <v>1882</v>
      </c>
      <c r="E884" s="3" t="s">
        <v>216</v>
      </c>
      <c r="J884" s="3" t="s">
        <v>1126</v>
      </c>
      <c r="K884" s="3" t="s">
        <v>216</v>
      </c>
    </row>
    <row r="885" ht="15.6" spans="4:11">
      <c r="D885" s="3">
        <v>1883</v>
      </c>
      <c r="E885" s="3" t="s">
        <v>216</v>
      </c>
      <c r="J885" s="3" t="s">
        <v>1127</v>
      </c>
      <c r="K885" s="3" t="s">
        <v>216</v>
      </c>
    </row>
    <row r="886" ht="15.6" spans="4:11">
      <c r="D886" s="3">
        <v>1884</v>
      </c>
      <c r="E886" s="3" t="s">
        <v>216</v>
      </c>
      <c r="J886" s="3" t="s">
        <v>1128</v>
      </c>
      <c r="K886" s="3" t="s">
        <v>216</v>
      </c>
    </row>
    <row r="887" ht="15.6" spans="4:11">
      <c r="D887" s="3">
        <v>1885</v>
      </c>
      <c r="E887" s="3" t="s">
        <v>216</v>
      </c>
      <c r="J887" s="3" t="s">
        <v>1129</v>
      </c>
      <c r="K887" s="3" t="s">
        <v>216</v>
      </c>
    </row>
    <row r="888" ht="15.6" spans="4:11">
      <c r="D888" s="3">
        <v>1886</v>
      </c>
      <c r="E888" s="3" t="s">
        <v>216</v>
      </c>
      <c r="J888" s="3" t="s">
        <v>1130</v>
      </c>
      <c r="K888" s="3" t="s">
        <v>216</v>
      </c>
    </row>
    <row r="889" ht="15.6" spans="4:11">
      <c r="D889" s="3">
        <v>1887</v>
      </c>
      <c r="E889" s="3" t="s">
        <v>216</v>
      </c>
      <c r="J889" s="3" t="s">
        <v>1131</v>
      </c>
      <c r="K889" s="3" t="s">
        <v>216</v>
      </c>
    </row>
    <row r="890" ht="15.6" spans="4:11">
      <c r="D890" s="3">
        <v>1888</v>
      </c>
      <c r="E890" s="3" t="s">
        <v>216</v>
      </c>
      <c r="J890" s="3" t="s">
        <v>1132</v>
      </c>
      <c r="K890" s="3" t="s">
        <v>216</v>
      </c>
    </row>
    <row r="891" ht="15.6" spans="4:11">
      <c r="D891" s="3">
        <v>1889</v>
      </c>
      <c r="E891" s="3" t="s">
        <v>216</v>
      </c>
      <c r="J891" s="3" t="s">
        <v>1133</v>
      </c>
      <c r="K891" s="3" t="s">
        <v>216</v>
      </c>
    </row>
    <row r="892" ht="15.6" spans="4:11">
      <c r="D892" s="3">
        <v>1890</v>
      </c>
      <c r="E892" s="3" t="s">
        <v>216</v>
      </c>
      <c r="J892" s="3" t="s">
        <v>1134</v>
      </c>
      <c r="K892" s="3" t="s">
        <v>216</v>
      </c>
    </row>
    <row r="893" ht="15.6" spans="4:11">
      <c r="D893" s="3">
        <v>1891</v>
      </c>
      <c r="E893" s="3" t="s">
        <v>216</v>
      </c>
      <c r="J893" s="3" t="s">
        <v>1135</v>
      </c>
      <c r="K893" s="3" t="s">
        <v>216</v>
      </c>
    </row>
    <row r="894" ht="15.6" spans="4:11">
      <c r="D894" s="3">
        <v>1892</v>
      </c>
      <c r="E894" s="3" t="s">
        <v>216</v>
      </c>
      <c r="J894" s="3" t="s">
        <v>1136</v>
      </c>
      <c r="K894" s="3" t="s">
        <v>216</v>
      </c>
    </row>
    <row r="895" ht="15.6" spans="4:11">
      <c r="D895" s="3">
        <v>1893</v>
      </c>
      <c r="E895" s="3" t="s">
        <v>216</v>
      </c>
      <c r="J895" s="3" t="s">
        <v>1137</v>
      </c>
      <c r="K895" s="3" t="s">
        <v>216</v>
      </c>
    </row>
    <row r="896" ht="15.6" spans="4:11">
      <c r="D896" s="3">
        <v>1894</v>
      </c>
      <c r="E896" s="3" t="s">
        <v>216</v>
      </c>
      <c r="J896" s="3" t="s">
        <v>1138</v>
      </c>
      <c r="K896" s="3" t="s">
        <v>216</v>
      </c>
    </row>
    <row r="897" ht="15.6" spans="4:11">
      <c r="D897" s="3">
        <v>1895</v>
      </c>
      <c r="E897" s="3" t="s">
        <v>216</v>
      </c>
      <c r="J897" s="3" t="s">
        <v>1139</v>
      </c>
      <c r="K897" s="3" t="s">
        <v>216</v>
      </c>
    </row>
    <row r="898" ht="15.6" spans="4:11">
      <c r="D898" s="3">
        <v>1896</v>
      </c>
      <c r="E898" s="3" t="s">
        <v>216</v>
      </c>
      <c r="J898" s="3" t="s">
        <v>1140</v>
      </c>
      <c r="K898" s="3" t="s">
        <v>216</v>
      </c>
    </row>
    <row r="899" ht="15.6" spans="4:11">
      <c r="D899" s="3">
        <v>1897</v>
      </c>
      <c r="E899" s="3" t="s">
        <v>216</v>
      </c>
      <c r="J899" s="3" t="s">
        <v>1141</v>
      </c>
      <c r="K899" s="3" t="s">
        <v>216</v>
      </c>
    </row>
    <row r="900" ht="15.6" spans="4:11">
      <c r="D900" s="3">
        <v>1898</v>
      </c>
      <c r="E900" s="3" t="s">
        <v>216</v>
      </c>
      <c r="J900" s="3" t="s">
        <v>1142</v>
      </c>
      <c r="K900" s="3" t="s">
        <v>216</v>
      </c>
    </row>
    <row r="901" ht="15.6" spans="4:11">
      <c r="D901" s="3">
        <v>1899</v>
      </c>
      <c r="E901" s="3" t="s">
        <v>216</v>
      </c>
      <c r="J901" s="3" t="s">
        <v>1143</v>
      </c>
      <c r="K901" s="3" t="s">
        <v>216</v>
      </c>
    </row>
    <row r="902" ht="15.6" spans="4:11">
      <c r="D902" s="3">
        <v>1900</v>
      </c>
      <c r="E902" s="3" t="s">
        <v>216</v>
      </c>
      <c r="J902" s="3" t="s">
        <v>1144</v>
      </c>
      <c r="K902" s="3" t="s">
        <v>216</v>
      </c>
    </row>
    <row r="903" ht="15.6" spans="4:11">
      <c r="D903" s="3">
        <v>1901</v>
      </c>
      <c r="E903" s="3" t="s">
        <v>216</v>
      </c>
      <c r="J903" s="3" t="s">
        <v>1145</v>
      </c>
      <c r="K903" s="3" t="s">
        <v>216</v>
      </c>
    </row>
    <row r="904" ht="15.6" spans="4:11">
      <c r="D904" s="3">
        <v>1902</v>
      </c>
      <c r="E904" s="3" t="s">
        <v>216</v>
      </c>
      <c r="J904" s="3" t="s">
        <v>1146</v>
      </c>
      <c r="K904" s="3" t="s">
        <v>216</v>
      </c>
    </row>
    <row r="905" ht="15.6" spans="4:11">
      <c r="D905" s="3">
        <v>1903</v>
      </c>
      <c r="E905" s="3" t="s">
        <v>216</v>
      </c>
      <c r="J905" s="3" t="s">
        <v>1147</v>
      </c>
      <c r="K905" s="3" t="s">
        <v>216</v>
      </c>
    </row>
    <row r="906" ht="15.6" spans="4:11">
      <c r="D906" s="3">
        <v>1904</v>
      </c>
      <c r="E906" s="3" t="s">
        <v>216</v>
      </c>
      <c r="J906" s="3" t="s">
        <v>1148</v>
      </c>
      <c r="K906" s="3" t="s">
        <v>216</v>
      </c>
    </row>
    <row r="907" ht="15.6" spans="4:11">
      <c r="D907" s="3">
        <v>1905</v>
      </c>
      <c r="E907" s="3" t="s">
        <v>216</v>
      </c>
      <c r="J907" s="3" t="s">
        <v>1149</v>
      </c>
      <c r="K907" s="3" t="s">
        <v>216</v>
      </c>
    </row>
    <row r="908" ht="15.6" spans="4:11">
      <c r="D908" s="3">
        <v>1906</v>
      </c>
      <c r="E908" s="3" t="s">
        <v>216</v>
      </c>
      <c r="J908" s="3" t="s">
        <v>1150</v>
      </c>
      <c r="K908" s="3" t="s">
        <v>216</v>
      </c>
    </row>
    <row r="909" ht="15.6" spans="4:11">
      <c r="D909" s="3">
        <v>1907</v>
      </c>
      <c r="E909" s="3" t="s">
        <v>216</v>
      </c>
      <c r="J909" s="3" t="s">
        <v>1151</v>
      </c>
      <c r="K909" s="3" t="s">
        <v>216</v>
      </c>
    </row>
    <row r="910" ht="15.6" spans="4:11">
      <c r="D910" s="3">
        <v>1908</v>
      </c>
      <c r="E910" s="3" t="s">
        <v>216</v>
      </c>
      <c r="J910" s="3" t="s">
        <v>1152</v>
      </c>
      <c r="K910" s="3" t="s">
        <v>216</v>
      </c>
    </row>
    <row r="911" ht="15.6" spans="4:11">
      <c r="D911" s="3">
        <v>1909</v>
      </c>
      <c r="E911" s="3" t="s">
        <v>216</v>
      </c>
      <c r="J911" s="3" t="s">
        <v>1153</v>
      </c>
      <c r="K911" s="3" t="s">
        <v>216</v>
      </c>
    </row>
    <row r="912" ht="15.6" spans="4:11">
      <c r="D912" s="3">
        <v>1910</v>
      </c>
      <c r="E912" s="3" t="s">
        <v>216</v>
      </c>
      <c r="J912" s="3" t="s">
        <v>1154</v>
      </c>
      <c r="K912" s="3" t="s">
        <v>216</v>
      </c>
    </row>
    <row r="913" ht="15.6" spans="4:11">
      <c r="D913" s="3">
        <v>1911</v>
      </c>
      <c r="E913" s="3" t="s">
        <v>216</v>
      </c>
      <c r="J913" s="3" t="s">
        <v>1155</v>
      </c>
      <c r="K913" s="3" t="s">
        <v>216</v>
      </c>
    </row>
    <row r="914" ht="15.6" spans="4:11">
      <c r="D914" s="3">
        <v>1912</v>
      </c>
      <c r="E914" s="3" t="s">
        <v>216</v>
      </c>
      <c r="J914" s="3" t="s">
        <v>1156</v>
      </c>
      <c r="K914" s="3" t="s">
        <v>216</v>
      </c>
    </row>
    <row r="915" ht="15.6" spans="4:11">
      <c r="D915" s="3">
        <v>1913</v>
      </c>
      <c r="E915" s="3" t="s">
        <v>216</v>
      </c>
      <c r="J915" s="3" t="s">
        <v>1157</v>
      </c>
      <c r="K915" s="3" t="s">
        <v>216</v>
      </c>
    </row>
    <row r="916" ht="15.6" spans="4:11">
      <c r="D916" s="3">
        <v>1914</v>
      </c>
      <c r="E916" s="3" t="s">
        <v>216</v>
      </c>
      <c r="J916" s="3" t="s">
        <v>1158</v>
      </c>
      <c r="K916" s="3" t="s">
        <v>216</v>
      </c>
    </row>
    <row r="917" ht="15.6" spans="4:11">
      <c r="D917" s="3">
        <v>1915</v>
      </c>
      <c r="E917" s="3" t="s">
        <v>216</v>
      </c>
      <c r="J917" s="3" t="s">
        <v>1159</v>
      </c>
      <c r="K917" s="3" t="s">
        <v>216</v>
      </c>
    </row>
    <row r="918" ht="15.6" spans="4:11">
      <c r="D918" s="3">
        <v>1916</v>
      </c>
      <c r="E918" s="3" t="s">
        <v>216</v>
      </c>
      <c r="J918" s="3" t="s">
        <v>1160</v>
      </c>
      <c r="K918" s="3" t="s">
        <v>216</v>
      </c>
    </row>
    <row r="919" ht="15.6" spans="4:11">
      <c r="D919" s="3">
        <v>1917</v>
      </c>
      <c r="E919" s="3" t="s">
        <v>216</v>
      </c>
      <c r="J919" s="3" t="s">
        <v>1161</v>
      </c>
      <c r="K919" s="3" t="s">
        <v>216</v>
      </c>
    </row>
    <row r="920" ht="15.6" spans="4:11">
      <c r="D920" s="3">
        <v>1918</v>
      </c>
      <c r="E920" s="3" t="s">
        <v>216</v>
      </c>
      <c r="J920" s="3" t="s">
        <v>1162</v>
      </c>
      <c r="K920" s="3" t="s">
        <v>216</v>
      </c>
    </row>
    <row r="921" ht="15.6" spans="4:11">
      <c r="D921" s="3">
        <v>1919</v>
      </c>
      <c r="E921" s="3" t="s">
        <v>216</v>
      </c>
      <c r="J921" s="3" t="s">
        <v>1163</v>
      </c>
      <c r="K921" s="3" t="s">
        <v>216</v>
      </c>
    </row>
    <row r="922" ht="15.6" spans="4:11">
      <c r="D922" s="3">
        <v>1920</v>
      </c>
      <c r="E922" s="3" t="s">
        <v>216</v>
      </c>
      <c r="J922" s="3" t="s">
        <v>1164</v>
      </c>
      <c r="K922" s="3" t="s">
        <v>216</v>
      </c>
    </row>
    <row r="923" ht="15.6" spans="4:11">
      <c r="D923" s="3">
        <v>1921</v>
      </c>
      <c r="E923" s="3" t="s">
        <v>216</v>
      </c>
      <c r="J923" s="3" t="s">
        <v>1165</v>
      </c>
      <c r="K923" s="3" t="s">
        <v>216</v>
      </c>
    </row>
    <row r="924" ht="15.6" spans="4:11">
      <c r="D924" s="3">
        <v>1922</v>
      </c>
      <c r="E924" s="3" t="s">
        <v>216</v>
      </c>
      <c r="J924" s="3" t="s">
        <v>1166</v>
      </c>
      <c r="K924" s="3" t="s">
        <v>216</v>
      </c>
    </row>
    <row r="925" ht="15.6" spans="4:11">
      <c r="D925" s="3">
        <v>1923</v>
      </c>
      <c r="E925" s="3" t="s">
        <v>216</v>
      </c>
      <c r="J925" s="3" t="s">
        <v>1167</v>
      </c>
      <c r="K925" s="3" t="s">
        <v>216</v>
      </c>
    </row>
    <row r="926" ht="15.6" spans="4:11">
      <c r="D926" s="3">
        <v>1924</v>
      </c>
      <c r="E926" s="3" t="s">
        <v>216</v>
      </c>
      <c r="J926" s="3" t="s">
        <v>1168</v>
      </c>
      <c r="K926" s="3" t="s">
        <v>216</v>
      </c>
    </row>
    <row r="927" ht="15.6" spans="4:11">
      <c r="D927" s="3">
        <v>1925</v>
      </c>
      <c r="E927" s="3" t="s">
        <v>216</v>
      </c>
      <c r="J927" s="3" t="s">
        <v>1169</v>
      </c>
      <c r="K927" s="3" t="s">
        <v>216</v>
      </c>
    </row>
    <row r="928" ht="15.6" spans="4:11">
      <c r="D928" s="3">
        <v>1926</v>
      </c>
      <c r="E928" s="3" t="s">
        <v>216</v>
      </c>
      <c r="J928" s="3" t="s">
        <v>1170</v>
      </c>
      <c r="K928" s="3" t="s">
        <v>216</v>
      </c>
    </row>
    <row r="929" ht="15.6" spans="4:11">
      <c r="D929" s="3">
        <v>1927</v>
      </c>
      <c r="E929" s="3" t="s">
        <v>216</v>
      </c>
      <c r="J929" s="3" t="s">
        <v>1171</v>
      </c>
      <c r="K929" s="3" t="s">
        <v>216</v>
      </c>
    </row>
    <row r="930" ht="15.6" spans="4:11">
      <c r="D930" s="3">
        <v>1928</v>
      </c>
      <c r="E930" s="3" t="s">
        <v>216</v>
      </c>
      <c r="J930" s="3" t="s">
        <v>1172</v>
      </c>
      <c r="K930" s="3" t="s">
        <v>216</v>
      </c>
    </row>
    <row r="931" ht="15.6" spans="4:11">
      <c r="D931" s="3">
        <v>1929</v>
      </c>
      <c r="E931" s="3" t="s">
        <v>216</v>
      </c>
      <c r="J931" s="3" t="s">
        <v>1173</v>
      </c>
      <c r="K931" s="3" t="s">
        <v>216</v>
      </c>
    </row>
    <row r="932" ht="15.6" spans="4:11">
      <c r="D932" s="3">
        <v>1930</v>
      </c>
      <c r="E932" s="3" t="s">
        <v>216</v>
      </c>
      <c r="J932" s="3" t="s">
        <v>1174</v>
      </c>
      <c r="K932" s="3" t="s">
        <v>216</v>
      </c>
    </row>
    <row r="933" ht="15.6" spans="4:11">
      <c r="D933" s="3">
        <v>1931</v>
      </c>
      <c r="E933" s="3" t="s">
        <v>216</v>
      </c>
      <c r="J933" s="3" t="s">
        <v>1175</v>
      </c>
      <c r="K933" s="3" t="s">
        <v>216</v>
      </c>
    </row>
    <row r="934" ht="15.6" spans="4:11">
      <c r="D934" s="3">
        <v>1932</v>
      </c>
      <c r="E934" s="3" t="s">
        <v>216</v>
      </c>
      <c r="J934" s="3" t="s">
        <v>1176</v>
      </c>
      <c r="K934" s="3" t="s">
        <v>216</v>
      </c>
    </row>
    <row r="935" ht="15.6" spans="4:11">
      <c r="D935" s="3">
        <v>1933</v>
      </c>
      <c r="E935" s="3" t="s">
        <v>216</v>
      </c>
      <c r="J935" s="3" t="s">
        <v>1177</v>
      </c>
      <c r="K935" s="3" t="s">
        <v>216</v>
      </c>
    </row>
    <row r="936" ht="15.6" spans="4:11">
      <c r="D936" s="3">
        <v>1934</v>
      </c>
      <c r="E936" s="3" t="s">
        <v>216</v>
      </c>
      <c r="J936" s="3" t="s">
        <v>1178</v>
      </c>
      <c r="K936" s="3" t="s">
        <v>216</v>
      </c>
    </row>
    <row r="937" ht="15.6" spans="4:11">
      <c r="D937" s="3">
        <v>1935</v>
      </c>
      <c r="E937" s="3" t="s">
        <v>216</v>
      </c>
      <c r="J937" s="3" t="s">
        <v>1179</v>
      </c>
      <c r="K937" s="3" t="s">
        <v>216</v>
      </c>
    </row>
    <row r="938" ht="15.6" spans="4:11">
      <c r="D938" s="3">
        <v>2000</v>
      </c>
      <c r="E938" s="3" t="s">
        <v>216</v>
      </c>
      <c r="J938" s="3" t="s">
        <v>1180</v>
      </c>
      <c r="K938" s="3" t="s">
        <v>216</v>
      </c>
    </row>
    <row r="939" ht="15.6" spans="4:11">
      <c r="D939" s="3">
        <v>2001</v>
      </c>
      <c r="E939" s="3" t="s">
        <v>216</v>
      </c>
      <c r="J939" s="3" t="s">
        <v>1181</v>
      </c>
      <c r="K939" s="3" t="s">
        <v>216</v>
      </c>
    </row>
    <row r="940" ht="15.6" spans="4:11">
      <c r="D940" s="3">
        <v>2002</v>
      </c>
      <c r="E940" s="3" t="s">
        <v>216</v>
      </c>
      <c r="J940" s="3" t="s">
        <v>1182</v>
      </c>
      <c r="K940" s="3" t="s">
        <v>216</v>
      </c>
    </row>
    <row r="941" ht="15.6" spans="4:11">
      <c r="D941" s="3">
        <v>2003</v>
      </c>
      <c r="E941" s="3" t="s">
        <v>216</v>
      </c>
      <c r="J941" s="3" t="s">
        <v>1183</v>
      </c>
      <c r="K941" s="3" t="s">
        <v>216</v>
      </c>
    </row>
    <row r="942" ht="15.6" spans="4:11">
      <c r="D942" s="3">
        <v>2004</v>
      </c>
      <c r="E942" s="3" t="s">
        <v>216</v>
      </c>
      <c r="J942" s="3" t="s">
        <v>1184</v>
      </c>
      <c r="K942" s="3" t="s">
        <v>216</v>
      </c>
    </row>
    <row r="943" ht="15.6" spans="4:11">
      <c r="D943" s="3">
        <v>2005</v>
      </c>
      <c r="E943" s="3" t="s">
        <v>216</v>
      </c>
      <c r="J943" s="3" t="s">
        <v>1185</v>
      </c>
      <c r="K943" s="3" t="s">
        <v>216</v>
      </c>
    </row>
    <row r="944" ht="15.6" spans="4:11">
      <c r="D944" s="3">
        <v>2006</v>
      </c>
      <c r="E944" s="3" t="s">
        <v>216</v>
      </c>
      <c r="J944" s="3" t="s">
        <v>1186</v>
      </c>
      <c r="K944" s="3" t="s">
        <v>216</v>
      </c>
    </row>
    <row r="945" ht="15.6" spans="4:11">
      <c r="D945" s="3">
        <v>2007</v>
      </c>
      <c r="E945" s="3" t="s">
        <v>216</v>
      </c>
      <c r="J945" s="3" t="s">
        <v>1187</v>
      </c>
      <c r="K945" s="3" t="s">
        <v>216</v>
      </c>
    </row>
    <row r="946" ht="15.6" spans="4:11">
      <c r="D946" s="3">
        <v>2008</v>
      </c>
      <c r="E946" s="3" t="s">
        <v>216</v>
      </c>
      <c r="J946" s="3" t="s">
        <v>1188</v>
      </c>
      <c r="K946" s="3" t="s">
        <v>216</v>
      </c>
    </row>
    <row r="947" ht="15.6" spans="4:11">
      <c r="D947" s="3">
        <v>2009</v>
      </c>
      <c r="E947" s="3" t="s">
        <v>216</v>
      </c>
      <c r="J947" s="3" t="s">
        <v>1189</v>
      </c>
      <c r="K947" s="3" t="s">
        <v>216</v>
      </c>
    </row>
    <row r="948" ht="15.6" spans="4:11">
      <c r="D948" s="3">
        <v>2010</v>
      </c>
      <c r="E948" s="3" t="s">
        <v>216</v>
      </c>
      <c r="J948" s="3" t="s">
        <v>1190</v>
      </c>
      <c r="K948" s="3" t="s">
        <v>216</v>
      </c>
    </row>
    <row r="949" ht="15.6" spans="4:11">
      <c r="D949" s="3">
        <v>2011</v>
      </c>
      <c r="E949" s="3" t="s">
        <v>216</v>
      </c>
      <c r="J949" s="3" t="s">
        <v>1191</v>
      </c>
      <c r="K949" s="3" t="s">
        <v>216</v>
      </c>
    </row>
    <row r="950" ht="15.6" spans="4:11">
      <c r="D950" s="3">
        <v>2012</v>
      </c>
      <c r="E950" s="3" t="s">
        <v>216</v>
      </c>
      <c r="J950" s="3" t="s">
        <v>1192</v>
      </c>
      <c r="K950" s="3" t="s">
        <v>216</v>
      </c>
    </row>
    <row r="951" ht="15.6" spans="4:11">
      <c r="D951" s="3">
        <v>2013</v>
      </c>
      <c r="E951" s="3" t="s">
        <v>216</v>
      </c>
      <c r="J951" s="3" t="s">
        <v>1193</v>
      </c>
      <c r="K951" s="3" t="s">
        <v>216</v>
      </c>
    </row>
    <row r="952" ht="15.6" spans="4:11">
      <c r="D952" s="3">
        <v>2014</v>
      </c>
      <c r="E952" s="3" t="s">
        <v>216</v>
      </c>
      <c r="J952" s="3" t="s">
        <v>1194</v>
      </c>
      <c r="K952" s="3" t="s">
        <v>216</v>
      </c>
    </row>
    <row r="953" ht="15.6" spans="4:11">
      <c r="D953" s="3">
        <v>2015</v>
      </c>
      <c r="E953" s="3" t="s">
        <v>216</v>
      </c>
      <c r="J953" s="3" t="s">
        <v>1195</v>
      </c>
      <c r="K953" s="3" t="s">
        <v>216</v>
      </c>
    </row>
    <row r="954" ht="15.6" spans="4:11">
      <c r="D954" s="3">
        <v>2016</v>
      </c>
      <c r="E954" s="3" t="s">
        <v>216</v>
      </c>
      <c r="J954" s="3" t="s">
        <v>1196</v>
      </c>
      <c r="K954" s="3" t="s">
        <v>216</v>
      </c>
    </row>
    <row r="955" ht="15.6" spans="4:11">
      <c r="D955" s="3">
        <v>2017</v>
      </c>
      <c r="E955" s="3" t="s">
        <v>216</v>
      </c>
      <c r="J955" s="3" t="s">
        <v>1197</v>
      </c>
      <c r="K955" s="3" t="s">
        <v>216</v>
      </c>
    </row>
    <row r="956" ht="15.6" spans="4:11">
      <c r="D956" s="3">
        <v>2018</v>
      </c>
      <c r="E956" s="3" t="s">
        <v>216</v>
      </c>
      <c r="J956" s="3" t="s">
        <v>1198</v>
      </c>
      <c r="K956" s="3" t="s">
        <v>216</v>
      </c>
    </row>
    <row r="957" ht="15.6" spans="4:11">
      <c r="D957" s="3">
        <v>2019</v>
      </c>
      <c r="E957" s="3" t="s">
        <v>216</v>
      </c>
      <c r="J957" s="3" t="s">
        <v>1199</v>
      </c>
      <c r="K957" s="3" t="s">
        <v>216</v>
      </c>
    </row>
    <row r="958" ht="15.6" spans="4:11">
      <c r="D958" s="3">
        <v>2020</v>
      </c>
      <c r="E958" s="3" t="s">
        <v>216</v>
      </c>
      <c r="J958" s="3" t="s">
        <v>1200</v>
      </c>
      <c r="K958" s="3" t="s">
        <v>216</v>
      </c>
    </row>
    <row r="959" ht="15.6" spans="4:11">
      <c r="D959" s="3">
        <v>2021</v>
      </c>
      <c r="E959" s="3" t="s">
        <v>216</v>
      </c>
      <c r="J959" s="3" t="s">
        <v>1201</v>
      </c>
      <c r="K959" s="3" t="s">
        <v>216</v>
      </c>
    </row>
    <row r="960" ht="15.6" spans="4:11">
      <c r="D960" s="3">
        <v>2022</v>
      </c>
      <c r="E960" s="3" t="s">
        <v>216</v>
      </c>
      <c r="J960" s="3" t="s">
        <v>1202</v>
      </c>
      <c r="K960" s="3" t="s">
        <v>216</v>
      </c>
    </row>
    <row r="961" ht="15.6" spans="4:11">
      <c r="D961" s="3">
        <v>2023</v>
      </c>
      <c r="E961" s="3" t="s">
        <v>216</v>
      </c>
      <c r="J961" s="3" t="s">
        <v>1203</v>
      </c>
      <c r="K961" s="3" t="s">
        <v>216</v>
      </c>
    </row>
    <row r="962" ht="15.6" spans="4:11">
      <c r="D962" s="3">
        <v>2024</v>
      </c>
      <c r="E962" s="3" t="s">
        <v>216</v>
      </c>
      <c r="J962" s="3" t="s">
        <v>1204</v>
      </c>
      <c r="K962" s="3" t="s">
        <v>216</v>
      </c>
    </row>
    <row r="963" ht="15.6" spans="4:11">
      <c r="D963" s="3">
        <v>2025</v>
      </c>
      <c r="E963" s="3" t="s">
        <v>216</v>
      </c>
      <c r="J963" s="3" t="s">
        <v>1205</v>
      </c>
      <c r="K963" s="3" t="s">
        <v>216</v>
      </c>
    </row>
    <row r="964" ht="15.6" spans="4:11">
      <c r="D964" s="3">
        <v>2026</v>
      </c>
      <c r="E964" s="3" t="s">
        <v>216</v>
      </c>
      <c r="J964" s="3" t="s">
        <v>1206</v>
      </c>
      <c r="K964" s="3" t="s">
        <v>216</v>
      </c>
    </row>
    <row r="965" ht="15.6" spans="4:11">
      <c r="D965" s="3">
        <v>2027</v>
      </c>
      <c r="E965" s="3" t="s">
        <v>216</v>
      </c>
      <c r="J965" s="3" t="s">
        <v>1207</v>
      </c>
      <c r="K965" s="3" t="s">
        <v>216</v>
      </c>
    </row>
    <row r="966" ht="15.6" spans="4:11">
      <c r="D966" s="3">
        <v>2028</v>
      </c>
      <c r="E966" s="3" t="s">
        <v>216</v>
      </c>
      <c r="J966" s="3" t="s">
        <v>1208</v>
      </c>
      <c r="K966" s="3" t="s">
        <v>216</v>
      </c>
    </row>
    <row r="967" ht="15.6" spans="4:11">
      <c r="D967" s="3">
        <v>2029</v>
      </c>
      <c r="E967" s="3" t="s">
        <v>216</v>
      </c>
      <c r="J967" s="3" t="s">
        <v>1209</v>
      </c>
      <c r="K967" s="3" t="s">
        <v>216</v>
      </c>
    </row>
    <row r="968" ht="15.6" spans="4:11">
      <c r="D968" s="3">
        <v>2030</v>
      </c>
      <c r="E968" s="3" t="s">
        <v>216</v>
      </c>
      <c r="J968" s="3" t="s">
        <v>1210</v>
      </c>
      <c r="K968" s="3" t="s">
        <v>216</v>
      </c>
    </row>
    <row r="969" ht="15.6" spans="4:11">
      <c r="D969" s="3">
        <v>2031</v>
      </c>
      <c r="E969" s="3" t="s">
        <v>216</v>
      </c>
      <c r="J969" s="3" t="s">
        <v>1211</v>
      </c>
      <c r="K969" s="3" t="s">
        <v>216</v>
      </c>
    </row>
    <row r="970" ht="15.6" spans="4:11">
      <c r="D970" s="3">
        <v>2032</v>
      </c>
      <c r="E970" s="3" t="s">
        <v>216</v>
      </c>
      <c r="J970" s="3" t="s">
        <v>1212</v>
      </c>
      <c r="K970" s="3" t="s">
        <v>216</v>
      </c>
    </row>
    <row r="971" ht="15.6" spans="4:11">
      <c r="D971" s="3">
        <v>2033</v>
      </c>
      <c r="E971" s="3" t="s">
        <v>216</v>
      </c>
      <c r="J971" s="3" t="s">
        <v>1213</v>
      </c>
      <c r="K971" s="3" t="s">
        <v>216</v>
      </c>
    </row>
    <row r="972" ht="15.6" spans="4:11">
      <c r="D972" s="3">
        <v>2034</v>
      </c>
      <c r="E972" s="3" t="s">
        <v>216</v>
      </c>
      <c r="J972" s="3" t="s">
        <v>1214</v>
      </c>
      <c r="K972" s="3" t="s">
        <v>216</v>
      </c>
    </row>
    <row r="973" ht="15.6" spans="4:11">
      <c r="D973" s="3">
        <v>2035</v>
      </c>
      <c r="E973" s="3" t="s">
        <v>216</v>
      </c>
      <c r="J973" s="3" t="s">
        <v>1215</v>
      </c>
      <c r="K973" s="3" t="s">
        <v>216</v>
      </c>
    </row>
    <row r="974" ht="15.6" spans="4:11">
      <c r="D974" s="3">
        <v>2036</v>
      </c>
      <c r="E974" s="3" t="s">
        <v>216</v>
      </c>
      <c r="J974" s="3" t="s">
        <v>1216</v>
      </c>
      <c r="K974" s="3" t="s">
        <v>216</v>
      </c>
    </row>
    <row r="975" ht="15.6" spans="4:11">
      <c r="D975" s="3">
        <v>2037</v>
      </c>
      <c r="E975" s="3" t="s">
        <v>216</v>
      </c>
      <c r="J975" s="3" t="s">
        <v>1217</v>
      </c>
      <c r="K975" s="3" t="s">
        <v>216</v>
      </c>
    </row>
    <row r="976" ht="15.6" spans="4:11">
      <c r="D976" s="3">
        <v>2038</v>
      </c>
      <c r="E976" s="3" t="s">
        <v>216</v>
      </c>
      <c r="J976" s="3" t="s">
        <v>1218</v>
      </c>
      <c r="K976" s="3" t="s">
        <v>216</v>
      </c>
    </row>
    <row r="977" ht="15.6" spans="4:11">
      <c r="D977" s="3">
        <v>2039</v>
      </c>
      <c r="E977" s="3" t="s">
        <v>216</v>
      </c>
      <c r="J977" s="3" t="s">
        <v>1219</v>
      </c>
      <c r="K977" s="3" t="s">
        <v>216</v>
      </c>
    </row>
    <row r="978" ht="15.6" spans="4:11">
      <c r="D978" s="3">
        <v>2040</v>
      </c>
      <c r="E978" s="3" t="s">
        <v>216</v>
      </c>
      <c r="J978" s="3" t="s">
        <v>1220</v>
      </c>
      <c r="K978" s="3" t="s">
        <v>216</v>
      </c>
    </row>
    <row r="979" ht="15.6" spans="4:11">
      <c r="D979" s="3">
        <v>2041</v>
      </c>
      <c r="E979" s="3" t="s">
        <v>216</v>
      </c>
      <c r="J979" s="3" t="s">
        <v>1221</v>
      </c>
      <c r="K979" s="3" t="s">
        <v>216</v>
      </c>
    </row>
    <row r="980" ht="15.6" spans="4:11">
      <c r="D980" s="3">
        <v>2042</v>
      </c>
      <c r="E980" s="3" t="s">
        <v>216</v>
      </c>
      <c r="J980" s="3" t="s">
        <v>1222</v>
      </c>
      <c r="K980" s="3" t="s">
        <v>216</v>
      </c>
    </row>
    <row r="981" ht="15.6" spans="4:11">
      <c r="D981" s="3">
        <v>2043</v>
      </c>
      <c r="E981" s="3" t="s">
        <v>216</v>
      </c>
      <c r="J981" s="3" t="s">
        <v>1223</v>
      </c>
      <c r="K981" s="3" t="s">
        <v>216</v>
      </c>
    </row>
    <row r="982" ht="15.6" spans="4:11">
      <c r="D982" s="3">
        <v>2044</v>
      </c>
      <c r="E982" s="3" t="s">
        <v>216</v>
      </c>
      <c r="J982" s="3" t="s">
        <v>1224</v>
      </c>
      <c r="K982" s="3" t="s">
        <v>216</v>
      </c>
    </row>
    <row r="983" ht="15.6" spans="4:11">
      <c r="D983" s="3">
        <v>2045</v>
      </c>
      <c r="E983" s="3" t="s">
        <v>216</v>
      </c>
      <c r="J983" s="3" t="s">
        <v>1225</v>
      </c>
      <c r="K983" s="3" t="s">
        <v>216</v>
      </c>
    </row>
    <row r="984" ht="15.6" spans="4:11">
      <c r="D984" s="3">
        <v>2046</v>
      </c>
      <c r="E984" s="3" t="s">
        <v>216</v>
      </c>
      <c r="J984" s="3" t="s">
        <v>1226</v>
      </c>
      <c r="K984" s="3" t="s">
        <v>216</v>
      </c>
    </row>
    <row r="985" ht="15.6" spans="4:11">
      <c r="D985" s="3">
        <v>2047</v>
      </c>
      <c r="E985" s="3" t="s">
        <v>216</v>
      </c>
      <c r="J985" s="3" t="s">
        <v>1227</v>
      </c>
      <c r="K985" s="3" t="s">
        <v>216</v>
      </c>
    </row>
    <row r="986" ht="15.6" spans="4:11">
      <c r="D986" s="3">
        <v>2048</v>
      </c>
      <c r="E986" s="3" t="s">
        <v>216</v>
      </c>
      <c r="J986" s="3" t="s">
        <v>1228</v>
      </c>
      <c r="K986" s="3" t="s">
        <v>216</v>
      </c>
    </row>
    <row r="987" ht="15.6" spans="4:11">
      <c r="D987" s="3">
        <v>2049</v>
      </c>
      <c r="E987" s="3" t="s">
        <v>216</v>
      </c>
      <c r="J987" s="3" t="s">
        <v>1229</v>
      </c>
      <c r="K987" s="3" t="s">
        <v>216</v>
      </c>
    </row>
    <row r="988" ht="15.6" spans="4:11">
      <c r="D988" s="3">
        <v>2050</v>
      </c>
      <c r="E988" s="3" t="s">
        <v>216</v>
      </c>
      <c r="J988" s="3" t="s">
        <v>1230</v>
      </c>
      <c r="K988" s="3" t="s">
        <v>216</v>
      </c>
    </row>
    <row r="989" ht="15.6" spans="4:11">
      <c r="D989" s="3">
        <v>2051</v>
      </c>
      <c r="E989" s="3" t="s">
        <v>216</v>
      </c>
      <c r="J989" s="3" t="s">
        <v>1231</v>
      </c>
      <c r="K989" s="3" t="s">
        <v>216</v>
      </c>
    </row>
    <row r="990" ht="15.6" spans="4:11">
      <c r="D990" s="3">
        <v>2052</v>
      </c>
      <c r="E990" s="3" t="s">
        <v>216</v>
      </c>
      <c r="J990" s="3" t="s">
        <v>1232</v>
      </c>
      <c r="K990" s="3" t="s">
        <v>216</v>
      </c>
    </row>
    <row r="991" ht="15.6" spans="4:11">
      <c r="D991" s="3">
        <v>2053</v>
      </c>
      <c r="E991" s="3" t="s">
        <v>216</v>
      </c>
      <c r="J991" s="3" t="s">
        <v>1233</v>
      </c>
      <c r="K991" s="3" t="s">
        <v>216</v>
      </c>
    </row>
    <row r="992" ht="15.6" spans="4:11">
      <c r="D992" s="3">
        <v>2054</v>
      </c>
      <c r="E992" s="3" t="s">
        <v>216</v>
      </c>
      <c r="J992" s="3" t="s">
        <v>1234</v>
      </c>
      <c r="K992" s="3" t="s">
        <v>216</v>
      </c>
    </row>
    <row r="993" ht="15.6" spans="4:11">
      <c r="D993" s="3">
        <v>2055</v>
      </c>
      <c r="E993" s="3" t="s">
        <v>216</v>
      </c>
      <c r="J993" s="3" t="s">
        <v>1235</v>
      </c>
      <c r="K993" s="3" t="s">
        <v>216</v>
      </c>
    </row>
    <row r="994" ht="15.6" spans="4:11">
      <c r="D994" s="3">
        <v>2056</v>
      </c>
      <c r="E994" s="3" t="s">
        <v>216</v>
      </c>
      <c r="J994" s="3" t="s">
        <v>1236</v>
      </c>
      <c r="K994" s="3" t="s">
        <v>216</v>
      </c>
    </row>
    <row r="995" ht="15.6" spans="4:11">
      <c r="D995" s="3">
        <v>2057</v>
      </c>
      <c r="E995" s="3" t="s">
        <v>216</v>
      </c>
      <c r="J995" s="3" t="s">
        <v>1237</v>
      </c>
      <c r="K995" s="3" t="s">
        <v>216</v>
      </c>
    </row>
    <row r="996" ht="15.6" spans="4:11">
      <c r="D996" s="3">
        <v>2058</v>
      </c>
      <c r="E996" s="3" t="s">
        <v>216</v>
      </c>
      <c r="J996" s="3" t="s">
        <v>1238</v>
      </c>
      <c r="K996" s="3" t="s">
        <v>216</v>
      </c>
    </row>
    <row r="997" ht="15.6" spans="4:11">
      <c r="D997" s="3">
        <v>2059</v>
      </c>
      <c r="E997" s="3" t="s">
        <v>216</v>
      </c>
      <c r="J997" s="3" t="s">
        <v>1239</v>
      </c>
      <c r="K997" s="3" t="s">
        <v>216</v>
      </c>
    </row>
    <row r="998" ht="15.6" spans="4:11">
      <c r="D998" s="3">
        <v>2060</v>
      </c>
      <c r="E998" s="3" t="s">
        <v>216</v>
      </c>
      <c r="J998" s="3" t="s">
        <v>1240</v>
      </c>
      <c r="K998" s="3" t="s">
        <v>216</v>
      </c>
    </row>
    <row r="999" ht="15.6" spans="4:11">
      <c r="D999" s="3">
        <v>2061</v>
      </c>
      <c r="E999" s="3" t="s">
        <v>216</v>
      </c>
      <c r="J999" s="3" t="s">
        <v>1241</v>
      </c>
      <c r="K999" s="3" t="s">
        <v>216</v>
      </c>
    </row>
    <row r="1000" ht="15.6" spans="4:11">
      <c r="D1000" s="3">
        <v>2062</v>
      </c>
      <c r="E1000" s="3" t="s">
        <v>216</v>
      </c>
      <c r="J1000" s="3" t="s">
        <v>1242</v>
      </c>
      <c r="K1000" s="3" t="s">
        <v>216</v>
      </c>
    </row>
    <row r="1001" ht="15.6" spans="4:11">
      <c r="D1001" s="3">
        <v>2063</v>
      </c>
      <c r="E1001" s="3" t="s">
        <v>216</v>
      </c>
      <c r="J1001" s="3" t="s">
        <v>1243</v>
      </c>
      <c r="K1001" s="3" t="s">
        <v>216</v>
      </c>
    </row>
    <row r="1002" ht="15.6" spans="4:11">
      <c r="D1002" s="3">
        <v>2064</v>
      </c>
      <c r="E1002" s="3" t="s">
        <v>216</v>
      </c>
      <c r="J1002" s="3" t="s">
        <v>1244</v>
      </c>
      <c r="K1002" s="3" t="s">
        <v>216</v>
      </c>
    </row>
    <row r="1003" ht="15.6" spans="4:11">
      <c r="D1003" s="3">
        <v>2065</v>
      </c>
      <c r="E1003" s="3" t="s">
        <v>216</v>
      </c>
      <c r="J1003" s="3" t="s">
        <v>1245</v>
      </c>
      <c r="K1003" s="3" t="s">
        <v>216</v>
      </c>
    </row>
    <row r="1004" ht="15.6" spans="4:11">
      <c r="D1004" s="3">
        <v>2066</v>
      </c>
      <c r="E1004" s="3" t="s">
        <v>216</v>
      </c>
      <c r="J1004" s="3" t="s">
        <v>1246</v>
      </c>
      <c r="K1004" s="3" t="s">
        <v>216</v>
      </c>
    </row>
    <row r="1005" ht="15.6" spans="4:11">
      <c r="D1005" s="3">
        <v>2067</v>
      </c>
      <c r="E1005" s="3" t="s">
        <v>216</v>
      </c>
      <c r="J1005" s="3" t="s">
        <v>1247</v>
      </c>
      <c r="K1005" s="3" t="s">
        <v>216</v>
      </c>
    </row>
    <row r="1006" ht="15.6" spans="4:11">
      <c r="D1006" s="3">
        <v>2068</v>
      </c>
      <c r="E1006" s="3" t="s">
        <v>216</v>
      </c>
      <c r="J1006" s="3" t="s">
        <v>1248</v>
      </c>
      <c r="K1006" s="3" t="s">
        <v>216</v>
      </c>
    </row>
    <row r="1007" ht="15.6" spans="4:11">
      <c r="D1007" s="3">
        <v>2069</v>
      </c>
      <c r="E1007" s="3" t="s">
        <v>216</v>
      </c>
      <c r="J1007" s="3" t="s">
        <v>1249</v>
      </c>
      <c r="K1007" s="3" t="s">
        <v>216</v>
      </c>
    </row>
    <row r="1008" ht="15.6" spans="4:11">
      <c r="D1008" s="3">
        <v>2070</v>
      </c>
      <c r="E1008" s="3" t="s">
        <v>216</v>
      </c>
      <c r="J1008" s="3" t="s">
        <v>1250</v>
      </c>
      <c r="K1008" s="3" t="s">
        <v>216</v>
      </c>
    </row>
    <row r="1009" ht="15.6" spans="4:11">
      <c r="D1009" s="3">
        <v>2071</v>
      </c>
      <c r="E1009" s="3" t="s">
        <v>216</v>
      </c>
      <c r="J1009" s="3" t="s">
        <v>1251</v>
      </c>
      <c r="K1009" s="3" t="s">
        <v>216</v>
      </c>
    </row>
    <row r="1010" ht="15.6" spans="4:11">
      <c r="D1010" s="3">
        <v>2072</v>
      </c>
      <c r="E1010" s="3" t="s">
        <v>216</v>
      </c>
      <c r="J1010" s="3" t="s">
        <v>1252</v>
      </c>
      <c r="K1010" s="3" t="s">
        <v>216</v>
      </c>
    </row>
    <row r="1011" ht="15.6" spans="4:11">
      <c r="D1011" s="3">
        <v>2073</v>
      </c>
      <c r="E1011" s="3" t="s">
        <v>216</v>
      </c>
      <c r="J1011" s="3" t="s">
        <v>1253</v>
      </c>
      <c r="K1011" s="3" t="s">
        <v>216</v>
      </c>
    </row>
    <row r="1012" ht="15.6" spans="4:11">
      <c r="D1012" s="3">
        <v>2074</v>
      </c>
      <c r="E1012" s="3" t="s">
        <v>216</v>
      </c>
      <c r="J1012" s="3" t="s">
        <v>1254</v>
      </c>
      <c r="K1012" s="3" t="s">
        <v>216</v>
      </c>
    </row>
    <row r="1013" ht="15.6" spans="4:11">
      <c r="D1013" s="3">
        <v>2075</v>
      </c>
      <c r="E1013" s="3" t="s">
        <v>216</v>
      </c>
      <c r="J1013" s="3" t="s">
        <v>1255</v>
      </c>
      <c r="K1013" s="3" t="s">
        <v>216</v>
      </c>
    </row>
    <row r="1014" ht="15.6" spans="4:11">
      <c r="D1014" s="3">
        <v>2076</v>
      </c>
      <c r="E1014" s="3" t="s">
        <v>216</v>
      </c>
      <c r="J1014" s="3" t="s">
        <v>1256</v>
      </c>
      <c r="K1014" s="3" t="s">
        <v>216</v>
      </c>
    </row>
    <row r="1015" ht="15.6" spans="4:11">
      <c r="D1015" s="3">
        <v>2077</v>
      </c>
      <c r="E1015" s="3" t="s">
        <v>216</v>
      </c>
      <c r="J1015" s="3" t="s">
        <v>1257</v>
      </c>
      <c r="K1015" s="3" t="s">
        <v>216</v>
      </c>
    </row>
    <row r="1016" ht="15.6" spans="4:11">
      <c r="D1016" s="3">
        <v>2078</v>
      </c>
      <c r="E1016" s="3" t="s">
        <v>216</v>
      </c>
      <c r="J1016" s="3" t="s">
        <v>1258</v>
      </c>
      <c r="K1016" s="3" t="s">
        <v>216</v>
      </c>
    </row>
    <row r="1017" ht="15.6" spans="4:11">
      <c r="D1017" s="3">
        <v>2079</v>
      </c>
      <c r="E1017" s="3" t="s">
        <v>216</v>
      </c>
      <c r="J1017" s="3" t="s">
        <v>1259</v>
      </c>
      <c r="K1017" s="3" t="s">
        <v>216</v>
      </c>
    </row>
    <row r="1018" ht="15.6" spans="4:11">
      <c r="D1018" s="3">
        <v>2085</v>
      </c>
      <c r="E1018" s="3" t="s">
        <v>216</v>
      </c>
      <c r="J1018" s="3" t="s">
        <v>1260</v>
      </c>
      <c r="K1018" s="3" t="s">
        <v>216</v>
      </c>
    </row>
    <row r="1019" ht="15.6" spans="4:11">
      <c r="D1019" s="3">
        <v>2086</v>
      </c>
      <c r="E1019" s="3" t="s">
        <v>216</v>
      </c>
      <c r="J1019" s="3" t="s">
        <v>1261</v>
      </c>
      <c r="K1019" s="3" t="s">
        <v>216</v>
      </c>
    </row>
    <row r="1020" ht="15.6" spans="4:11">
      <c r="D1020" s="3">
        <v>2087</v>
      </c>
      <c r="E1020" s="3" t="s">
        <v>216</v>
      </c>
      <c r="J1020" s="3" t="s">
        <v>1262</v>
      </c>
      <c r="K1020" s="3" t="s">
        <v>216</v>
      </c>
    </row>
    <row r="1021" ht="15.6" spans="4:11">
      <c r="D1021" s="3">
        <v>2088</v>
      </c>
      <c r="E1021" s="3" t="s">
        <v>216</v>
      </c>
      <c r="J1021" s="3" t="s">
        <v>1263</v>
      </c>
      <c r="K1021" s="3" t="s">
        <v>216</v>
      </c>
    </row>
    <row r="1022" ht="15.6" spans="4:11">
      <c r="D1022" s="3">
        <v>2089</v>
      </c>
      <c r="E1022" s="3" t="s">
        <v>216</v>
      </c>
      <c r="J1022" s="3" t="s">
        <v>1264</v>
      </c>
      <c r="K1022" s="3" t="s">
        <v>216</v>
      </c>
    </row>
    <row r="1023" ht="15.6" spans="4:11">
      <c r="D1023" s="3">
        <v>2090</v>
      </c>
      <c r="E1023" s="3" t="s">
        <v>216</v>
      </c>
      <c r="J1023" s="3" t="s">
        <v>1265</v>
      </c>
      <c r="K1023" s="3" t="s">
        <v>216</v>
      </c>
    </row>
    <row r="1024" ht="15.6" spans="4:11">
      <c r="D1024" s="3">
        <v>2091</v>
      </c>
      <c r="E1024" s="3" t="s">
        <v>216</v>
      </c>
      <c r="J1024" s="3" t="s">
        <v>1266</v>
      </c>
      <c r="K1024" s="3" t="s">
        <v>216</v>
      </c>
    </row>
    <row r="1025" ht="15.6" spans="4:11">
      <c r="D1025" s="3">
        <v>2092</v>
      </c>
      <c r="E1025" s="3" t="s">
        <v>216</v>
      </c>
      <c r="J1025" s="3" t="s">
        <v>1267</v>
      </c>
      <c r="K1025" s="3" t="s">
        <v>216</v>
      </c>
    </row>
    <row r="1026" ht="15.6" spans="4:11">
      <c r="D1026" s="3">
        <v>2093</v>
      </c>
      <c r="E1026" s="3" t="s">
        <v>216</v>
      </c>
      <c r="J1026" s="3" t="s">
        <v>1268</v>
      </c>
      <c r="K1026" s="3" t="s">
        <v>216</v>
      </c>
    </row>
    <row r="1027" ht="15.6" spans="4:11">
      <c r="D1027" s="3">
        <v>2094</v>
      </c>
      <c r="E1027" s="3" t="s">
        <v>216</v>
      </c>
      <c r="J1027" s="3" t="s">
        <v>1269</v>
      </c>
      <c r="K1027" s="3" t="s">
        <v>216</v>
      </c>
    </row>
    <row r="1028" ht="15.6" spans="4:11">
      <c r="D1028" s="3">
        <v>2095</v>
      </c>
      <c r="E1028" s="3" t="s">
        <v>216</v>
      </c>
      <c r="J1028" s="3" t="s">
        <v>1270</v>
      </c>
      <c r="K1028" s="3" t="s">
        <v>216</v>
      </c>
    </row>
    <row r="1029" ht="15.6" spans="4:11">
      <c r="D1029" s="3">
        <v>2096</v>
      </c>
      <c r="E1029" s="3" t="s">
        <v>216</v>
      </c>
      <c r="J1029" s="3" t="s">
        <v>1271</v>
      </c>
      <c r="K1029" s="3" t="s">
        <v>216</v>
      </c>
    </row>
    <row r="1030" ht="15.6" spans="4:11">
      <c r="D1030" s="3">
        <v>2097</v>
      </c>
      <c r="E1030" s="3" t="s">
        <v>216</v>
      </c>
      <c r="J1030" s="3" t="s">
        <v>1272</v>
      </c>
      <c r="K1030" s="3" t="s">
        <v>216</v>
      </c>
    </row>
    <row r="1031" ht="15.6" spans="4:11">
      <c r="D1031" s="3">
        <v>2098</v>
      </c>
      <c r="E1031" s="3" t="s">
        <v>216</v>
      </c>
      <c r="J1031" s="3" t="s">
        <v>1273</v>
      </c>
      <c r="K1031" s="3" t="s">
        <v>216</v>
      </c>
    </row>
    <row r="1032" ht="15.6" spans="4:11">
      <c r="D1032" s="3">
        <v>2099</v>
      </c>
      <c r="E1032" s="3" t="s">
        <v>216</v>
      </c>
      <c r="J1032" s="3" t="s">
        <v>1274</v>
      </c>
      <c r="K1032" s="3" t="s">
        <v>216</v>
      </c>
    </row>
    <row r="1033" ht="15.6" spans="4:11">
      <c r="D1033" s="3">
        <v>2100</v>
      </c>
      <c r="E1033" s="3" t="s">
        <v>216</v>
      </c>
      <c r="J1033" s="3" t="s">
        <v>1275</v>
      </c>
      <c r="K1033" s="3" t="s">
        <v>216</v>
      </c>
    </row>
    <row r="1034" ht="15.6" spans="4:11">
      <c r="D1034" s="3">
        <v>2101</v>
      </c>
      <c r="E1034" s="3" t="s">
        <v>216</v>
      </c>
      <c r="J1034" s="3" t="s">
        <v>1276</v>
      </c>
      <c r="K1034" s="3" t="s">
        <v>216</v>
      </c>
    </row>
    <row r="1035" ht="15.6" spans="4:11">
      <c r="D1035" s="3">
        <v>2102</v>
      </c>
      <c r="E1035" s="3" t="s">
        <v>216</v>
      </c>
      <c r="J1035" s="3" t="s">
        <v>1277</v>
      </c>
      <c r="K1035" s="3" t="s">
        <v>216</v>
      </c>
    </row>
    <row r="1036" ht="15.6" spans="4:11">
      <c r="D1036" s="3">
        <v>2103</v>
      </c>
      <c r="E1036" s="3" t="s">
        <v>216</v>
      </c>
      <c r="J1036" s="3" t="s">
        <v>1278</v>
      </c>
      <c r="K1036" s="3" t="s">
        <v>216</v>
      </c>
    </row>
    <row r="1037" ht="15.6" spans="4:11">
      <c r="D1037" s="3">
        <v>2104</v>
      </c>
      <c r="E1037" s="3" t="s">
        <v>216</v>
      </c>
      <c r="J1037" s="3" t="s">
        <v>1279</v>
      </c>
      <c r="K1037" s="3" t="s">
        <v>216</v>
      </c>
    </row>
    <row r="1038" ht="15.6" spans="4:11">
      <c r="D1038" s="3">
        <v>2105</v>
      </c>
      <c r="E1038" s="3" t="s">
        <v>216</v>
      </c>
      <c r="J1038" s="3" t="s">
        <v>1280</v>
      </c>
      <c r="K1038" s="3" t="s">
        <v>216</v>
      </c>
    </row>
    <row r="1039" ht="15.6" spans="4:11">
      <c r="D1039" s="3">
        <v>2106</v>
      </c>
      <c r="E1039" s="3" t="s">
        <v>216</v>
      </c>
      <c r="J1039" s="3" t="s">
        <v>1281</v>
      </c>
      <c r="K1039" s="3" t="s">
        <v>216</v>
      </c>
    </row>
    <row r="1040" ht="15.6" spans="4:11">
      <c r="D1040" s="3">
        <v>2107</v>
      </c>
      <c r="E1040" s="3" t="s">
        <v>216</v>
      </c>
      <c r="J1040" s="3" t="s">
        <v>1282</v>
      </c>
      <c r="K1040" s="3" t="s">
        <v>216</v>
      </c>
    </row>
    <row r="1041" ht="15.6" spans="4:11">
      <c r="D1041" s="3">
        <v>2109</v>
      </c>
      <c r="E1041" s="3" t="s">
        <v>216</v>
      </c>
      <c r="J1041" s="3" t="s">
        <v>1283</v>
      </c>
      <c r="K1041" s="3" t="s">
        <v>216</v>
      </c>
    </row>
    <row r="1042" ht="15.6" spans="4:11">
      <c r="D1042" s="3">
        <v>2110</v>
      </c>
      <c r="E1042" s="3" t="s">
        <v>216</v>
      </c>
      <c r="J1042" s="3" t="s">
        <v>1284</v>
      </c>
      <c r="K1042" s="3" t="s">
        <v>216</v>
      </c>
    </row>
    <row r="1043" ht="15.6" spans="4:11">
      <c r="D1043" s="3">
        <v>2111</v>
      </c>
      <c r="E1043" s="3" t="s">
        <v>216</v>
      </c>
      <c r="J1043" s="3" t="s">
        <v>1285</v>
      </c>
      <c r="K1043" s="3" t="s">
        <v>216</v>
      </c>
    </row>
    <row r="1044" ht="15.6" spans="4:11">
      <c r="D1044" s="3">
        <v>2112</v>
      </c>
      <c r="E1044" s="3" t="s">
        <v>216</v>
      </c>
      <c r="J1044" s="3" t="s">
        <v>1286</v>
      </c>
      <c r="K1044" s="3" t="s">
        <v>216</v>
      </c>
    </row>
    <row r="1045" ht="15.6" spans="4:11">
      <c r="D1045" s="3">
        <v>2113</v>
      </c>
      <c r="E1045" s="3" t="s">
        <v>216</v>
      </c>
      <c r="J1045" s="3" t="s">
        <v>1287</v>
      </c>
      <c r="K1045" s="3" t="s">
        <v>216</v>
      </c>
    </row>
    <row r="1046" ht="15.6" spans="4:11">
      <c r="D1046" s="3">
        <v>2114</v>
      </c>
      <c r="E1046" s="3" t="s">
        <v>216</v>
      </c>
      <c r="J1046" s="3" t="s">
        <v>1288</v>
      </c>
      <c r="K1046" s="3" t="s">
        <v>216</v>
      </c>
    </row>
    <row r="1047" ht="15.6" spans="4:11">
      <c r="D1047" s="3">
        <v>2115</v>
      </c>
      <c r="E1047" s="3" t="s">
        <v>216</v>
      </c>
      <c r="J1047" s="3" t="s">
        <v>1289</v>
      </c>
      <c r="K1047" s="3" t="s">
        <v>216</v>
      </c>
    </row>
    <row r="1048" ht="15.6" spans="4:11">
      <c r="D1048" s="3">
        <v>2116</v>
      </c>
      <c r="E1048" s="3" t="s">
        <v>216</v>
      </c>
      <c r="J1048" s="3" t="s">
        <v>1290</v>
      </c>
      <c r="K1048" s="3" t="s">
        <v>216</v>
      </c>
    </row>
    <row r="1049" ht="15.6" spans="4:11">
      <c r="D1049" s="3">
        <v>2117</v>
      </c>
      <c r="E1049" s="3" t="s">
        <v>216</v>
      </c>
      <c r="J1049" s="3" t="s">
        <v>1291</v>
      </c>
      <c r="K1049" s="3" t="s">
        <v>216</v>
      </c>
    </row>
    <row r="1050" ht="15.6" spans="4:11">
      <c r="D1050" s="3">
        <v>2118</v>
      </c>
      <c r="E1050" s="3" t="s">
        <v>216</v>
      </c>
      <c r="J1050" s="3" t="s">
        <v>1292</v>
      </c>
      <c r="K1050" s="3" t="s">
        <v>216</v>
      </c>
    </row>
    <row r="1051" ht="15.6" spans="4:11">
      <c r="D1051" s="3">
        <v>2119</v>
      </c>
      <c r="E1051" s="3" t="s">
        <v>216</v>
      </c>
      <c r="J1051" s="3" t="s">
        <v>1293</v>
      </c>
      <c r="K1051" s="3" t="s">
        <v>216</v>
      </c>
    </row>
    <row r="1052" ht="15.6" spans="4:11">
      <c r="D1052" s="3">
        <v>2120</v>
      </c>
      <c r="E1052" s="3" t="s">
        <v>216</v>
      </c>
      <c r="J1052" s="3" t="s">
        <v>1294</v>
      </c>
      <c r="K1052" s="3" t="s">
        <v>216</v>
      </c>
    </row>
    <row r="1053" ht="15.6" spans="4:11">
      <c r="D1053" s="3">
        <v>2121</v>
      </c>
      <c r="E1053" s="3" t="s">
        <v>216</v>
      </c>
      <c r="J1053" s="3" t="s">
        <v>1295</v>
      </c>
      <c r="K1053" s="3" t="s">
        <v>216</v>
      </c>
    </row>
    <row r="1054" ht="15.6" spans="4:11">
      <c r="D1054" s="3">
        <v>2122</v>
      </c>
      <c r="E1054" s="3" t="s">
        <v>216</v>
      </c>
      <c r="J1054" s="3" t="s">
        <v>1296</v>
      </c>
      <c r="K1054" s="3" t="s">
        <v>216</v>
      </c>
    </row>
    <row r="1055" ht="15.6" spans="4:11">
      <c r="D1055" s="3">
        <v>2123</v>
      </c>
      <c r="E1055" s="3" t="s">
        <v>216</v>
      </c>
      <c r="J1055" s="3" t="s">
        <v>1297</v>
      </c>
      <c r="K1055" s="3" t="s">
        <v>216</v>
      </c>
    </row>
    <row r="1056" ht="15.6" spans="4:11">
      <c r="D1056" s="3">
        <v>2124</v>
      </c>
      <c r="E1056" s="3" t="s">
        <v>216</v>
      </c>
      <c r="J1056" s="3" t="s">
        <v>1298</v>
      </c>
      <c r="K1056" s="3" t="s">
        <v>216</v>
      </c>
    </row>
    <row r="1057" ht="15.6" spans="4:11">
      <c r="D1057" s="3">
        <v>2125</v>
      </c>
      <c r="E1057" s="3" t="s">
        <v>216</v>
      </c>
      <c r="J1057" s="3" t="s">
        <v>1299</v>
      </c>
      <c r="K1057" s="3" t="s">
        <v>216</v>
      </c>
    </row>
    <row r="1058" ht="15.6" spans="4:11">
      <c r="D1058" s="3">
        <v>2126</v>
      </c>
      <c r="E1058" s="3" t="s">
        <v>216</v>
      </c>
      <c r="J1058" s="3" t="s">
        <v>1300</v>
      </c>
      <c r="K1058" s="3" t="s">
        <v>216</v>
      </c>
    </row>
    <row r="1059" ht="15.6" spans="4:11">
      <c r="D1059" s="3">
        <v>2127</v>
      </c>
      <c r="E1059" s="3" t="s">
        <v>216</v>
      </c>
      <c r="J1059" s="3" t="s">
        <v>1301</v>
      </c>
      <c r="K1059" s="3" t="s">
        <v>216</v>
      </c>
    </row>
    <row r="1060" ht="15.6" spans="4:11">
      <c r="D1060" s="3">
        <v>2128</v>
      </c>
      <c r="E1060" s="3" t="s">
        <v>216</v>
      </c>
      <c r="J1060" s="3" t="s">
        <v>1302</v>
      </c>
      <c r="K1060" s="3" t="s">
        <v>216</v>
      </c>
    </row>
    <row r="1061" ht="15.6" spans="4:11">
      <c r="D1061" s="3">
        <v>2129</v>
      </c>
      <c r="E1061" s="3" t="s">
        <v>216</v>
      </c>
      <c r="J1061" s="3" t="s">
        <v>1303</v>
      </c>
      <c r="K1061" s="3" t="s">
        <v>216</v>
      </c>
    </row>
    <row r="1062" ht="15.6" spans="4:11">
      <c r="D1062" s="3">
        <v>2130</v>
      </c>
      <c r="E1062" s="3" t="s">
        <v>216</v>
      </c>
      <c r="J1062" s="3" t="s">
        <v>1304</v>
      </c>
      <c r="K1062" s="3" t="s">
        <v>216</v>
      </c>
    </row>
    <row r="1063" ht="15.6" spans="4:11">
      <c r="D1063" s="3">
        <v>2131</v>
      </c>
      <c r="E1063" s="3" t="s">
        <v>216</v>
      </c>
      <c r="J1063" s="3" t="s">
        <v>1305</v>
      </c>
      <c r="K1063" s="3" t="s">
        <v>216</v>
      </c>
    </row>
    <row r="1064" ht="15.6" spans="4:11">
      <c r="D1064" s="3">
        <v>2132</v>
      </c>
      <c r="E1064" s="3" t="s">
        <v>216</v>
      </c>
      <c r="J1064" s="3" t="s">
        <v>1306</v>
      </c>
      <c r="K1064" s="3" t="s">
        <v>216</v>
      </c>
    </row>
    <row r="1065" ht="15.6" spans="4:11">
      <c r="D1065" s="3">
        <v>2133</v>
      </c>
      <c r="E1065" s="3" t="s">
        <v>216</v>
      </c>
      <c r="J1065" s="3" t="s">
        <v>1307</v>
      </c>
      <c r="K1065" s="3" t="s">
        <v>216</v>
      </c>
    </row>
    <row r="1066" ht="15.6" spans="4:11">
      <c r="D1066" s="3">
        <v>2134</v>
      </c>
      <c r="E1066" s="3" t="s">
        <v>216</v>
      </c>
      <c r="J1066" s="3" t="s">
        <v>1308</v>
      </c>
      <c r="K1066" s="3" t="s">
        <v>216</v>
      </c>
    </row>
    <row r="1067" ht="15.6" spans="4:11">
      <c r="D1067" s="3">
        <v>2135</v>
      </c>
      <c r="E1067" s="3" t="s">
        <v>216</v>
      </c>
      <c r="J1067" s="3" t="s">
        <v>1309</v>
      </c>
      <c r="K1067" s="3" t="s">
        <v>216</v>
      </c>
    </row>
    <row r="1068" ht="15.6" spans="4:11">
      <c r="D1068" s="3">
        <v>2136</v>
      </c>
      <c r="E1068" s="3" t="s">
        <v>216</v>
      </c>
      <c r="J1068" s="3" t="s">
        <v>1310</v>
      </c>
      <c r="K1068" s="3" t="s">
        <v>216</v>
      </c>
    </row>
    <row r="1069" ht="15.6" spans="4:11">
      <c r="D1069" s="3">
        <v>2137</v>
      </c>
      <c r="E1069" s="3" t="s">
        <v>216</v>
      </c>
      <c r="J1069" s="3" t="s">
        <v>1311</v>
      </c>
      <c r="K1069" s="3" t="s">
        <v>216</v>
      </c>
    </row>
    <row r="1070" ht="15.6" spans="4:11">
      <c r="D1070" s="3">
        <v>2138</v>
      </c>
      <c r="E1070" s="3" t="s">
        <v>216</v>
      </c>
      <c r="J1070" s="3" t="s">
        <v>1312</v>
      </c>
      <c r="K1070" s="3" t="s">
        <v>216</v>
      </c>
    </row>
    <row r="1071" ht="15.6" spans="4:11">
      <c r="D1071" s="3">
        <v>2139</v>
      </c>
      <c r="E1071" s="3" t="s">
        <v>216</v>
      </c>
      <c r="J1071" s="3" t="s">
        <v>1313</v>
      </c>
      <c r="K1071" s="3" t="s">
        <v>216</v>
      </c>
    </row>
    <row r="1072" ht="15.6" spans="4:11">
      <c r="D1072" s="3">
        <v>2140</v>
      </c>
      <c r="E1072" s="3" t="s">
        <v>216</v>
      </c>
      <c r="J1072" s="3" t="s">
        <v>1314</v>
      </c>
      <c r="K1072" s="3" t="s">
        <v>216</v>
      </c>
    </row>
    <row r="1073" ht="15.6" spans="4:11">
      <c r="D1073" s="3">
        <v>2141</v>
      </c>
      <c r="E1073" s="3" t="s">
        <v>216</v>
      </c>
      <c r="J1073" s="3" t="s">
        <v>1315</v>
      </c>
      <c r="K1073" s="3" t="s">
        <v>216</v>
      </c>
    </row>
    <row r="1074" ht="15.6" spans="4:11">
      <c r="D1074" s="3">
        <v>2142</v>
      </c>
      <c r="E1074" s="3" t="s">
        <v>216</v>
      </c>
      <c r="J1074" s="3" t="s">
        <v>1316</v>
      </c>
      <c r="K1074" s="3" t="s">
        <v>216</v>
      </c>
    </row>
    <row r="1075" ht="15.6" spans="4:11">
      <c r="D1075" s="3">
        <v>2143</v>
      </c>
      <c r="E1075" s="3" t="s">
        <v>216</v>
      </c>
      <c r="J1075" s="3" t="s">
        <v>1317</v>
      </c>
      <c r="K1075" s="3" t="s">
        <v>216</v>
      </c>
    </row>
    <row r="1076" ht="15.6" spans="4:11">
      <c r="D1076" s="3">
        <v>2144</v>
      </c>
      <c r="E1076" s="3" t="s">
        <v>216</v>
      </c>
      <c r="J1076" s="3" t="s">
        <v>1318</v>
      </c>
      <c r="K1076" s="3" t="s">
        <v>216</v>
      </c>
    </row>
    <row r="1077" ht="15.6" spans="4:11">
      <c r="D1077" s="3">
        <v>2145</v>
      </c>
      <c r="E1077" s="3" t="s">
        <v>216</v>
      </c>
      <c r="J1077" s="3" t="s">
        <v>1319</v>
      </c>
      <c r="K1077" s="3" t="s">
        <v>216</v>
      </c>
    </row>
    <row r="1078" ht="15.6" spans="4:11">
      <c r="D1078" s="3">
        <v>2146</v>
      </c>
      <c r="E1078" s="3" t="s">
        <v>216</v>
      </c>
      <c r="J1078" s="3" t="s">
        <v>1320</v>
      </c>
      <c r="K1078" s="3" t="s">
        <v>216</v>
      </c>
    </row>
    <row r="1079" ht="15.6" spans="4:11">
      <c r="D1079" s="3">
        <v>2147</v>
      </c>
      <c r="E1079" s="3" t="s">
        <v>216</v>
      </c>
      <c r="J1079" s="3" t="s">
        <v>1321</v>
      </c>
      <c r="K1079" s="3" t="s">
        <v>216</v>
      </c>
    </row>
    <row r="1080" ht="15.6" spans="4:11">
      <c r="D1080" s="3">
        <v>2148</v>
      </c>
      <c r="E1080" s="3" t="s">
        <v>216</v>
      </c>
      <c r="J1080" s="3" t="s">
        <v>1322</v>
      </c>
      <c r="K1080" s="3" t="s">
        <v>216</v>
      </c>
    </row>
    <row r="1081" ht="15.6" spans="4:11">
      <c r="D1081" s="3">
        <v>2149</v>
      </c>
      <c r="E1081" s="3" t="s">
        <v>216</v>
      </c>
      <c r="J1081" s="3" t="s">
        <v>1323</v>
      </c>
      <c r="K1081" s="3" t="s">
        <v>216</v>
      </c>
    </row>
    <row r="1082" ht="15.6" spans="4:11">
      <c r="D1082" s="3">
        <v>2150</v>
      </c>
      <c r="E1082" s="3" t="s">
        <v>216</v>
      </c>
      <c r="J1082" s="3" t="s">
        <v>1324</v>
      </c>
      <c r="K1082" s="3" t="s">
        <v>216</v>
      </c>
    </row>
    <row r="1083" ht="15.6" spans="4:11">
      <c r="D1083" s="3">
        <v>2151</v>
      </c>
      <c r="E1083" s="3" t="s">
        <v>216</v>
      </c>
      <c r="J1083" s="3" t="s">
        <v>1325</v>
      </c>
      <c r="K1083" s="3" t="s">
        <v>216</v>
      </c>
    </row>
    <row r="1084" ht="15.6" spans="4:11">
      <c r="D1084" s="3">
        <v>2152</v>
      </c>
      <c r="E1084" s="3" t="s">
        <v>216</v>
      </c>
      <c r="J1084" s="3" t="s">
        <v>1326</v>
      </c>
      <c r="K1084" s="3" t="s">
        <v>216</v>
      </c>
    </row>
    <row r="1085" ht="15.6" spans="4:11">
      <c r="D1085" s="3">
        <v>2153</v>
      </c>
      <c r="E1085" s="3" t="s">
        <v>216</v>
      </c>
      <c r="J1085" s="3" t="s">
        <v>1327</v>
      </c>
      <c r="K1085" s="3" t="s">
        <v>216</v>
      </c>
    </row>
    <row r="1086" ht="15.6" spans="4:11">
      <c r="D1086" s="3">
        <v>2154</v>
      </c>
      <c r="E1086" s="3" t="s">
        <v>216</v>
      </c>
      <c r="J1086" s="3" t="s">
        <v>1328</v>
      </c>
      <c r="K1086" s="3" t="s">
        <v>216</v>
      </c>
    </row>
    <row r="1087" ht="15.6" spans="4:11">
      <c r="D1087" s="3">
        <v>2155</v>
      </c>
      <c r="E1087" s="3" t="s">
        <v>216</v>
      </c>
      <c r="J1087" s="3" t="s">
        <v>1329</v>
      </c>
      <c r="K1087" s="3" t="s">
        <v>216</v>
      </c>
    </row>
    <row r="1088" ht="15.6" spans="4:11">
      <c r="D1088" s="3">
        <v>2156</v>
      </c>
      <c r="E1088" s="3" t="s">
        <v>216</v>
      </c>
      <c r="J1088" s="3" t="s">
        <v>1330</v>
      </c>
      <c r="K1088" s="3" t="s">
        <v>216</v>
      </c>
    </row>
    <row r="1089" ht="15.6" spans="4:11">
      <c r="D1089" s="3">
        <v>2158</v>
      </c>
      <c r="E1089" s="3" t="s">
        <v>216</v>
      </c>
      <c r="J1089" s="3" t="s">
        <v>1331</v>
      </c>
      <c r="K1089" s="3" t="s">
        <v>216</v>
      </c>
    </row>
    <row r="1090" ht="15.6" spans="4:11">
      <c r="D1090" s="3">
        <v>2160</v>
      </c>
      <c r="E1090" s="3" t="s">
        <v>216</v>
      </c>
      <c r="J1090" s="3" t="s">
        <v>1332</v>
      </c>
      <c r="K1090" s="3" t="s">
        <v>216</v>
      </c>
    </row>
    <row r="1091" ht="15.6" spans="4:11">
      <c r="D1091" s="3">
        <v>2161</v>
      </c>
      <c r="E1091" s="3" t="s">
        <v>216</v>
      </c>
      <c r="J1091" s="3" t="s">
        <v>1333</v>
      </c>
      <c r="K1091" s="3" t="s">
        <v>216</v>
      </c>
    </row>
    <row r="1092" ht="15.6" spans="4:11">
      <c r="D1092" s="3">
        <v>2162</v>
      </c>
      <c r="E1092" s="3" t="s">
        <v>216</v>
      </c>
      <c r="J1092" s="3" t="s">
        <v>1334</v>
      </c>
      <c r="K1092" s="3" t="s">
        <v>216</v>
      </c>
    </row>
    <row r="1093" ht="15.6" spans="4:11">
      <c r="D1093" s="3">
        <v>2163</v>
      </c>
      <c r="E1093" s="3" t="s">
        <v>216</v>
      </c>
      <c r="J1093" s="3" t="s">
        <v>1335</v>
      </c>
      <c r="K1093" s="3" t="s">
        <v>216</v>
      </c>
    </row>
    <row r="1094" ht="15.6" spans="4:11">
      <c r="D1094" s="3">
        <v>2164</v>
      </c>
      <c r="E1094" s="3" t="s">
        <v>216</v>
      </c>
      <c r="J1094" s="3" t="s">
        <v>1336</v>
      </c>
      <c r="K1094" s="3" t="s">
        <v>216</v>
      </c>
    </row>
    <row r="1095" ht="15.6" spans="4:11">
      <c r="D1095" s="3">
        <v>2165</v>
      </c>
      <c r="E1095" s="3" t="s">
        <v>216</v>
      </c>
      <c r="J1095" s="3" t="s">
        <v>1337</v>
      </c>
      <c r="K1095" s="3" t="s">
        <v>216</v>
      </c>
    </row>
    <row r="1096" ht="15.6" spans="4:11">
      <c r="D1096" s="3">
        <v>2166</v>
      </c>
      <c r="E1096" s="3" t="s">
        <v>216</v>
      </c>
      <c r="J1096" s="3" t="s">
        <v>1338</v>
      </c>
      <c r="K1096" s="3" t="s">
        <v>216</v>
      </c>
    </row>
    <row r="1097" ht="15.6" spans="4:11">
      <c r="D1097" s="3">
        <v>2167</v>
      </c>
      <c r="E1097" s="3" t="s">
        <v>216</v>
      </c>
      <c r="J1097" s="3" t="s">
        <v>1339</v>
      </c>
      <c r="K1097" s="3" t="s">
        <v>216</v>
      </c>
    </row>
    <row r="1098" ht="15.6" spans="4:11">
      <c r="D1098" s="3">
        <v>2168</v>
      </c>
      <c r="E1098" s="3" t="s">
        <v>216</v>
      </c>
      <c r="J1098" s="3" t="s">
        <v>1340</v>
      </c>
      <c r="K1098" s="3" t="s">
        <v>216</v>
      </c>
    </row>
    <row r="1099" ht="15.6" spans="4:11">
      <c r="D1099" s="3">
        <v>2169</v>
      </c>
      <c r="E1099" s="3" t="s">
        <v>216</v>
      </c>
      <c r="J1099" s="3" t="s">
        <v>1341</v>
      </c>
      <c r="K1099" s="3" t="s">
        <v>216</v>
      </c>
    </row>
    <row r="1100" ht="15.6" spans="4:11">
      <c r="D1100" s="3">
        <v>2170</v>
      </c>
      <c r="E1100" s="3" t="s">
        <v>216</v>
      </c>
      <c r="J1100" s="3" t="s">
        <v>1342</v>
      </c>
      <c r="K1100" s="3" t="s">
        <v>216</v>
      </c>
    </row>
    <row r="1101" ht="15.6" spans="4:11">
      <c r="D1101" s="3">
        <v>2171</v>
      </c>
      <c r="E1101" s="3" t="s">
        <v>216</v>
      </c>
      <c r="J1101" s="3" t="s">
        <v>1343</v>
      </c>
      <c r="K1101" s="3" t="s">
        <v>216</v>
      </c>
    </row>
    <row r="1102" ht="15.6" spans="4:11">
      <c r="D1102" s="3">
        <v>2172</v>
      </c>
      <c r="E1102" s="3" t="s">
        <v>216</v>
      </c>
      <c r="J1102" s="3" t="s">
        <v>1344</v>
      </c>
      <c r="K1102" s="3" t="s">
        <v>216</v>
      </c>
    </row>
    <row r="1103" ht="15.6" spans="4:11">
      <c r="D1103" s="3">
        <v>2174</v>
      </c>
      <c r="E1103" s="3" t="s">
        <v>216</v>
      </c>
      <c r="J1103" s="3" t="s">
        <v>1345</v>
      </c>
      <c r="K1103" s="3" t="s">
        <v>216</v>
      </c>
    </row>
    <row r="1104" ht="15.6" spans="4:11">
      <c r="D1104" s="3">
        <v>2175</v>
      </c>
      <c r="E1104" s="3" t="s">
        <v>216</v>
      </c>
      <c r="J1104" s="3" t="s">
        <v>1346</v>
      </c>
      <c r="K1104" s="3" t="s">
        <v>216</v>
      </c>
    </row>
    <row r="1105" ht="15.6" spans="4:11">
      <c r="D1105" s="3">
        <v>2176</v>
      </c>
      <c r="E1105" s="3" t="s">
        <v>216</v>
      </c>
      <c r="J1105" s="3" t="s">
        <v>1347</v>
      </c>
      <c r="K1105" s="3" t="s">
        <v>216</v>
      </c>
    </row>
    <row r="1106" ht="15.6" spans="4:11">
      <c r="D1106" s="3">
        <v>2177</v>
      </c>
      <c r="E1106" s="3" t="s">
        <v>216</v>
      </c>
      <c r="J1106" s="3" t="s">
        <v>1348</v>
      </c>
      <c r="K1106" s="3" t="s">
        <v>216</v>
      </c>
    </row>
    <row r="1107" ht="15.6" spans="4:11">
      <c r="D1107" s="3">
        <v>2178</v>
      </c>
      <c r="E1107" s="3" t="s">
        <v>216</v>
      </c>
      <c r="J1107" s="3" t="s">
        <v>1349</v>
      </c>
      <c r="K1107" s="3" t="s">
        <v>216</v>
      </c>
    </row>
    <row r="1108" ht="15.6" spans="4:11">
      <c r="D1108" s="3">
        <v>2179</v>
      </c>
      <c r="E1108" s="3" t="s">
        <v>216</v>
      </c>
      <c r="J1108" s="3" t="s">
        <v>1350</v>
      </c>
      <c r="K1108" s="3" t="s">
        <v>216</v>
      </c>
    </row>
    <row r="1109" ht="15.6" spans="4:11">
      <c r="D1109" s="3">
        <v>2180</v>
      </c>
      <c r="E1109" s="3" t="s">
        <v>216</v>
      </c>
      <c r="J1109" s="3" t="s">
        <v>1351</v>
      </c>
      <c r="K1109" s="3" t="s">
        <v>216</v>
      </c>
    </row>
    <row r="1110" ht="15.6" spans="4:11">
      <c r="D1110" s="3">
        <v>2181</v>
      </c>
      <c r="E1110" s="3" t="s">
        <v>216</v>
      </c>
      <c r="J1110" s="3" t="s">
        <v>1352</v>
      </c>
      <c r="K1110" s="3" t="s">
        <v>216</v>
      </c>
    </row>
    <row r="1111" ht="15.6" spans="4:11">
      <c r="D1111" s="3">
        <v>2182</v>
      </c>
      <c r="E1111" s="3" t="s">
        <v>216</v>
      </c>
      <c r="J1111" s="3" t="s">
        <v>1353</v>
      </c>
      <c r="K1111" s="3" t="s">
        <v>216</v>
      </c>
    </row>
    <row r="1112" ht="15.6" spans="4:11">
      <c r="D1112" s="3">
        <v>2183</v>
      </c>
      <c r="E1112" s="3" t="s">
        <v>216</v>
      </c>
      <c r="J1112" s="3" t="s">
        <v>1354</v>
      </c>
      <c r="K1112" s="3" t="s">
        <v>216</v>
      </c>
    </row>
    <row r="1113" ht="15.6" spans="4:11">
      <c r="D1113" s="3">
        <v>2184</v>
      </c>
      <c r="E1113" s="3" t="s">
        <v>216</v>
      </c>
      <c r="J1113" s="3" t="s">
        <v>1355</v>
      </c>
      <c r="K1113" s="3" t="s">
        <v>216</v>
      </c>
    </row>
    <row r="1114" ht="15.6" spans="4:11">
      <c r="D1114" s="3">
        <v>2185</v>
      </c>
      <c r="E1114" s="3" t="s">
        <v>216</v>
      </c>
      <c r="J1114" s="3" t="s">
        <v>1356</v>
      </c>
      <c r="K1114" s="3" t="s">
        <v>216</v>
      </c>
    </row>
    <row r="1115" ht="15.6" spans="4:11">
      <c r="D1115" s="3">
        <v>2186</v>
      </c>
      <c r="E1115" s="3" t="s">
        <v>216</v>
      </c>
      <c r="J1115" s="3" t="s">
        <v>1357</v>
      </c>
      <c r="K1115" s="3" t="s">
        <v>216</v>
      </c>
    </row>
    <row r="1116" ht="15.6" spans="4:11">
      <c r="D1116" s="3">
        <v>2187</v>
      </c>
      <c r="E1116" s="3" t="s">
        <v>216</v>
      </c>
      <c r="J1116" s="3" t="s">
        <v>1358</v>
      </c>
      <c r="K1116" s="3" t="s">
        <v>216</v>
      </c>
    </row>
    <row r="1117" ht="15.6" spans="4:11">
      <c r="D1117" s="3">
        <v>2188</v>
      </c>
      <c r="E1117" s="3" t="s">
        <v>216</v>
      </c>
      <c r="J1117" s="3" t="s">
        <v>1359</v>
      </c>
      <c r="K1117" s="3" t="s">
        <v>216</v>
      </c>
    </row>
    <row r="1118" ht="15.6" spans="4:11">
      <c r="D1118" s="3">
        <v>2189</v>
      </c>
      <c r="E1118" s="3" t="s">
        <v>216</v>
      </c>
      <c r="J1118" s="3" t="s">
        <v>1360</v>
      </c>
      <c r="K1118" s="3" t="s">
        <v>216</v>
      </c>
    </row>
    <row r="1119" ht="15.6" spans="4:11">
      <c r="D1119" s="3">
        <v>2190</v>
      </c>
      <c r="E1119" s="3" t="s">
        <v>216</v>
      </c>
      <c r="J1119" s="3" t="s">
        <v>1361</v>
      </c>
      <c r="K1119" s="3" t="s">
        <v>216</v>
      </c>
    </row>
    <row r="1120" ht="15.6" spans="4:11">
      <c r="D1120" s="3">
        <v>2191</v>
      </c>
      <c r="E1120" s="3" t="s">
        <v>216</v>
      </c>
      <c r="J1120" s="3" t="s">
        <v>1362</v>
      </c>
      <c r="K1120" s="3" t="s">
        <v>216</v>
      </c>
    </row>
    <row r="1121" ht="15.6" spans="4:11">
      <c r="D1121" s="3">
        <v>2192</v>
      </c>
      <c r="E1121" s="3" t="s">
        <v>216</v>
      </c>
      <c r="J1121" s="3" t="s">
        <v>1363</v>
      </c>
      <c r="K1121" s="3" t="s">
        <v>216</v>
      </c>
    </row>
    <row r="1122" ht="15.6" spans="4:11">
      <c r="D1122" s="3">
        <v>2193</v>
      </c>
      <c r="E1122" s="3" t="s">
        <v>216</v>
      </c>
      <c r="J1122" s="3" t="s">
        <v>1364</v>
      </c>
      <c r="K1122" s="3" t="s">
        <v>216</v>
      </c>
    </row>
    <row r="1123" ht="15.6" spans="4:11">
      <c r="D1123" s="3">
        <v>2194</v>
      </c>
      <c r="E1123" s="3" t="s">
        <v>216</v>
      </c>
      <c r="J1123" s="3" t="s">
        <v>1365</v>
      </c>
      <c r="K1123" s="3" t="s">
        <v>216</v>
      </c>
    </row>
    <row r="1124" ht="15.6" spans="4:11">
      <c r="D1124" s="3">
        <v>2195</v>
      </c>
      <c r="E1124" s="3" t="s">
        <v>216</v>
      </c>
      <c r="J1124" s="3" t="s">
        <v>1366</v>
      </c>
      <c r="K1124" s="3" t="s">
        <v>216</v>
      </c>
    </row>
    <row r="1125" ht="15.6" spans="4:11">
      <c r="D1125" s="3">
        <v>2196</v>
      </c>
      <c r="E1125" s="3" t="s">
        <v>216</v>
      </c>
      <c r="J1125" s="3" t="s">
        <v>1367</v>
      </c>
      <c r="K1125" s="3" t="s">
        <v>216</v>
      </c>
    </row>
    <row r="1126" ht="15.6" spans="4:11">
      <c r="D1126" s="3">
        <v>2197</v>
      </c>
      <c r="E1126" s="3" t="s">
        <v>216</v>
      </c>
      <c r="J1126" s="3" t="s">
        <v>1368</v>
      </c>
      <c r="K1126" s="3" t="s">
        <v>216</v>
      </c>
    </row>
    <row r="1127" ht="15.6" spans="4:11">
      <c r="D1127" s="3">
        <v>2198</v>
      </c>
      <c r="E1127" s="3" t="s">
        <v>216</v>
      </c>
      <c r="J1127" s="3" t="s">
        <v>1369</v>
      </c>
      <c r="K1127" s="3" t="s">
        <v>216</v>
      </c>
    </row>
    <row r="1128" ht="15.6" spans="4:11">
      <c r="D1128" s="3">
        <v>2199</v>
      </c>
      <c r="E1128" s="3" t="s">
        <v>216</v>
      </c>
      <c r="J1128" s="3" t="s">
        <v>1370</v>
      </c>
      <c r="K1128" s="3" t="s">
        <v>216</v>
      </c>
    </row>
    <row r="1129" ht="15.6" spans="4:11">
      <c r="D1129" s="3">
        <v>2200</v>
      </c>
      <c r="E1129" s="3" t="s">
        <v>216</v>
      </c>
      <c r="J1129" s="3" t="s">
        <v>1371</v>
      </c>
      <c r="K1129" s="3" t="s">
        <v>216</v>
      </c>
    </row>
    <row r="1130" ht="15.6" spans="4:11">
      <c r="D1130" s="3">
        <v>2201</v>
      </c>
      <c r="E1130" s="3" t="s">
        <v>216</v>
      </c>
      <c r="J1130" s="3" t="s">
        <v>1372</v>
      </c>
      <c r="K1130" s="3" t="s">
        <v>216</v>
      </c>
    </row>
    <row r="1131" ht="15.6" spans="4:11">
      <c r="D1131" s="3">
        <v>2202</v>
      </c>
      <c r="E1131" s="3" t="s">
        <v>216</v>
      </c>
      <c r="J1131" s="3" t="s">
        <v>1373</v>
      </c>
      <c r="K1131" s="3" t="s">
        <v>216</v>
      </c>
    </row>
    <row r="1132" ht="15.6" spans="4:11">
      <c r="D1132" s="3">
        <v>2203</v>
      </c>
      <c r="E1132" s="3" t="s">
        <v>216</v>
      </c>
      <c r="J1132" s="3" t="s">
        <v>1374</v>
      </c>
      <c r="K1132" s="3" t="s">
        <v>216</v>
      </c>
    </row>
    <row r="1133" ht="15.6" spans="4:11">
      <c r="D1133" s="3">
        <v>2204</v>
      </c>
      <c r="E1133" s="3" t="s">
        <v>216</v>
      </c>
      <c r="J1133" s="3" t="s">
        <v>1375</v>
      </c>
      <c r="K1133" s="3" t="s">
        <v>216</v>
      </c>
    </row>
    <row r="1134" ht="15.6" spans="4:11">
      <c r="D1134" s="3">
        <v>2205</v>
      </c>
      <c r="E1134" s="3" t="s">
        <v>216</v>
      </c>
      <c r="J1134" s="3" t="s">
        <v>1376</v>
      </c>
      <c r="K1134" s="3" t="s">
        <v>216</v>
      </c>
    </row>
    <row r="1135" ht="15.6" spans="4:11">
      <c r="D1135" s="3">
        <v>2206</v>
      </c>
      <c r="E1135" s="3" t="s">
        <v>216</v>
      </c>
      <c r="J1135" s="3" t="s">
        <v>1377</v>
      </c>
      <c r="K1135" s="3" t="s">
        <v>216</v>
      </c>
    </row>
    <row r="1136" ht="15.6" spans="4:11">
      <c r="D1136" s="3">
        <v>2207</v>
      </c>
      <c r="E1136" s="3" t="s">
        <v>216</v>
      </c>
      <c r="J1136" s="3" t="s">
        <v>1378</v>
      </c>
      <c r="K1136" s="3" t="s">
        <v>216</v>
      </c>
    </row>
    <row r="1137" ht="15.6" spans="4:11">
      <c r="D1137" s="3">
        <v>2208</v>
      </c>
      <c r="E1137" s="3" t="s">
        <v>216</v>
      </c>
      <c r="J1137" s="3" t="s">
        <v>1379</v>
      </c>
      <c r="K1137" s="3" t="s">
        <v>216</v>
      </c>
    </row>
    <row r="1138" ht="15.6" spans="4:11">
      <c r="D1138" s="3">
        <v>2209</v>
      </c>
      <c r="E1138" s="3" t="s">
        <v>216</v>
      </c>
      <c r="J1138" s="3" t="s">
        <v>1380</v>
      </c>
      <c r="K1138" s="3" t="s">
        <v>216</v>
      </c>
    </row>
    <row r="1139" ht="15.6" spans="4:11">
      <c r="D1139" s="3">
        <v>2210</v>
      </c>
      <c r="E1139" s="3" t="s">
        <v>216</v>
      </c>
      <c r="J1139" s="3" t="s">
        <v>1381</v>
      </c>
      <c r="K1139" s="3" t="s">
        <v>216</v>
      </c>
    </row>
    <row r="1140" ht="15.6" spans="4:11">
      <c r="D1140" s="3">
        <v>2211</v>
      </c>
      <c r="E1140" s="3" t="s">
        <v>216</v>
      </c>
      <c r="J1140" s="3" t="s">
        <v>1382</v>
      </c>
      <c r="K1140" s="3" t="s">
        <v>216</v>
      </c>
    </row>
    <row r="1141" ht="15.6" spans="4:11">
      <c r="D1141" s="3">
        <v>2212</v>
      </c>
      <c r="E1141" s="3" t="s">
        <v>216</v>
      </c>
      <c r="J1141" s="3" t="s">
        <v>1383</v>
      </c>
      <c r="K1141" s="3" t="s">
        <v>216</v>
      </c>
    </row>
    <row r="1142" ht="15.6" spans="4:11">
      <c r="D1142" s="3">
        <v>2213</v>
      </c>
      <c r="E1142" s="3" t="s">
        <v>216</v>
      </c>
      <c r="J1142" s="3" t="s">
        <v>1384</v>
      </c>
      <c r="K1142" s="3" t="s">
        <v>216</v>
      </c>
    </row>
    <row r="1143" ht="15.6" spans="4:11">
      <c r="D1143" s="3">
        <v>2214</v>
      </c>
      <c r="E1143" s="3" t="s">
        <v>216</v>
      </c>
      <c r="J1143" s="3" t="s">
        <v>1385</v>
      </c>
      <c r="K1143" s="3" t="s">
        <v>216</v>
      </c>
    </row>
    <row r="1144" ht="15.6" spans="4:11">
      <c r="D1144" s="3">
        <v>2215</v>
      </c>
      <c r="E1144" s="3" t="s">
        <v>216</v>
      </c>
      <c r="J1144" s="3" t="s">
        <v>1386</v>
      </c>
      <c r="K1144" s="3" t="s">
        <v>216</v>
      </c>
    </row>
    <row r="1145" ht="15.6" spans="4:11">
      <c r="D1145" s="3">
        <v>2216</v>
      </c>
      <c r="E1145" s="3" t="s">
        <v>216</v>
      </c>
      <c r="J1145" s="3" t="s">
        <v>1387</v>
      </c>
      <c r="K1145" s="3" t="s">
        <v>216</v>
      </c>
    </row>
    <row r="1146" ht="15.6" spans="4:11">
      <c r="D1146" s="3">
        <v>2217</v>
      </c>
      <c r="E1146" s="3" t="s">
        <v>216</v>
      </c>
      <c r="J1146" s="3" t="s">
        <v>1388</v>
      </c>
      <c r="K1146" s="3" t="s">
        <v>216</v>
      </c>
    </row>
    <row r="1147" ht="15.6" spans="4:11">
      <c r="D1147" s="3">
        <v>2218</v>
      </c>
      <c r="E1147" s="3" t="s">
        <v>216</v>
      </c>
      <c r="J1147" s="3" t="s">
        <v>1389</v>
      </c>
      <c r="K1147" s="3" t="s">
        <v>216</v>
      </c>
    </row>
    <row r="1148" ht="15.6" spans="4:11">
      <c r="D1148" s="3">
        <v>2219</v>
      </c>
      <c r="E1148" s="3" t="s">
        <v>216</v>
      </c>
      <c r="J1148" s="3" t="s">
        <v>1390</v>
      </c>
      <c r="K1148" s="3" t="s">
        <v>216</v>
      </c>
    </row>
    <row r="1149" ht="15.6" spans="4:11">
      <c r="D1149" s="3">
        <v>2220</v>
      </c>
      <c r="E1149" s="3" t="s">
        <v>216</v>
      </c>
      <c r="J1149" s="3" t="s">
        <v>1391</v>
      </c>
      <c r="K1149" s="3" t="s">
        <v>216</v>
      </c>
    </row>
    <row r="1150" ht="15.6" spans="4:11">
      <c r="D1150" s="3">
        <v>2221</v>
      </c>
      <c r="E1150" s="3" t="s">
        <v>216</v>
      </c>
      <c r="J1150" s="3" t="s">
        <v>1392</v>
      </c>
      <c r="K1150" s="3" t="s">
        <v>216</v>
      </c>
    </row>
    <row r="1151" ht="15.6" spans="4:11">
      <c r="D1151" s="3">
        <v>2222</v>
      </c>
      <c r="E1151" s="3" t="s">
        <v>216</v>
      </c>
      <c r="J1151" s="3" t="s">
        <v>1393</v>
      </c>
      <c r="K1151" s="3" t="s">
        <v>216</v>
      </c>
    </row>
    <row r="1152" ht="15.6" spans="4:11">
      <c r="D1152" s="3">
        <v>2223</v>
      </c>
      <c r="E1152" s="3" t="s">
        <v>216</v>
      </c>
      <c r="J1152" s="3" t="s">
        <v>1394</v>
      </c>
      <c r="K1152" s="3" t="s">
        <v>216</v>
      </c>
    </row>
    <row r="1153" ht="15.6" spans="4:11">
      <c r="D1153" s="3">
        <v>2224</v>
      </c>
      <c r="E1153" s="3" t="s">
        <v>216</v>
      </c>
      <c r="J1153" s="3" t="s">
        <v>1395</v>
      </c>
      <c r="K1153" s="3" t="s">
        <v>216</v>
      </c>
    </row>
    <row r="1154" ht="15.6" spans="4:11">
      <c r="D1154" s="3">
        <v>2225</v>
      </c>
      <c r="E1154" s="3" t="s">
        <v>216</v>
      </c>
      <c r="J1154" s="3" t="s">
        <v>1396</v>
      </c>
      <c r="K1154" s="3" t="s">
        <v>216</v>
      </c>
    </row>
    <row r="1155" ht="15.6" spans="4:11">
      <c r="D1155" s="3">
        <v>2226</v>
      </c>
      <c r="E1155" s="3" t="s">
        <v>216</v>
      </c>
      <c r="J1155" s="3" t="s">
        <v>1397</v>
      </c>
      <c r="K1155" s="3" t="s">
        <v>216</v>
      </c>
    </row>
    <row r="1156" ht="15.6" spans="4:11">
      <c r="D1156" s="3">
        <v>2227</v>
      </c>
      <c r="E1156" s="3" t="s">
        <v>216</v>
      </c>
      <c r="J1156" s="3" t="s">
        <v>1398</v>
      </c>
      <c r="K1156" s="3" t="s">
        <v>216</v>
      </c>
    </row>
    <row r="1157" ht="15.6" spans="4:11">
      <c r="D1157" s="3">
        <v>2228</v>
      </c>
      <c r="E1157" s="3" t="s">
        <v>216</v>
      </c>
      <c r="J1157" s="3" t="s">
        <v>1399</v>
      </c>
      <c r="K1157" s="3" t="s">
        <v>216</v>
      </c>
    </row>
    <row r="1158" ht="15.6" spans="4:11">
      <c r="D1158" s="3">
        <v>2229</v>
      </c>
      <c r="E1158" s="3" t="s">
        <v>216</v>
      </c>
      <c r="J1158" s="3" t="s">
        <v>1400</v>
      </c>
      <c r="K1158" s="3" t="s">
        <v>216</v>
      </c>
    </row>
    <row r="1159" ht="15.6" spans="4:11">
      <c r="D1159" s="3">
        <v>2232</v>
      </c>
      <c r="E1159" s="3" t="s">
        <v>216</v>
      </c>
      <c r="J1159" s="3" t="s">
        <v>1401</v>
      </c>
      <c r="K1159" s="3" t="s">
        <v>216</v>
      </c>
    </row>
    <row r="1160" ht="15.6" spans="4:11">
      <c r="D1160" s="3">
        <v>2233</v>
      </c>
      <c r="E1160" s="3" t="s">
        <v>216</v>
      </c>
      <c r="J1160" s="3" t="s">
        <v>1402</v>
      </c>
      <c r="K1160" s="3" t="s">
        <v>216</v>
      </c>
    </row>
    <row r="1161" ht="15.6" spans="4:11">
      <c r="D1161" s="3">
        <v>2234</v>
      </c>
      <c r="E1161" s="3" t="s">
        <v>216</v>
      </c>
      <c r="J1161" s="3" t="s">
        <v>1403</v>
      </c>
      <c r="K1161" s="3" t="s">
        <v>216</v>
      </c>
    </row>
    <row r="1162" ht="15.6" spans="4:11">
      <c r="D1162" s="3">
        <v>2235</v>
      </c>
      <c r="E1162" s="3" t="s">
        <v>216</v>
      </c>
      <c r="J1162" s="3" t="s">
        <v>1404</v>
      </c>
      <c r="K1162" s="3" t="s">
        <v>216</v>
      </c>
    </row>
    <row r="1163" ht="15.6" spans="4:11">
      <c r="D1163" s="3">
        <v>2236</v>
      </c>
      <c r="E1163" s="3" t="s">
        <v>216</v>
      </c>
      <c r="J1163" s="3" t="s">
        <v>1405</v>
      </c>
      <c r="K1163" s="3" t="s">
        <v>216</v>
      </c>
    </row>
    <row r="1164" ht="15.6" spans="4:11">
      <c r="D1164" s="3">
        <v>2237</v>
      </c>
      <c r="E1164" s="3" t="s">
        <v>216</v>
      </c>
      <c r="J1164" s="3" t="s">
        <v>1406</v>
      </c>
      <c r="K1164" s="3" t="s">
        <v>216</v>
      </c>
    </row>
    <row r="1165" ht="15.6" spans="4:11">
      <c r="D1165" s="3">
        <v>2238</v>
      </c>
      <c r="E1165" s="3" t="s">
        <v>216</v>
      </c>
      <c r="J1165" s="3" t="s">
        <v>1407</v>
      </c>
      <c r="K1165" s="3" t="s">
        <v>216</v>
      </c>
    </row>
    <row r="1166" ht="15.6" spans="4:11">
      <c r="D1166" s="3">
        <v>2239</v>
      </c>
      <c r="E1166" s="3" t="s">
        <v>216</v>
      </c>
      <c r="J1166" s="3" t="s">
        <v>1408</v>
      </c>
      <c r="K1166" s="3" t="s">
        <v>216</v>
      </c>
    </row>
    <row r="1167" ht="15.6" spans="4:11">
      <c r="D1167" s="3">
        <v>2240</v>
      </c>
      <c r="E1167" s="3" t="s">
        <v>216</v>
      </c>
      <c r="J1167" s="3" t="s">
        <v>1409</v>
      </c>
      <c r="K1167" s="3" t="s">
        <v>216</v>
      </c>
    </row>
    <row r="1168" ht="15.6" spans="4:11">
      <c r="D1168" s="3">
        <v>2241</v>
      </c>
      <c r="E1168" s="3" t="s">
        <v>216</v>
      </c>
      <c r="J1168" s="3" t="s">
        <v>1410</v>
      </c>
      <c r="K1168" s="3" t="s">
        <v>216</v>
      </c>
    </row>
    <row r="1169" ht="15.6" spans="4:11">
      <c r="D1169" s="3">
        <v>2242</v>
      </c>
      <c r="E1169" s="3" t="s">
        <v>216</v>
      </c>
      <c r="J1169" s="3" t="s">
        <v>1411</v>
      </c>
      <c r="K1169" s="3" t="s">
        <v>216</v>
      </c>
    </row>
    <row r="1170" ht="15.6" spans="4:11">
      <c r="D1170" s="3">
        <v>2243</v>
      </c>
      <c r="E1170" s="3" t="s">
        <v>216</v>
      </c>
      <c r="J1170" s="3" t="s">
        <v>1412</v>
      </c>
      <c r="K1170" s="3" t="s">
        <v>216</v>
      </c>
    </row>
    <row r="1171" ht="15.6" spans="4:11">
      <c r="D1171" s="3">
        <v>2244</v>
      </c>
      <c r="E1171" s="3" t="s">
        <v>216</v>
      </c>
      <c r="J1171" s="3" t="s">
        <v>1413</v>
      </c>
      <c r="K1171" s="3" t="s">
        <v>216</v>
      </c>
    </row>
    <row r="1172" ht="15.6" spans="4:11">
      <c r="D1172" s="3">
        <v>2245</v>
      </c>
      <c r="E1172" s="3" t="s">
        <v>216</v>
      </c>
      <c r="J1172" s="3" t="s">
        <v>1414</v>
      </c>
      <c r="K1172" s="3" t="s">
        <v>216</v>
      </c>
    </row>
    <row r="1173" ht="15.6" spans="4:11">
      <c r="D1173" s="3">
        <v>2246</v>
      </c>
      <c r="E1173" s="3" t="s">
        <v>216</v>
      </c>
      <c r="J1173" s="3" t="s">
        <v>1415</v>
      </c>
      <c r="K1173" s="3" t="s">
        <v>216</v>
      </c>
    </row>
    <row r="1174" ht="15.6" spans="4:11">
      <c r="D1174" s="3">
        <v>2247</v>
      </c>
      <c r="E1174" s="3" t="s">
        <v>216</v>
      </c>
      <c r="J1174" s="3" t="s">
        <v>1416</v>
      </c>
      <c r="K1174" s="3" t="s">
        <v>216</v>
      </c>
    </row>
    <row r="1175" ht="15.6" spans="4:11">
      <c r="D1175" s="3">
        <v>2248</v>
      </c>
      <c r="E1175" s="3" t="s">
        <v>216</v>
      </c>
      <c r="J1175" s="3" t="s">
        <v>1417</v>
      </c>
      <c r="K1175" s="3" t="s">
        <v>216</v>
      </c>
    </row>
    <row r="1176" ht="15.6" spans="4:11">
      <c r="D1176" s="3">
        <v>2249</v>
      </c>
      <c r="E1176" s="3" t="s">
        <v>216</v>
      </c>
      <c r="J1176" s="3" t="s">
        <v>1418</v>
      </c>
      <c r="K1176" s="3" t="s">
        <v>216</v>
      </c>
    </row>
    <row r="1177" ht="15.6" spans="4:11">
      <c r="D1177" s="3">
        <v>2557</v>
      </c>
      <c r="E1177" s="3" t="s">
        <v>216</v>
      </c>
      <c r="J1177" s="3" t="s">
        <v>1419</v>
      </c>
      <c r="K1177" s="3" t="s">
        <v>216</v>
      </c>
    </row>
    <row r="1178" ht="15.6" spans="4:11">
      <c r="D1178" s="3">
        <v>2558</v>
      </c>
      <c r="E1178" s="3" t="s">
        <v>216</v>
      </c>
      <c r="J1178" s="3" t="s">
        <v>1420</v>
      </c>
      <c r="K1178" s="3" t="s">
        <v>216</v>
      </c>
    </row>
    <row r="1179" ht="15.6" spans="4:11">
      <c r="D1179" s="3">
        <v>2559</v>
      </c>
      <c r="E1179" s="3" t="s">
        <v>216</v>
      </c>
      <c r="J1179" s="3" t="s">
        <v>1421</v>
      </c>
      <c r="K1179" s="3" t="s">
        <v>216</v>
      </c>
    </row>
    <row r="1180" ht="15.6" spans="4:11">
      <c r="D1180" s="3">
        <v>2564</v>
      </c>
      <c r="E1180" s="3" t="s">
        <v>216</v>
      </c>
      <c r="J1180" s="3" t="s">
        <v>1422</v>
      </c>
      <c r="K1180" s="3" t="s">
        <v>216</v>
      </c>
    </row>
    <row r="1181" ht="15.6" spans="4:11">
      <c r="D1181" s="3">
        <v>2565</v>
      </c>
      <c r="E1181" s="3" t="s">
        <v>216</v>
      </c>
      <c r="J1181" s="3" t="s">
        <v>1423</v>
      </c>
      <c r="K1181" s="3" t="s">
        <v>216</v>
      </c>
    </row>
    <row r="1182" ht="15.6" spans="4:11">
      <c r="D1182" s="3">
        <v>2566</v>
      </c>
      <c r="E1182" s="3" t="s">
        <v>216</v>
      </c>
      <c r="J1182" s="3" t="s">
        <v>1424</v>
      </c>
      <c r="K1182" s="3" t="s">
        <v>216</v>
      </c>
    </row>
    <row r="1183" ht="15.6" spans="4:11">
      <c r="D1183" s="3">
        <v>2567</v>
      </c>
      <c r="E1183" s="3" t="s">
        <v>216</v>
      </c>
      <c r="J1183" s="3" t="s">
        <v>1425</v>
      </c>
      <c r="K1183" s="3" t="s">
        <v>216</v>
      </c>
    </row>
    <row r="1184" ht="15.6" spans="4:11">
      <c r="D1184" s="3">
        <v>2740</v>
      </c>
      <c r="E1184" s="3" t="s">
        <v>216</v>
      </c>
      <c r="J1184" s="3" t="s">
        <v>1426</v>
      </c>
      <c r="K1184" s="3" t="s">
        <v>216</v>
      </c>
    </row>
    <row r="1185" ht="15.6" spans="4:11">
      <c r="D1185" s="3">
        <v>2741</v>
      </c>
      <c r="E1185" s="3" t="s">
        <v>216</v>
      </c>
      <c r="J1185" s="3" t="s">
        <v>1427</v>
      </c>
      <c r="K1185" s="3" t="s">
        <v>216</v>
      </c>
    </row>
    <row r="1186" ht="15.6" spans="4:11">
      <c r="D1186" s="3">
        <v>2742</v>
      </c>
      <c r="E1186" s="3" t="s">
        <v>216</v>
      </c>
      <c r="J1186" s="3" t="s">
        <v>1428</v>
      </c>
      <c r="K1186" s="3" t="s">
        <v>216</v>
      </c>
    </row>
    <row r="1187" ht="15.6" spans="4:11">
      <c r="D1187" s="3">
        <v>2743</v>
      </c>
      <c r="E1187" s="3" t="s">
        <v>216</v>
      </c>
      <c r="J1187" s="3" t="s">
        <v>1429</v>
      </c>
      <c r="K1187" s="3" t="s">
        <v>216</v>
      </c>
    </row>
    <row r="1188" ht="15.6" spans="4:11">
      <c r="D1188" s="3">
        <v>2744</v>
      </c>
      <c r="E1188" s="3" t="s">
        <v>216</v>
      </c>
      <c r="J1188" s="3" t="s">
        <v>1430</v>
      </c>
      <c r="K1188" s="3" t="s">
        <v>216</v>
      </c>
    </row>
    <row r="1189" ht="15.6" spans="4:11">
      <c r="D1189" s="3">
        <v>2747</v>
      </c>
      <c r="E1189" s="3" t="s">
        <v>216</v>
      </c>
      <c r="J1189" s="3" t="s">
        <v>1431</v>
      </c>
      <c r="K1189" s="3" t="s">
        <v>216</v>
      </c>
    </row>
    <row r="1190" ht="15.6" spans="4:11">
      <c r="D1190" s="3">
        <v>2748</v>
      </c>
      <c r="E1190" s="3" t="s">
        <v>216</v>
      </c>
      <c r="J1190" s="3" t="s">
        <v>1432</v>
      </c>
      <c r="K1190" s="3" t="s">
        <v>216</v>
      </c>
    </row>
    <row r="1191" ht="15.6" spans="4:11">
      <c r="D1191" s="3">
        <v>2749</v>
      </c>
      <c r="E1191" s="3" t="s">
        <v>216</v>
      </c>
      <c r="J1191" s="3" t="s">
        <v>1433</v>
      </c>
      <c r="K1191" s="3" t="s">
        <v>216</v>
      </c>
    </row>
    <row r="1192" ht="15.6" spans="4:11">
      <c r="D1192" s="3">
        <v>2750</v>
      </c>
      <c r="E1192" s="3" t="s">
        <v>216</v>
      </c>
      <c r="J1192" s="3" t="s">
        <v>1434</v>
      </c>
      <c r="K1192" s="3" t="s">
        <v>216</v>
      </c>
    </row>
    <row r="1193" ht="15.6" spans="4:11">
      <c r="D1193" s="3">
        <v>2751</v>
      </c>
      <c r="E1193" s="3" t="s">
        <v>216</v>
      </c>
      <c r="J1193" s="3" t="s">
        <v>1435</v>
      </c>
      <c r="K1193" s="3" t="s">
        <v>216</v>
      </c>
    </row>
    <row r="1194" ht="15.6" spans="4:11">
      <c r="D1194" s="3">
        <v>2759</v>
      </c>
      <c r="E1194" s="3" t="s">
        <v>216</v>
      </c>
      <c r="J1194" s="3" t="s">
        <v>1436</v>
      </c>
      <c r="K1194" s="3" t="s">
        <v>216</v>
      </c>
    </row>
    <row r="1195" ht="15.6" spans="4:11">
      <c r="D1195" s="3">
        <v>2760</v>
      </c>
      <c r="E1195" s="3" t="s">
        <v>216</v>
      </c>
      <c r="J1195" s="3" t="s">
        <v>1437</v>
      </c>
      <c r="K1195" s="3" t="s">
        <v>216</v>
      </c>
    </row>
    <row r="1196" ht="15.6" spans="4:11">
      <c r="D1196" s="3">
        <v>2761</v>
      </c>
      <c r="E1196" s="3" t="s">
        <v>216</v>
      </c>
      <c r="J1196" s="3" t="s">
        <v>1438</v>
      </c>
      <c r="K1196" s="3" t="s">
        <v>216</v>
      </c>
    </row>
    <row r="1197" ht="15.6" spans="4:11">
      <c r="D1197" s="3">
        <v>2762</v>
      </c>
      <c r="E1197" s="3" t="s">
        <v>216</v>
      </c>
      <c r="J1197" s="3" t="s">
        <v>1439</v>
      </c>
      <c r="K1197" s="3" t="s">
        <v>216</v>
      </c>
    </row>
    <row r="1198" ht="15.6" spans="4:11">
      <c r="D1198" s="3">
        <v>2763</v>
      </c>
      <c r="E1198" s="3" t="s">
        <v>216</v>
      </c>
      <c r="J1198" s="3" t="s">
        <v>1440</v>
      </c>
      <c r="K1198" s="3" t="s">
        <v>216</v>
      </c>
    </row>
    <row r="1199" ht="15.6" spans="4:11">
      <c r="D1199" s="3">
        <v>2764</v>
      </c>
      <c r="E1199" s="3" t="s">
        <v>216</v>
      </c>
      <c r="J1199" s="3" t="s">
        <v>1441</v>
      </c>
      <c r="K1199" s="3" t="s">
        <v>216</v>
      </c>
    </row>
    <row r="1200" ht="15.6" spans="4:11">
      <c r="D1200" s="3">
        <v>2766</v>
      </c>
      <c r="E1200" s="3" t="s">
        <v>216</v>
      </c>
      <c r="J1200" s="3" t="s">
        <v>1442</v>
      </c>
      <c r="K1200" s="3" t="s">
        <v>216</v>
      </c>
    </row>
    <row r="1201" ht="15.6" spans="4:11">
      <c r="D1201" s="3">
        <v>2767</v>
      </c>
      <c r="E1201" s="3" t="s">
        <v>216</v>
      </c>
      <c r="J1201" s="3" t="s">
        <v>1443</v>
      </c>
      <c r="K1201" s="3" t="s">
        <v>216</v>
      </c>
    </row>
    <row r="1202" ht="15.6" spans="4:11">
      <c r="D1202" s="3">
        <v>2768</v>
      </c>
      <c r="E1202" s="3" t="s">
        <v>216</v>
      </c>
      <c r="J1202" s="3" t="s">
        <v>1444</v>
      </c>
      <c r="K1202" s="3" t="s">
        <v>216</v>
      </c>
    </row>
    <row r="1203" ht="15.6" spans="4:11">
      <c r="D1203" s="3">
        <v>2769</v>
      </c>
      <c r="E1203" s="3" t="s">
        <v>216</v>
      </c>
      <c r="J1203" s="3" t="s">
        <v>1445</v>
      </c>
      <c r="K1203" s="3" t="s">
        <v>216</v>
      </c>
    </row>
    <row r="1204" ht="15.6" spans="4:11">
      <c r="D1204" s="3">
        <v>2770</v>
      </c>
      <c r="E1204" s="3" t="s">
        <v>216</v>
      </c>
      <c r="J1204" s="3" t="s">
        <v>1446</v>
      </c>
      <c r="K1204" s="3" t="s">
        <v>216</v>
      </c>
    </row>
    <row r="1205" ht="15.6" spans="4:11">
      <c r="D1205" s="3">
        <v>2771</v>
      </c>
      <c r="E1205" s="3" t="s">
        <v>216</v>
      </c>
      <c r="J1205" s="3" t="s">
        <v>1447</v>
      </c>
      <c r="K1205" s="3" t="s">
        <v>216</v>
      </c>
    </row>
    <row r="1206" ht="15.6" spans="4:11">
      <c r="D1206" s="3">
        <v>2772</v>
      </c>
      <c r="E1206" s="3" t="s">
        <v>216</v>
      </c>
      <c r="J1206" s="3" t="s">
        <v>1448</v>
      </c>
      <c r="K1206" s="3" t="s">
        <v>216</v>
      </c>
    </row>
    <row r="1207" ht="15.6" spans="4:11">
      <c r="D1207" s="3">
        <v>2773</v>
      </c>
      <c r="E1207" s="3" t="s">
        <v>216</v>
      </c>
      <c r="J1207" s="3" t="s">
        <v>1449</v>
      </c>
      <c r="K1207" s="3" t="s">
        <v>216</v>
      </c>
    </row>
    <row r="1208" ht="15.6" spans="4:11">
      <c r="D1208" s="3">
        <v>2774</v>
      </c>
      <c r="E1208" s="3" t="s">
        <v>216</v>
      </c>
      <c r="J1208" s="3" t="s">
        <v>1450</v>
      </c>
      <c r="K1208" s="3" t="s">
        <v>216</v>
      </c>
    </row>
    <row r="1209" ht="15.6" spans="4:11">
      <c r="D1209" s="3">
        <v>2776</v>
      </c>
      <c r="E1209" s="3" t="s">
        <v>216</v>
      </c>
      <c r="J1209" s="3" t="s">
        <v>1451</v>
      </c>
      <c r="K1209" s="3" t="s">
        <v>216</v>
      </c>
    </row>
    <row r="1210" ht="15.6" spans="4:11">
      <c r="D1210" s="3">
        <v>2777</v>
      </c>
      <c r="E1210" s="3" t="s">
        <v>216</v>
      </c>
      <c r="J1210" s="3" t="s">
        <v>1452</v>
      </c>
      <c r="K1210" s="3" t="s">
        <v>216</v>
      </c>
    </row>
    <row r="1211" ht="15.6" spans="4:11">
      <c r="D1211" s="3">
        <v>2890</v>
      </c>
      <c r="E1211" s="3" t="s">
        <v>216</v>
      </c>
      <c r="J1211" s="3" t="s">
        <v>1453</v>
      </c>
      <c r="K1211" s="3" t="s">
        <v>216</v>
      </c>
    </row>
    <row r="1212" ht="15.6" spans="4:11">
      <c r="D1212" s="3">
        <v>2891</v>
      </c>
      <c r="E1212" s="3" t="s">
        <v>216</v>
      </c>
      <c r="J1212" s="3" t="s">
        <v>1454</v>
      </c>
      <c r="K1212" s="3" t="s">
        <v>216</v>
      </c>
    </row>
    <row r="1213" ht="15.6" spans="4:11">
      <c r="D1213" s="3">
        <v>2892</v>
      </c>
      <c r="E1213" s="3" t="s">
        <v>216</v>
      </c>
      <c r="J1213" s="3" t="s">
        <v>1455</v>
      </c>
      <c r="K1213" s="3" t="s">
        <v>216</v>
      </c>
    </row>
    <row r="1214" ht="15.6" spans="4:11">
      <c r="D1214" s="3">
        <v>2893</v>
      </c>
      <c r="E1214" s="3" t="s">
        <v>216</v>
      </c>
      <c r="J1214" s="3" t="s">
        <v>1456</v>
      </c>
      <c r="K1214" s="3" t="s">
        <v>216</v>
      </c>
    </row>
    <row r="1215" ht="15.6" spans="4:11">
      <c r="D1215" s="3">
        <v>2894</v>
      </c>
      <c r="E1215" s="3" t="s">
        <v>216</v>
      </c>
      <c r="J1215" s="3" t="s">
        <v>1457</v>
      </c>
      <c r="K1215" s="3" t="s">
        <v>216</v>
      </c>
    </row>
    <row r="1216" ht="15.6" spans="4:11">
      <c r="D1216" s="3">
        <v>2895</v>
      </c>
      <c r="E1216" s="3" t="s">
        <v>216</v>
      </c>
      <c r="J1216" s="3" t="s">
        <v>1458</v>
      </c>
      <c r="K1216" s="3" t="s">
        <v>216</v>
      </c>
    </row>
    <row r="1217" ht="15.6" spans="4:11">
      <c r="D1217" s="3">
        <v>2896</v>
      </c>
      <c r="E1217" s="3" t="s">
        <v>216</v>
      </c>
      <c r="J1217" s="3" t="s">
        <v>1459</v>
      </c>
      <c r="K1217" s="3" t="s">
        <v>216</v>
      </c>
    </row>
    <row r="1218" ht="15.6" spans="4:11">
      <c r="D1218" s="3">
        <v>2897</v>
      </c>
      <c r="E1218" s="3" t="s">
        <v>216</v>
      </c>
      <c r="J1218" s="3" t="s">
        <v>1460</v>
      </c>
      <c r="K1218" s="3" t="s">
        <v>216</v>
      </c>
    </row>
    <row r="1219" ht="15.6" spans="4:11">
      <c r="D1219" s="3">
        <v>3000</v>
      </c>
      <c r="E1219" s="3" t="s">
        <v>216</v>
      </c>
      <c r="J1219" s="3" t="s">
        <v>1461</v>
      </c>
      <c r="K1219" s="3" t="s">
        <v>216</v>
      </c>
    </row>
    <row r="1220" ht="15.6" spans="4:11">
      <c r="D1220" s="3">
        <v>3001</v>
      </c>
      <c r="E1220" s="3" t="s">
        <v>216</v>
      </c>
      <c r="J1220" s="3" t="s">
        <v>1462</v>
      </c>
      <c r="K1220" s="3" t="s">
        <v>216</v>
      </c>
    </row>
    <row r="1221" ht="15.6" spans="4:11">
      <c r="D1221" s="3">
        <v>3002</v>
      </c>
      <c r="E1221" s="3" t="s">
        <v>216</v>
      </c>
      <c r="J1221" s="3" t="s">
        <v>1463</v>
      </c>
      <c r="K1221" s="3" t="s">
        <v>216</v>
      </c>
    </row>
    <row r="1222" ht="15.6" spans="4:11">
      <c r="D1222" s="3">
        <v>3003</v>
      </c>
      <c r="E1222" s="3" t="s">
        <v>216</v>
      </c>
      <c r="J1222" s="3" t="s">
        <v>1464</v>
      </c>
      <c r="K1222" s="3" t="s">
        <v>216</v>
      </c>
    </row>
    <row r="1223" ht="15.6" spans="4:11">
      <c r="D1223" s="3">
        <v>3004</v>
      </c>
      <c r="E1223" s="3" t="s">
        <v>216</v>
      </c>
      <c r="J1223" s="3" t="s">
        <v>1465</v>
      </c>
      <c r="K1223" s="3" t="s">
        <v>216</v>
      </c>
    </row>
    <row r="1224" ht="15.6" spans="4:11">
      <c r="D1224" s="3">
        <v>3005</v>
      </c>
      <c r="E1224" s="3" t="s">
        <v>216</v>
      </c>
      <c r="J1224" s="3" t="s">
        <v>1466</v>
      </c>
      <c r="K1224" s="3" t="s">
        <v>216</v>
      </c>
    </row>
    <row r="1225" ht="15.6" spans="4:11">
      <c r="D1225" s="3">
        <v>3006</v>
      </c>
      <c r="E1225" s="3" t="s">
        <v>216</v>
      </c>
      <c r="J1225" s="3" t="s">
        <v>1467</v>
      </c>
      <c r="K1225" s="3" t="s">
        <v>216</v>
      </c>
    </row>
    <row r="1226" ht="15.6" spans="4:11">
      <c r="D1226" s="3">
        <v>3007</v>
      </c>
      <c r="E1226" s="3" t="s">
        <v>216</v>
      </c>
      <c r="J1226" s="3" t="s">
        <v>1468</v>
      </c>
      <c r="K1226" s="3" t="s">
        <v>216</v>
      </c>
    </row>
    <row r="1227" ht="15.6" spans="4:11">
      <c r="D1227" s="3">
        <v>3008</v>
      </c>
      <c r="E1227" s="3" t="s">
        <v>216</v>
      </c>
      <c r="J1227" s="3" t="s">
        <v>1469</v>
      </c>
      <c r="K1227" s="3" t="s">
        <v>216</v>
      </c>
    </row>
    <row r="1228" ht="15.6" spans="4:11">
      <c r="D1228" s="3">
        <v>3009</v>
      </c>
      <c r="E1228" s="3" t="s">
        <v>216</v>
      </c>
      <c r="J1228" s="3" t="s">
        <v>1470</v>
      </c>
      <c r="K1228" s="3" t="s">
        <v>216</v>
      </c>
    </row>
    <row r="1229" ht="15.6" spans="4:11">
      <c r="D1229" s="3">
        <v>3010</v>
      </c>
      <c r="E1229" s="3" t="s">
        <v>216</v>
      </c>
      <c r="J1229" s="3" t="s">
        <v>1471</v>
      </c>
      <c r="K1229" s="3" t="s">
        <v>216</v>
      </c>
    </row>
    <row r="1230" ht="15.6" spans="4:11">
      <c r="D1230" s="3">
        <v>3011</v>
      </c>
      <c r="E1230" s="3" t="s">
        <v>216</v>
      </c>
      <c r="J1230" s="3" t="s">
        <v>1472</v>
      </c>
      <c r="K1230" s="3" t="s">
        <v>216</v>
      </c>
    </row>
    <row r="1231" ht="15.6" spans="4:11">
      <c r="D1231" s="3">
        <v>3012</v>
      </c>
      <c r="E1231" s="3" t="s">
        <v>216</v>
      </c>
      <c r="J1231" s="3" t="s">
        <v>1473</v>
      </c>
      <c r="K1231" s="3" t="s">
        <v>216</v>
      </c>
    </row>
    <row r="1232" ht="15.6" spans="4:11">
      <c r="D1232" s="3">
        <v>3013</v>
      </c>
      <c r="E1232" s="3" t="s">
        <v>216</v>
      </c>
      <c r="J1232" s="3" t="s">
        <v>1474</v>
      </c>
      <c r="K1232" s="3" t="s">
        <v>216</v>
      </c>
    </row>
    <row r="1233" ht="15.6" spans="4:11">
      <c r="D1233" s="3">
        <v>3014</v>
      </c>
      <c r="E1233" s="3" t="s">
        <v>216</v>
      </c>
      <c r="J1233" s="3" t="s">
        <v>1475</v>
      </c>
      <c r="K1233" s="3" t="s">
        <v>216</v>
      </c>
    </row>
    <row r="1234" ht="15.6" spans="4:11">
      <c r="D1234" s="3">
        <v>3015</v>
      </c>
      <c r="E1234" s="3" t="s">
        <v>216</v>
      </c>
      <c r="J1234" s="3" t="s">
        <v>1476</v>
      </c>
      <c r="K1234" s="3" t="s">
        <v>216</v>
      </c>
    </row>
    <row r="1235" ht="15.6" spans="4:11">
      <c r="D1235" s="3">
        <v>3016</v>
      </c>
      <c r="E1235" s="3" t="s">
        <v>216</v>
      </c>
      <c r="J1235" s="3" t="s">
        <v>1477</v>
      </c>
      <c r="K1235" s="3" t="s">
        <v>216</v>
      </c>
    </row>
    <row r="1236" ht="15.6" spans="4:11">
      <c r="D1236" s="3">
        <v>3017</v>
      </c>
      <c r="E1236" s="3" t="s">
        <v>216</v>
      </c>
      <c r="J1236" s="3" t="s">
        <v>1478</v>
      </c>
      <c r="K1236" s="3" t="s">
        <v>216</v>
      </c>
    </row>
    <row r="1237" ht="15.6" spans="4:11">
      <c r="D1237" s="3">
        <v>3018</v>
      </c>
      <c r="E1237" s="3" t="s">
        <v>216</v>
      </c>
      <c r="J1237" s="3" t="s">
        <v>1479</v>
      </c>
      <c r="K1237" s="3" t="s">
        <v>216</v>
      </c>
    </row>
    <row r="1238" ht="15.6" spans="4:11">
      <c r="D1238" s="3">
        <v>3019</v>
      </c>
      <c r="E1238" s="3" t="s">
        <v>216</v>
      </c>
      <c r="J1238" s="3" t="s">
        <v>1480</v>
      </c>
      <c r="K1238" s="3" t="s">
        <v>216</v>
      </c>
    </row>
    <row r="1239" ht="15.6" spans="4:11">
      <c r="D1239" s="3">
        <v>3020</v>
      </c>
      <c r="E1239" s="3" t="s">
        <v>216</v>
      </c>
      <c r="J1239" s="3" t="s">
        <v>1481</v>
      </c>
      <c r="K1239" s="3" t="s">
        <v>216</v>
      </c>
    </row>
    <row r="1240" ht="15.6" spans="4:11">
      <c r="D1240" s="3">
        <v>3021</v>
      </c>
      <c r="E1240" s="3" t="s">
        <v>216</v>
      </c>
      <c r="J1240" s="3" t="s">
        <v>1482</v>
      </c>
      <c r="K1240" s="3" t="s">
        <v>216</v>
      </c>
    </row>
    <row r="1241" ht="15.6" spans="4:11">
      <c r="D1241" s="3">
        <v>3022</v>
      </c>
      <c r="E1241" s="3" t="s">
        <v>216</v>
      </c>
      <c r="J1241" s="3" t="s">
        <v>1483</v>
      </c>
      <c r="K1241" s="3" t="s">
        <v>216</v>
      </c>
    </row>
    <row r="1242" ht="15.6" spans="4:11">
      <c r="D1242" s="3">
        <v>3023</v>
      </c>
      <c r="E1242" s="3" t="s">
        <v>216</v>
      </c>
      <c r="J1242" s="3" t="s">
        <v>1484</v>
      </c>
      <c r="K1242" s="3" t="s">
        <v>216</v>
      </c>
    </row>
    <row r="1243" ht="15.6" spans="4:11">
      <c r="D1243" s="3">
        <v>3024</v>
      </c>
      <c r="E1243" s="3" t="s">
        <v>216</v>
      </c>
      <c r="J1243" s="3" t="s">
        <v>1485</v>
      </c>
      <c r="K1243" s="3" t="s">
        <v>216</v>
      </c>
    </row>
    <row r="1244" ht="15.6" spans="4:11">
      <c r="D1244" s="3">
        <v>3025</v>
      </c>
      <c r="E1244" s="3" t="s">
        <v>216</v>
      </c>
      <c r="J1244" s="3" t="s">
        <v>1486</v>
      </c>
      <c r="K1244" s="3" t="s">
        <v>216</v>
      </c>
    </row>
    <row r="1245" ht="15.6" spans="4:11">
      <c r="D1245" s="3">
        <v>3026</v>
      </c>
      <c r="E1245" s="3" t="s">
        <v>216</v>
      </c>
      <c r="J1245" s="3" t="s">
        <v>1487</v>
      </c>
      <c r="K1245" s="3" t="s">
        <v>216</v>
      </c>
    </row>
    <row r="1246" ht="15.6" spans="4:11">
      <c r="D1246" s="3">
        <v>3027</v>
      </c>
      <c r="E1246" s="3" t="s">
        <v>216</v>
      </c>
      <c r="J1246" s="3" t="s">
        <v>1488</v>
      </c>
      <c r="K1246" s="3" t="s">
        <v>216</v>
      </c>
    </row>
    <row r="1247" ht="15.6" spans="4:11">
      <c r="D1247" s="3">
        <v>3028</v>
      </c>
      <c r="E1247" s="3" t="s">
        <v>216</v>
      </c>
      <c r="J1247" s="3" t="s">
        <v>1489</v>
      </c>
      <c r="K1247" s="3" t="s">
        <v>216</v>
      </c>
    </row>
    <row r="1248" ht="15.6" spans="4:11">
      <c r="D1248" s="3">
        <v>3029</v>
      </c>
      <c r="E1248" s="3" t="s">
        <v>216</v>
      </c>
      <c r="J1248" s="3" t="s">
        <v>1490</v>
      </c>
      <c r="K1248" s="3" t="s">
        <v>216</v>
      </c>
    </row>
    <row r="1249" ht="15.6" spans="4:11">
      <c r="D1249" s="3">
        <v>3030</v>
      </c>
      <c r="E1249" s="3" t="s">
        <v>216</v>
      </c>
      <c r="J1249" s="3" t="s">
        <v>1491</v>
      </c>
      <c r="K1249" s="3" t="s">
        <v>216</v>
      </c>
    </row>
    <row r="1250" ht="15.6" spans="4:11">
      <c r="D1250" s="3">
        <v>3031</v>
      </c>
      <c r="E1250" s="3" t="s">
        <v>216</v>
      </c>
      <c r="J1250" s="3" t="s">
        <v>1492</v>
      </c>
      <c r="K1250" s="3" t="s">
        <v>216</v>
      </c>
    </row>
    <row r="1251" ht="15.6" spans="4:11">
      <c r="D1251" s="3">
        <v>3032</v>
      </c>
      <c r="E1251" s="3" t="s">
        <v>216</v>
      </c>
      <c r="J1251" s="3" t="s">
        <v>1493</v>
      </c>
      <c r="K1251" s="3" t="s">
        <v>216</v>
      </c>
    </row>
    <row r="1252" ht="15.6" spans="4:11">
      <c r="D1252" s="3">
        <v>3033</v>
      </c>
      <c r="E1252" s="3" t="s">
        <v>216</v>
      </c>
      <c r="J1252" s="3" t="s">
        <v>1494</v>
      </c>
      <c r="K1252" s="3" t="s">
        <v>216</v>
      </c>
    </row>
    <row r="1253" ht="15.6" spans="4:11">
      <c r="D1253" s="3">
        <v>3034</v>
      </c>
      <c r="E1253" s="3" t="s">
        <v>216</v>
      </c>
      <c r="J1253" s="3" t="s">
        <v>1495</v>
      </c>
      <c r="K1253" s="3" t="s">
        <v>216</v>
      </c>
    </row>
    <row r="1254" ht="15.6" spans="4:11">
      <c r="D1254" s="3">
        <v>3035</v>
      </c>
      <c r="E1254" s="3" t="s">
        <v>216</v>
      </c>
      <c r="J1254" s="3" t="s">
        <v>1496</v>
      </c>
      <c r="K1254" s="3" t="s">
        <v>216</v>
      </c>
    </row>
    <row r="1255" ht="15.6" spans="4:11">
      <c r="D1255" s="3">
        <v>3036</v>
      </c>
      <c r="E1255" s="3" t="s">
        <v>216</v>
      </c>
      <c r="J1255" s="3" t="s">
        <v>1497</v>
      </c>
      <c r="K1255" s="3" t="s">
        <v>216</v>
      </c>
    </row>
    <row r="1256" ht="15.6" spans="4:11">
      <c r="D1256" s="3">
        <v>3037</v>
      </c>
      <c r="E1256" s="3" t="s">
        <v>216</v>
      </c>
      <c r="J1256" s="3" t="s">
        <v>1498</v>
      </c>
      <c r="K1256" s="3" t="s">
        <v>216</v>
      </c>
    </row>
    <row r="1257" ht="15.6" spans="4:11">
      <c r="D1257" s="3">
        <v>3038</v>
      </c>
      <c r="E1257" s="3" t="s">
        <v>216</v>
      </c>
      <c r="J1257" s="3" t="s">
        <v>1499</v>
      </c>
      <c r="K1257" s="3" t="s">
        <v>216</v>
      </c>
    </row>
    <row r="1258" ht="15.6" spans="4:11">
      <c r="D1258" s="3">
        <v>3039</v>
      </c>
      <c r="E1258" s="3" t="s">
        <v>216</v>
      </c>
      <c r="J1258" s="3" t="s">
        <v>1500</v>
      </c>
      <c r="K1258" s="3" t="s">
        <v>216</v>
      </c>
    </row>
    <row r="1259" ht="15.6" spans="4:11">
      <c r="D1259" s="3">
        <v>3040</v>
      </c>
      <c r="E1259" s="3" t="s">
        <v>216</v>
      </c>
      <c r="J1259" s="3" t="s">
        <v>1501</v>
      </c>
      <c r="K1259" s="3" t="s">
        <v>216</v>
      </c>
    </row>
    <row r="1260" ht="15.6" spans="4:11">
      <c r="D1260" s="3">
        <v>3041</v>
      </c>
      <c r="E1260" s="3" t="s">
        <v>216</v>
      </c>
      <c r="J1260" s="3" t="s">
        <v>1502</v>
      </c>
      <c r="K1260" s="3" t="s">
        <v>216</v>
      </c>
    </row>
    <row r="1261" ht="15.6" spans="4:11">
      <c r="D1261" s="3">
        <v>3042</v>
      </c>
      <c r="E1261" s="3" t="s">
        <v>216</v>
      </c>
      <c r="J1261" s="3" t="s">
        <v>1503</v>
      </c>
      <c r="K1261" s="3" t="s">
        <v>216</v>
      </c>
    </row>
    <row r="1262" ht="15.6" spans="4:11">
      <c r="D1262" s="3">
        <v>3043</v>
      </c>
      <c r="E1262" s="3" t="s">
        <v>216</v>
      </c>
      <c r="J1262" s="3" t="s">
        <v>1504</v>
      </c>
      <c r="K1262" s="3" t="s">
        <v>216</v>
      </c>
    </row>
    <row r="1263" ht="15.6" spans="4:11">
      <c r="D1263" s="3">
        <v>3044</v>
      </c>
      <c r="E1263" s="3" t="s">
        <v>216</v>
      </c>
      <c r="J1263" s="3" t="s">
        <v>1505</v>
      </c>
      <c r="K1263" s="3" t="s">
        <v>216</v>
      </c>
    </row>
    <row r="1264" ht="15.6" spans="4:11">
      <c r="D1264" s="3">
        <v>3045</v>
      </c>
      <c r="E1264" s="3" t="s">
        <v>216</v>
      </c>
      <c r="J1264" s="3" t="s">
        <v>1506</v>
      </c>
      <c r="K1264" s="3" t="s">
        <v>216</v>
      </c>
    </row>
    <row r="1265" ht="15.6" spans="4:11">
      <c r="D1265" s="3">
        <v>3046</v>
      </c>
      <c r="E1265" s="3" t="s">
        <v>216</v>
      </c>
      <c r="J1265" s="3" t="s">
        <v>1507</v>
      </c>
      <c r="K1265" s="3" t="s">
        <v>216</v>
      </c>
    </row>
    <row r="1266" ht="15.6" spans="4:11">
      <c r="D1266" s="3">
        <v>3047</v>
      </c>
      <c r="E1266" s="3" t="s">
        <v>216</v>
      </c>
      <c r="J1266" s="3" t="s">
        <v>1508</v>
      </c>
      <c r="K1266" s="3" t="s">
        <v>216</v>
      </c>
    </row>
    <row r="1267" ht="15.6" spans="4:11">
      <c r="D1267" s="3">
        <v>3048</v>
      </c>
      <c r="E1267" s="3" t="s">
        <v>216</v>
      </c>
      <c r="J1267" s="3" t="s">
        <v>1509</v>
      </c>
      <c r="K1267" s="3" t="s">
        <v>216</v>
      </c>
    </row>
    <row r="1268" ht="15.6" spans="4:11">
      <c r="D1268" s="3">
        <v>3049</v>
      </c>
      <c r="E1268" s="3" t="s">
        <v>216</v>
      </c>
      <c r="J1268" s="3" t="s">
        <v>1510</v>
      </c>
      <c r="K1268" s="3" t="s">
        <v>216</v>
      </c>
    </row>
    <row r="1269" ht="15.6" spans="4:11">
      <c r="D1269" s="3">
        <v>3050</v>
      </c>
      <c r="E1269" s="3" t="s">
        <v>216</v>
      </c>
      <c r="J1269" s="3" t="s">
        <v>1511</v>
      </c>
      <c r="K1269" s="3" t="s">
        <v>216</v>
      </c>
    </row>
    <row r="1270" ht="15.6" spans="4:11">
      <c r="D1270" s="3">
        <v>3051</v>
      </c>
      <c r="E1270" s="3" t="s">
        <v>216</v>
      </c>
      <c r="J1270" s="3" t="s">
        <v>1512</v>
      </c>
      <c r="K1270" s="3" t="s">
        <v>216</v>
      </c>
    </row>
    <row r="1271" ht="15.6" spans="4:11">
      <c r="D1271" s="3">
        <v>3052</v>
      </c>
      <c r="E1271" s="3" t="s">
        <v>216</v>
      </c>
      <c r="J1271" s="3" t="s">
        <v>1513</v>
      </c>
      <c r="K1271" s="3" t="s">
        <v>216</v>
      </c>
    </row>
    <row r="1272" ht="15.6" spans="4:11">
      <c r="D1272" s="3">
        <v>3053</v>
      </c>
      <c r="E1272" s="3" t="s">
        <v>216</v>
      </c>
      <c r="J1272" s="3" t="s">
        <v>1514</v>
      </c>
      <c r="K1272" s="3" t="s">
        <v>216</v>
      </c>
    </row>
    <row r="1273" ht="15.6" spans="4:11">
      <c r="D1273" s="3">
        <v>3054</v>
      </c>
      <c r="E1273" s="3" t="s">
        <v>216</v>
      </c>
      <c r="J1273" s="3" t="s">
        <v>1515</v>
      </c>
      <c r="K1273" s="3" t="s">
        <v>216</v>
      </c>
    </row>
    <row r="1274" ht="15.6" spans="4:11">
      <c r="D1274" s="3">
        <v>3055</v>
      </c>
      <c r="E1274" s="3" t="s">
        <v>216</v>
      </c>
      <c r="J1274" s="3" t="s">
        <v>1516</v>
      </c>
      <c r="K1274" s="3" t="s">
        <v>216</v>
      </c>
    </row>
    <row r="1275" ht="15.6" spans="4:11">
      <c r="D1275" s="3">
        <v>3056</v>
      </c>
      <c r="E1275" s="3" t="s">
        <v>216</v>
      </c>
      <c r="J1275" s="3" t="s">
        <v>1517</v>
      </c>
      <c r="K1275" s="3" t="s">
        <v>216</v>
      </c>
    </row>
    <row r="1276" ht="15.6" spans="4:11">
      <c r="D1276" s="3">
        <v>3057</v>
      </c>
      <c r="E1276" s="3" t="s">
        <v>216</v>
      </c>
      <c r="J1276" s="3" t="s">
        <v>1518</v>
      </c>
      <c r="K1276" s="3" t="s">
        <v>216</v>
      </c>
    </row>
    <row r="1277" ht="15.6" spans="4:11">
      <c r="D1277" s="3">
        <v>3058</v>
      </c>
      <c r="E1277" s="3" t="s">
        <v>216</v>
      </c>
      <c r="J1277" s="3" t="s">
        <v>1519</v>
      </c>
      <c r="K1277" s="3" t="s">
        <v>216</v>
      </c>
    </row>
    <row r="1278" ht="15.6" spans="4:11">
      <c r="D1278" s="3">
        <v>3059</v>
      </c>
      <c r="E1278" s="3" t="s">
        <v>216</v>
      </c>
      <c r="J1278" s="3" t="s">
        <v>1520</v>
      </c>
      <c r="K1278" s="3" t="s">
        <v>216</v>
      </c>
    </row>
    <row r="1279" ht="15.6" spans="4:11">
      <c r="D1279" s="3">
        <v>3060</v>
      </c>
      <c r="E1279" s="3" t="s">
        <v>216</v>
      </c>
      <c r="J1279" s="3" t="s">
        <v>1521</v>
      </c>
      <c r="K1279" s="3" t="s">
        <v>216</v>
      </c>
    </row>
    <row r="1280" ht="15.6" spans="4:11">
      <c r="D1280" s="3">
        <v>3061</v>
      </c>
      <c r="E1280" s="3" t="s">
        <v>216</v>
      </c>
      <c r="J1280" s="3" t="s">
        <v>1522</v>
      </c>
      <c r="K1280" s="3" t="s">
        <v>216</v>
      </c>
    </row>
    <row r="1281" ht="15.6" spans="4:11">
      <c r="D1281" s="3">
        <v>3062</v>
      </c>
      <c r="E1281" s="3" t="s">
        <v>216</v>
      </c>
      <c r="J1281" s="3" t="s">
        <v>1523</v>
      </c>
      <c r="K1281" s="3" t="s">
        <v>216</v>
      </c>
    </row>
    <row r="1282" ht="15.6" spans="4:11">
      <c r="D1282" s="3">
        <v>3064</v>
      </c>
      <c r="E1282" s="3" t="s">
        <v>216</v>
      </c>
      <c r="J1282" s="3" t="s">
        <v>1524</v>
      </c>
      <c r="K1282" s="3" t="s">
        <v>216</v>
      </c>
    </row>
    <row r="1283" ht="15.6" spans="4:11">
      <c r="D1283" s="3">
        <v>3065</v>
      </c>
      <c r="E1283" s="3" t="s">
        <v>216</v>
      </c>
      <c r="J1283" s="3" t="s">
        <v>1525</v>
      </c>
      <c r="K1283" s="3" t="s">
        <v>216</v>
      </c>
    </row>
    <row r="1284" ht="15.6" spans="4:11">
      <c r="D1284" s="3">
        <v>3066</v>
      </c>
      <c r="E1284" s="3" t="s">
        <v>216</v>
      </c>
      <c r="J1284" s="3" t="s">
        <v>1526</v>
      </c>
      <c r="K1284" s="3" t="s">
        <v>216</v>
      </c>
    </row>
    <row r="1285" ht="15.6" spans="4:11">
      <c r="D1285" s="3">
        <v>3067</v>
      </c>
      <c r="E1285" s="3" t="s">
        <v>216</v>
      </c>
      <c r="J1285" s="3" t="s">
        <v>1527</v>
      </c>
      <c r="K1285" s="3" t="s">
        <v>216</v>
      </c>
    </row>
    <row r="1286" ht="15.6" spans="4:11">
      <c r="D1286" s="3">
        <v>3068</v>
      </c>
      <c r="E1286" s="3" t="s">
        <v>216</v>
      </c>
      <c r="J1286" s="3" t="s">
        <v>1528</v>
      </c>
      <c r="K1286" s="3" t="s">
        <v>216</v>
      </c>
    </row>
    <row r="1287" ht="15.6" spans="4:11">
      <c r="D1287" s="3">
        <v>3069</v>
      </c>
      <c r="E1287" s="3" t="s">
        <v>216</v>
      </c>
      <c r="J1287" s="3" t="s">
        <v>1529</v>
      </c>
      <c r="K1287" s="3" t="s">
        <v>216</v>
      </c>
    </row>
    <row r="1288" ht="15.6" spans="4:11">
      <c r="D1288" s="3">
        <v>3070</v>
      </c>
      <c r="E1288" s="3" t="s">
        <v>216</v>
      </c>
      <c r="J1288" s="3" t="s">
        <v>1530</v>
      </c>
      <c r="K1288" s="3" t="s">
        <v>216</v>
      </c>
    </row>
    <row r="1289" ht="15.6" spans="4:11">
      <c r="D1289" s="3">
        <v>3071</v>
      </c>
      <c r="E1289" s="3" t="s">
        <v>216</v>
      </c>
      <c r="J1289" s="3" t="s">
        <v>1531</v>
      </c>
      <c r="K1289" s="3" t="s">
        <v>216</v>
      </c>
    </row>
    <row r="1290" ht="15.6" spans="4:11">
      <c r="D1290" s="3">
        <v>3072</v>
      </c>
      <c r="E1290" s="3" t="s">
        <v>216</v>
      </c>
      <c r="J1290" s="3" t="s">
        <v>1532</v>
      </c>
      <c r="K1290" s="3" t="s">
        <v>216</v>
      </c>
    </row>
    <row r="1291" ht="15.6" spans="4:11">
      <c r="D1291" s="3">
        <v>3073</v>
      </c>
      <c r="E1291" s="3" t="s">
        <v>216</v>
      </c>
      <c r="J1291" s="3" t="s">
        <v>1533</v>
      </c>
      <c r="K1291" s="3" t="s">
        <v>216</v>
      </c>
    </row>
    <row r="1292" ht="15.6" spans="4:11">
      <c r="D1292" s="3">
        <v>3074</v>
      </c>
      <c r="E1292" s="3" t="s">
        <v>216</v>
      </c>
      <c r="J1292" s="3" t="s">
        <v>1534</v>
      </c>
      <c r="K1292" s="3" t="s">
        <v>216</v>
      </c>
    </row>
    <row r="1293" ht="15.6" spans="4:11">
      <c r="D1293" s="3">
        <v>3075</v>
      </c>
      <c r="E1293" s="3" t="s">
        <v>216</v>
      </c>
      <c r="J1293" s="3" t="s">
        <v>1535</v>
      </c>
      <c r="K1293" s="3" t="s">
        <v>216</v>
      </c>
    </row>
    <row r="1294" ht="15.6" spans="4:11">
      <c r="D1294" s="3">
        <v>3076</v>
      </c>
      <c r="E1294" s="3" t="s">
        <v>216</v>
      </c>
      <c r="J1294" s="3" t="s">
        <v>1536</v>
      </c>
      <c r="K1294" s="3" t="s">
        <v>216</v>
      </c>
    </row>
    <row r="1295" ht="15.6" spans="4:11">
      <c r="D1295" s="3">
        <v>3077</v>
      </c>
      <c r="E1295" s="3" t="s">
        <v>216</v>
      </c>
      <c r="J1295" s="3" t="s">
        <v>1537</v>
      </c>
      <c r="K1295" s="3" t="s">
        <v>216</v>
      </c>
    </row>
    <row r="1296" ht="15.6" spans="4:11">
      <c r="D1296" s="3">
        <v>3078</v>
      </c>
      <c r="E1296" s="3" t="s">
        <v>216</v>
      </c>
      <c r="J1296" s="3" t="s">
        <v>1538</v>
      </c>
      <c r="K1296" s="3" t="s">
        <v>216</v>
      </c>
    </row>
    <row r="1297" ht="15.6" spans="4:11">
      <c r="D1297" s="3">
        <v>3079</v>
      </c>
      <c r="E1297" s="3" t="s">
        <v>216</v>
      </c>
      <c r="J1297" s="3" t="s">
        <v>1539</v>
      </c>
      <c r="K1297" s="3" t="s">
        <v>216</v>
      </c>
    </row>
    <row r="1298" ht="15.6" spans="4:11">
      <c r="D1298" s="3">
        <v>3080</v>
      </c>
      <c r="E1298" s="3" t="s">
        <v>216</v>
      </c>
      <c r="J1298" s="3" t="s">
        <v>1540</v>
      </c>
      <c r="K1298" s="3" t="s">
        <v>216</v>
      </c>
    </row>
    <row r="1299" ht="15.6" spans="4:11">
      <c r="D1299" s="3">
        <v>3081</v>
      </c>
      <c r="E1299" s="3" t="s">
        <v>216</v>
      </c>
      <c r="J1299" s="3" t="s">
        <v>1541</v>
      </c>
      <c r="K1299" s="3" t="s">
        <v>216</v>
      </c>
    </row>
    <row r="1300" ht="15.6" spans="4:11">
      <c r="D1300" s="3">
        <v>3082</v>
      </c>
      <c r="E1300" s="3" t="s">
        <v>216</v>
      </c>
      <c r="J1300" s="3" t="s">
        <v>1542</v>
      </c>
      <c r="K1300" s="3" t="s">
        <v>216</v>
      </c>
    </row>
    <row r="1301" ht="15.6" spans="4:11">
      <c r="D1301" s="3">
        <v>3083</v>
      </c>
      <c r="E1301" s="3" t="s">
        <v>216</v>
      </c>
      <c r="J1301" s="3" t="s">
        <v>1543</v>
      </c>
      <c r="K1301" s="3" t="s">
        <v>216</v>
      </c>
    </row>
    <row r="1302" ht="15.6" spans="4:11">
      <c r="D1302" s="3">
        <v>3084</v>
      </c>
      <c r="E1302" s="3" t="s">
        <v>216</v>
      </c>
      <c r="J1302" s="3" t="s">
        <v>1544</v>
      </c>
      <c r="K1302" s="3" t="s">
        <v>216</v>
      </c>
    </row>
    <row r="1303" ht="15.6" spans="4:11">
      <c r="D1303" s="3">
        <v>3085</v>
      </c>
      <c r="E1303" s="3" t="s">
        <v>216</v>
      </c>
      <c r="J1303" s="3" t="s">
        <v>1545</v>
      </c>
      <c r="K1303" s="3" t="s">
        <v>216</v>
      </c>
    </row>
    <row r="1304" ht="15.6" spans="4:11">
      <c r="D1304" s="3">
        <v>3086</v>
      </c>
      <c r="E1304" s="3" t="s">
        <v>216</v>
      </c>
      <c r="J1304" s="3" t="s">
        <v>1546</v>
      </c>
      <c r="K1304" s="3" t="s">
        <v>216</v>
      </c>
    </row>
    <row r="1305" ht="15.6" spans="4:11">
      <c r="D1305" s="3">
        <v>3087</v>
      </c>
      <c r="E1305" s="3" t="s">
        <v>216</v>
      </c>
      <c r="J1305" s="3" t="s">
        <v>1547</v>
      </c>
      <c r="K1305" s="3" t="s">
        <v>216</v>
      </c>
    </row>
    <row r="1306" ht="15.6" spans="4:11">
      <c r="D1306" s="3">
        <v>3088</v>
      </c>
      <c r="E1306" s="3" t="s">
        <v>216</v>
      </c>
      <c r="J1306" s="3" t="s">
        <v>1548</v>
      </c>
      <c r="K1306" s="3" t="s">
        <v>216</v>
      </c>
    </row>
    <row r="1307" ht="15.6" spans="4:11">
      <c r="D1307" s="3">
        <v>3089</v>
      </c>
      <c r="E1307" s="3" t="s">
        <v>216</v>
      </c>
      <c r="J1307" s="3" t="s">
        <v>1549</v>
      </c>
      <c r="K1307" s="3" t="s">
        <v>216</v>
      </c>
    </row>
    <row r="1308" ht="15.6" spans="4:11">
      <c r="D1308" s="3">
        <v>3090</v>
      </c>
      <c r="E1308" s="3" t="s">
        <v>216</v>
      </c>
      <c r="J1308" s="3" t="s">
        <v>1550</v>
      </c>
      <c r="K1308" s="3" t="s">
        <v>216</v>
      </c>
    </row>
    <row r="1309" ht="15.6" spans="4:11">
      <c r="D1309" s="3">
        <v>3091</v>
      </c>
      <c r="E1309" s="3" t="s">
        <v>216</v>
      </c>
      <c r="J1309" s="3" t="s">
        <v>1551</v>
      </c>
      <c r="K1309" s="3" t="s">
        <v>216</v>
      </c>
    </row>
    <row r="1310" ht="15.6" spans="4:11">
      <c r="D1310" s="3">
        <v>3092</v>
      </c>
      <c r="E1310" s="3" t="s">
        <v>216</v>
      </c>
      <c r="J1310" s="3" t="s">
        <v>1552</v>
      </c>
      <c r="K1310" s="3" t="s">
        <v>216</v>
      </c>
    </row>
    <row r="1311" ht="15.6" spans="4:11">
      <c r="D1311" s="3">
        <v>3093</v>
      </c>
      <c r="E1311" s="3" t="s">
        <v>216</v>
      </c>
      <c r="J1311" s="3" t="s">
        <v>1553</v>
      </c>
      <c r="K1311" s="3" t="s">
        <v>216</v>
      </c>
    </row>
    <row r="1312" ht="15.6" spans="4:11">
      <c r="D1312" s="3">
        <v>3094</v>
      </c>
      <c r="E1312" s="3" t="s">
        <v>216</v>
      </c>
      <c r="J1312" s="3" t="s">
        <v>1554</v>
      </c>
      <c r="K1312" s="3" t="s">
        <v>216</v>
      </c>
    </row>
    <row r="1313" ht="15.6" spans="4:11">
      <c r="D1313" s="3">
        <v>3095</v>
      </c>
      <c r="E1313" s="3" t="s">
        <v>216</v>
      </c>
      <c r="J1313" s="3" t="s">
        <v>1555</v>
      </c>
      <c r="K1313" s="3" t="s">
        <v>216</v>
      </c>
    </row>
    <row r="1314" ht="15.6" spans="4:11">
      <c r="D1314" s="3">
        <v>3096</v>
      </c>
      <c r="E1314" s="3" t="s">
        <v>216</v>
      </c>
      <c r="J1314" s="3" t="s">
        <v>1556</v>
      </c>
      <c r="K1314" s="3" t="s">
        <v>216</v>
      </c>
    </row>
    <row r="1315" ht="15.6" spans="4:11">
      <c r="D1315" s="3">
        <v>3097</v>
      </c>
      <c r="E1315" s="3" t="s">
        <v>216</v>
      </c>
      <c r="J1315" s="3" t="s">
        <v>1557</v>
      </c>
      <c r="K1315" s="3" t="s">
        <v>216</v>
      </c>
    </row>
    <row r="1316" ht="15.6" spans="4:11">
      <c r="D1316" s="3">
        <v>3098</v>
      </c>
      <c r="E1316" s="3" t="s">
        <v>216</v>
      </c>
      <c r="J1316" s="3" t="s">
        <v>1558</v>
      </c>
      <c r="K1316" s="3" t="s">
        <v>216</v>
      </c>
    </row>
    <row r="1317" ht="15.6" spans="4:11">
      <c r="D1317" s="3">
        <v>3101</v>
      </c>
      <c r="E1317" s="3" t="s">
        <v>216</v>
      </c>
      <c r="J1317" s="3" t="s">
        <v>1559</v>
      </c>
      <c r="K1317" s="3" t="s">
        <v>216</v>
      </c>
    </row>
    <row r="1318" ht="15.6" spans="4:11">
      <c r="D1318" s="3">
        <v>3102</v>
      </c>
      <c r="E1318" s="3" t="s">
        <v>216</v>
      </c>
      <c r="J1318" s="3" t="s">
        <v>1560</v>
      </c>
      <c r="K1318" s="3" t="s">
        <v>216</v>
      </c>
    </row>
    <row r="1319" ht="15.6" spans="4:11">
      <c r="D1319" s="3">
        <v>3103</v>
      </c>
      <c r="E1319" s="3" t="s">
        <v>216</v>
      </c>
      <c r="J1319" s="3" t="s">
        <v>1561</v>
      </c>
      <c r="K1319" s="3" t="s">
        <v>216</v>
      </c>
    </row>
    <row r="1320" ht="15.6" spans="4:11">
      <c r="D1320" s="3">
        <v>3104</v>
      </c>
      <c r="E1320" s="3" t="s">
        <v>216</v>
      </c>
      <c r="J1320" s="3" t="s">
        <v>1562</v>
      </c>
      <c r="K1320" s="3" t="s">
        <v>216</v>
      </c>
    </row>
    <row r="1321" ht="15.6" spans="4:11">
      <c r="D1321" s="3">
        <v>3105</v>
      </c>
      <c r="E1321" s="3" t="s">
        <v>216</v>
      </c>
      <c r="J1321" s="3" t="s">
        <v>1563</v>
      </c>
      <c r="K1321" s="3" t="s">
        <v>216</v>
      </c>
    </row>
    <row r="1322" ht="15.6" spans="4:11">
      <c r="D1322" s="3">
        <v>3106</v>
      </c>
      <c r="E1322" s="3" t="s">
        <v>216</v>
      </c>
      <c r="J1322" s="3" t="s">
        <v>1564</v>
      </c>
      <c r="K1322" s="3" t="s">
        <v>216</v>
      </c>
    </row>
    <row r="1323" ht="15.6" spans="4:11">
      <c r="D1323" s="3">
        <v>3107</v>
      </c>
      <c r="E1323" s="3" t="s">
        <v>216</v>
      </c>
      <c r="J1323" s="3" t="s">
        <v>1565</v>
      </c>
      <c r="K1323" s="3" t="s">
        <v>216</v>
      </c>
    </row>
    <row r="1324" ht="15.6" spans="4:11">
      <c r="D1324" s="3">
        <v>3108</v>
      </c>
      <c r="E1324" s="3" t="s">
        <v>216</v>
      </c>
      <c r="J1324" s="3" t="s">
        <v>1566</v>
      </c>
      <c r="K1324" s="3" t="s">
        <v>216</v>
      </c>
    </row>
    <row r="1325" ht="15.6" spans="4:11">
      <c r="D1325" s="3">
        <v>3109</v>
      </c>
      <c r="E1325" s="3" t="s">
        <v>216</v>
      </c>
      <c r="J1325" s="3" t="s">
        <v>1567</v>
      </c>
      <c r="K1325" s="3" t="s">
        <v>216</v>
      </c>
    </row>
    <row r="1326" ht="15.6" spans="4:11">
      <c r="D1326" s="3">
        <v>3110</v>
      </c>
      <c r="E1326" s="3" t="s">
        <v>216</v>
      </c>
      <c r="J1326" s="3" t="s">
        <v>1568</v>
      </c>
      <c r="K1326" s="3" t="s">
        <v>216</v>
      </c>
    </row>
    <row r="1327" ht="15.6" spans="4:11">
      <c r="D1327" s="3">
        <v>3111</v>
      </c>
      <c r="E1327" s="3" t="s">
        <v>216</v>
      </c>
      <c r="J1327" s="3" t="s">
        <v>1569</v>
      </c>
      <c r="K1327" s="3" t="s">
        <v>216</v>
      </c>
    </row>
    <row r="1328" ht="15.6" spans="4:11">
      <c r="D1328" s="3">
        <v>3112</v>
      </c>
      <c r="E1328" s="3" t="s">
        <v>216</v>
      </c>
      <c r="J1328" s="3" t="s">
        <v>1570</v>
      </c>
      <c r="K1328" s="3" t="s">
        <v>216</v>
      </c>
    </row>
    <row r="1329" ht="15.6" spans="4:11">
      <c r="D1329" s="3">
        <v>3113</v>
      </c>
      <c r="E1329" s="3" t="s">
        <v>216</v>
      </c>
      <c r="J1329" s="3" t="s">
        <v>1571</v>
      </c>
      <c r="K1329" s="3" t="s">
        <v>216</v>
      </c>
    </row>
    <row r="1330" ht="15.6" spans="4:11">
      <c r="D1330" s="3">
        <v>3114</v>
      </c>
      <c r="E1330" s="3" t="s">
        <v>216</v>
      </c>
      <c r="J1330" s="3" t="s">
        <v>1572</v>
      </c>
      <c r="K1330" s="3" t="s">
        <v>216</v>
      </c>
    </row>
    <row r="1331" ht="15.6" spans="4:11">
      <c r="D1331" s="3">
        <v>3115</v>
      </c>
      <c r="E1331" s="3" t="s">
        <v>216</v>
      </c>
      <c r="J1331" s="3" t="s">
        <v>1573</v>
      </c>
      <c r="K1331" s="3" t="s">
        <v>216</v>
      </c>
    </row>
    <row r="1332" ht="15.6" spans="4:11">
      <c r="D1332" s="3">
        <v>3116</v>
      </c>
      <c r="E1332" s="3" t="s">
        <v>216</v>
      </c>
      <c r="J1332" s="3" t="s">
        <v>1574</v>
      </c>
      <c r="K1332" s="3" t="s">
        <v>216</v>
      </c>
    </row>
    <row r="1333" ht="15.6" spans="4:11">
      <c r="D1333" s="3">
        <v>3117</v>
      </c>
      <c r="E1333" s="3" t="s">
        <v>216</v>
      </c>
      <c r="J1333" s="3" t="s">
        <v>1575</v>
      </c>
      <c r="K1333" s="3" t="s">
        <v>216</v>
      </c>
    </row>
    <row r="1334" ht="15.6" spans="4:11">
      <c r="D1334" s="3">
        <v>3118</v>
      </c>
      <c r="E1334" s="3" t="s">
        <v>216</v>
      </c>
      <c r="J1334" s="3" t="s">
        <v>1576</v>
      </c>
      <c r="K1334" s="3" t="s">
        <v>216</v>
      </c>
    </row>
    <row r="1335" ht="15.6" spans="4:11">
      <c r="D1335" s="3">
        <v>3119</v>
      </c>
      <c r="E1335" s="3" t="s">
        <v>216</v>
      </c>
      <c r="J1335" s="3" t="s">
        <v>1577</v>
      </c>
      <c r="K1335" s="3" t="s">
        <v>216</v>
      </c>
    </row>
    <row r="1336" ht="15.6" spans="4:11">
      <c r="D1336" s="3">
        <v>3120</v>
      </c>
      <c r="E1336" s="3" t="s">
        <v>216</v>
      </c>
      <c r="J1336" s="3" t="s">
        <v>1578</v>
      </c>
      <c r="K1336" s="3" t="s">
        <v>216</v>
      </c>
    </row>
    <row r="1337" ht="15.6" spans="4:11">
      <c r="D1337" s="3">
        <v>3121</v>
      </c>
      <c r="E1337" s="3" t="s">
        <v>216</v>
      </c>
      <c r="J1337" s="3" t="s">
        <v>1579</v>
      </c>
      <c r="K1337" s="3" t="s">
        <v>216</v>
      </c>
    </row>
    <row r="1338" ht="15.6" spans="4:11">
      <c r="D1338" s="3">
        <v>3122</v>
      </c>
      <c r="E1338" s="3" t="s">
        <v>216</v>
      </c>
      <c r="J1338" s="3" t="s">
        <v>1580</v>
      </c>
      <c r="K1338" s="3" t="s">
        <v>216</v>
      </c>
    </row>
    <row r="1339" ht="15.6" spans="4:11">
      <c r="D1339" s="3">
        <v>3123</v>
      </c>
      <c r="E1339" s="3" t="s">
        <v>216</v>
      </c>
      <c r="J1339" s="3" t="s">
        <v>1581</v>
      </c>
      <c r="K1339" s="3" t="s">
        <v>216</v>
      </c>
    </row>
    <row r="1340" ht="15.6" spans="4:11">
      <c r="D1340" s="3">
        <v>3124</v>
      </c>
      <c r="E1340" s="3" t="s">
        <v>216</v>
      </c>
      <c r="J1340" s="3" t="s">
        <v>1582</v>
      </c>
      <c r="K1340" s="3" t="s">
        <v>216</v>
      </c>
    </row>
    <row r="1341" ht="15.6" spans="4:11">
      <c r="D1341" s="3">
        <v>3125</v>
      </c>
      <c r="E1341" s="3" t="s">
        <v>216</v>
      </c>
      <c r="J1341" s="3" t="s">
        <v>1583</v>
      </c>
      <c r="K1341" s="3" t="s">
        <v>216</v>
      </c>
    </row>
    <row r="1342" ht="15.6" spans="4:11">
      <c r="D1342" s="3">
        <v>3126</v>
      </c>
      <c r="E1342" s="3" t="s">
        <v>216</v>
      </c>
      <c r="J1342" s="3" t="s">
        <v>1584</v>
      </c>
      <c r="K1342" s="3" t="s">
        <v>216</v>
      </c>
    </row>
    <row r="1343" ht="15.6" spans="4:11">
      <c r="D1343" s="3">
        <v>3127</v>
      </c>
      <c r="E1343" s="3" t="s">
        <v>216</v>
      </c>
      <c r="J1343" s="3" t="s">
        <v>1585</v>
      </c>
      <c r="K1343" s="3" t="s">
        <v>216</v>
      </c>
    </row>
    <row r="1344" ht="15.6" spans="4:11">
      <c r="D1344" s="3">
        <v>3128</v>
      </c>
      <c r="E1344" s="3" t="s">
        <v>216</v>
      </c>
      <c r="J1344" s="3" t="s">
        <v>1586</v>
      </c>
      <c r="K1344" s="3" t="s">
        <v>216</v>
      </c>
    </row>
    <row r="1345" ht="15.6" spans="4:11">
      <c r="D1345" s="3">
        <v>3129</v>
      </c>
      <c r="E1345" s="3" t="s">
        <v>216</v>
      </c>
      <c r="J1345" s="3" t="s">
        <v>1587</v>
      </c>
      <c r="K1345" s="3" t="s">
        <v>216</v>
      </c>
    </row>
    <row r="1346" ht="15.6" spans="4:11">
      <c r="D1346" s="3">
        <v>3130</v>
      </c>
      <c r="E1346" s="3" t="s">
        <v>216</v>
      </c>
      <c r="J1346" s="3" t="s">
        <v>1588</v>
      </c>
      <c r="K1346" s="3" t="s">
        <v>216</v>
      </c>
    </row>
    <row r="1347" ht="15.6" spans="4:11">
      <c r="D1347" s="3">
        <v>3131</v>
      </c>
      <c r="E1347" s="3" t="s">
        <v>216</v>
      </c>
      <c r="J1347" s="3" t="s">
        <v>1589</v>
      </c>
      <c r="K1347" s="3" t="s">
        <v>216</v>
      </c>
    </row>
    <row r="1348" ht="15.6" spans="4:11">
      <c r="D1348" s="3">
        <v>3132</v>
      </c>
      <c r="E1348" s="3" t="s">
        <v>216</v>
      </c>
      <c r="J1348" s="3" t="s">
        <v>1590</v>
      </c>
      <c r="K1348" s="3" t="s">
        <v>216</v>
      </c>
    </row>
    <row r="1349" ht="15.6" spans="4:11">
      <c r="D1349" s="3">
        <v>3133</v>
      </c>
      <c r="E1349" s="3" t="s">
        <v>216</v>
      </c>
      <c r="J1349" s="3" t="s">
        <v>1591</v>
      </c>
      <c r="K1349" s="3" t="s">
        <v>216</v>
      </c>
    </row>
    <row r="1350" ht="15.6" spans="4:11">
      <c r="D1350" s="3">
        <v>3134</v>
      </c>
      <c r="E1350" s="3" t="s">
        <v>216</v>
      </c>
      <c r="J1350" s="3" t="s">
        <v>1592</v>
      </c>
      <c r="K1350" s="3" t="s">
        <v>216</v>
      </c>
    </row>
    <row r="1351" ht="15.6" spans="4:11">
      <c r="D1351" s="3">
        <v>3135</v>
      </c>
      <c r="E1351" s="3" t="s">
        <v>216</v>
      </c>
      <c r="J1351" s="3" t="s">
        <v>1593</v>
      </c>
      <c r="K1351" s="3" t="s">
        <v>216</v>
      </c>
    </row>
    <row r="1352" ht="15.6" spans="4:11">
      <c r="D1352" s="3">
        <v>3136</v>
      </c>
      <c r="E1352" s="3" t="s">
        <v>216</v>
      </c>
      <c r="J1352" s="3" t="s">
        <v>1594</v>
      </c>
      <c r="K1352" s="3" t="s">
        <v>216</v>
      </c>
    </row>
    <row r="1353" ht="15.6" spans="4:11">
      <c r="D1353" s="3">
        <v>3137</v>
      </c>
      <c r="E1353" s="3" t="s">
        <v>216</v>
      </c>
      <c r="J1353" s="3" t="s">
        <v>1595</v>
      </c>
      <c r="K1353" s="3" t="s">
        <v>216</v>
      </c>
    </row>
    <row r="1354" ht="15.6" spans="4:11">
      <c r="D1354" s="3">
        <v>3138</v>
      </c>
      <c r="E1354" s="3" t="s">
        <v>216</v>
      </c>
      <c r="J1354" s="3" t="s">
        <v>1596</v>
      </c>
      <c r="K1354" s="3" t="s">
        <v>216</v>
      </c>
    </row>
    <row r="1355" ht="15.6" spans="4:11">
      <c r="D1355" s="3">
        <v>3140</v>
      </c>
      <c r="E1355" s="3" t="s">
        <v>216</v>
      </c>
      <c r="J1355" s="3" t="s">
        <v>1597</v>
      </c>
      <c r="K1355" s="3" t="s">
        <v>216</v>
      </c>
    </row>
    <row r="1356" ht="15.6" spans="4:11">
      <c r="D1356" s="3">
        <v>3141</v>
      </c>
      <c r="E1356" s="3" t="s">
        <v>216</v>
      </c>
      <c r="J1356" s="3" t="s">
        <v>1598</v>
      </c>
      <c r="K1356" s="3" t="s">
        <v>216</v>
      </c>
    </row>
    <row r="1357" ht="15.6" spans="4:11">
      <c r="D1357" s="3">
        <v>3142</v>
      </c>
      <c r="E1357" s="3" t="s">
        <v>216</v>
      </c>
      <c r="J1357" s="3" t="s">
        <v>1599</v>
      </c>
      <c r="K1357" s="3" t="s">
        <v>216</v>
      </c>
    </row>
    <row r="1358" ht="15.6" spans="4:11">
      <c r="D1358" s="3">
        <v>3143</v>
      </c>
      <c r="E1358" s="3" t="s">
        <v>216</v>
      </c>
      <c r="J1358" s="3" t="s">
        <v>1600</v>
      </c>
      <c r="K1358" s="3" t="s">
        <v>216</v>
      </c>
    </row>
    <row r="1359" ht="15.6" spans="4:11">
      <c r="D1359" s="3">
        <v>3144</v>
      </c>
      <c r="E1359" s="3" t="s">
        <v>216</v>
      </c>
      <c r="J1359" s="3" t="s">
        <v>1601</v>
      </c>
      <c r="K1359" s="3" t="s">
        <v>216</v>
      </c>
    </row>
    <row r="1360" ht="15.6" spans="4:11">
      <c r="D1360" s="3">
        <v>3145</v>
      </c>
      <c r="E1360" s="3" t="s">
        <v>216</v>
      </c>
      <c r="J1360" s="3" t="s">
        <v>1602</v>
      </c>
      <c r="K1360" s="3" t="s">
        <v>216</v>
      </c>
    </row>
    <row r="1361" ht="15.6" spans="4:11">
      <c r="D1361" s="3">
        <v>3146</v>
      </c>
      <c r="E1361" s="3" t="s">
        <v>216</v>
      </c>
      <c r="J1361" s="3" t="s">
        <v>1603</v>
      </c>
      <c r="K1361" s="3" t="s">
        <v>216</v>
      </c>
    </row>
    <row r="1362" ht="15.6" spans="4:11">
      <c r="D1362" s="3">
        <v>3147</v>
      </c>
      <c r="E1362" s="3" t="s">
        <v>216</v>
      </c>
      <c r="J1362" s="3" t="s">
        <v>1604</v>
      </c>
      <c r="K1362" s="3" t="s">
        <v>216</v>
      </c>
    </row>
    <row r="1363" ht="15.6" spans="4:11">
      <c r="D1363" s="3">
        <v>3148</v>
      </c>
      <c r="E1363" s="3" t="s">
        <v>216</v>
      </c>
      <c r="J1363" s="3" t="s">
        <v>1605</v>
      </c>
      <c r="K1363" s="3" t="s">
        <v>216</v>
      </c>
    </row>
    <row r="1364" ht="15.6" spans="4:11">
      <c r="D1364" s="3">
        <v>3149</v>
      </c>
      <c r="E1364" s="3" t="s">
        <v>216</v>
      </c>
      <c r="J1364" s="3" t="s">
        <v>1606</v>
      </c>
      <c r="K1364" s="3" t="s">
        <v>216</v>
      </c>
    </row>
    <row r="1365" ht="15.6" spans="4:11">
      <c r="D1365" s="3">
        <v>3150</v>
      </c>
      <c r="E1365" s="3" t="s">
        <v>216</v>
      </c>
      <c r="J1365" s="3" t="s">
        <v>1607</v>
      </c>
      <c r="K1365" s="3" t="s">
        <v>216</v>
      </c>
    </row>
    <row r="1366" ht="15.6" spans="4:11">
      <c r="D1366" s="3">
        <v>3151</v>
      </c>
      <c r="E1366" s="3" t="s">
        <v>216</v>
      </c>
      <c r="J1366" s="3" t="s">
        <v>1608</v>
      </c>
      <c r="K1366" s="3" t="s">
        <v>216</v>
      </c>
    </row>
    <row r="1367" ht="15.6" spans="4:11">
      <c r="D1367" s="3">
        <v>3152</v>
      </c>
      <c r="E1367" s="3" t="s">
        <v>216</v>
      </c>
      <c r="J1367" s="3" t="s">
        <v>1609</v>
      </c>
      <c r="K1367" s="3" t="s">
        <v>216</v>
      </c>
    </row>
    <row r="1368" ht="15.6" spans="4:11">
      <c r="D1368" s="3">
        <v>3153</v>
      </c>
      <c r="E1368" s="3" t="s">
        <v>216</v>
      </c>
      <c r="J1368" s="3" t="s">
        <v>1610</v>
      </c>
      <c r="K1368" s="3" t="s">
        <v>216</v>
      </c>
    </row>
    <row r="1369" ht="15.6" spans="4:11">
      <c r="D1369" s="3">
        <v>3154</v>
      </c>
      <c r="E1369" s="3" t="s">
        <v>216</v>
      </c>
      <c r="J1369" s="3" t="s">
        <v>1611</v>
      </c>
      <c r="K1369" s="3" t="s">
        <v>216</v>
      </c>
    </row>
    <row r="1370" ht="15.6" spans="4:11">
      <c r="D1370" s="3">
        <v>3155</v>
      </c>
      <c r="E1370" s="3" t="s">
        <v>216</v>
      </c>
      <c r="J1370" s="3" t="s">
        <v>1612</v>
      </c>
      <c r="K1370" s="3" t="s">
        <v>216</v>
      </c>
    </row>
    <row r="1371" ht="15.6" spans="4:11">
      <c r="D1371" s="3">
        <v>3156</v>
      </c>
      <c r="E1371" s="3" t="s">
        <v>216</v>
      </c>
      <c r="J1371" s="3" t="s">
        <v>1613</v>
      </c>
      <c r="K1371" s="3" t="s">
        <v>216</v>
      </c>
    </row>
    <row r="1372" ht="15.6" spans="4:11">
      <c r="D1372" s="3">
        <v>3157</v>
      </c>
      <c r="E1372" s="3" t="s">
        <v>216</v>
      </c>
      <c r="J1372" s="3" t="s">
        <v>1614</v>
      </c>
      <c r="K1372" s="3" t="s">
        <v>216</v>
      </c>
    </row>
    <row r="1373" ht="15.6" spans="4:11">
      <c r="D1373" s="3">
        <v>3158</v>
      </c>
      <c r="E1373" s="3" t="s">
        <v>216</v>
      </c>
      <c r="J1373" s="3" t="s">
        <v>1615</v>
      </c>
      <c r="K1373" s="3" t="s">
        <v>216</v>
      </c>
    </row>
    <row r="1374" ht="15.6" spans="4:11">
      <c r="D1374" s="3">
        <v>3159</v>
      </c>
      <c r="E1374" s="3" t="s">
        <v>216</v>
      </c>
      <c r="J1374" s="3" t="s">
        <v>1616</v>
      </c>
      <c r="K1374" s="3" t="s">
        <v>216</v>
      </c>
    </row>
    <row r="1375" ht="15.6" spans="4:11">
      <c r="D1375" s="3">
        <v>3160</v>
      </c>
      <c r="E1375" s="3" t="s">
        <v>216</v>
      </c>
      <c r="J1375" s="3" t="s">
        <v>1617</v>
      </c>
      <c r="K1375" s="3" t="s">
        <v>216</v>
      </c>
    </row>
    <row r="1376" ht="15.6" spans="4:11">
      <c r="D1376" s="3">
        <v>3161</v>
      </c>
      <c r="E1376" s="3" t="s">
        <v>216</v>
      </c>
      <c r="J1376" s="3" t="s">
        <v>1618</v>
      </c>
      <c r="K1376" s="3" t="s">
        <v>216</v>
      </c>
    </row>
    <row r="1377" ht="15.6" spans="4:11">
      <c r="D1377" s="3">
        <v>3162</v>
      </c>
      <c r="E1377" s="3" t="s">
        <v>216</v>
      </c>
      <c r="J1377" s="3" t="s">
        <v>1619</v>
      </c>
      <c r="K1377" s="3" t="s">
        <v>216</v>
      </c>
    </row>
    <row r="1378" ht="15.6" spans="4:11">
      <c r="D1378" s="3">
        <v>3163</v>
      </c>
      <c r="E1378" s="3" t="s">
        <v>216</v>
      </c>
      <c r="J1378" s="3" t="s">
        <v>1620</v>
      </c>
      <c r="K1378" s="3" t="s">
        <v>216</v>
      </c>
    </row>
    <row r="1379" ht="15.6" spans="4:11">
      <c r="D1379" s="3">
        <v>3164</v>
      </c>
      <c r="E1379" s="3" t="s">
        <v>216</v>
      </c>
      <c r="J1379" s="3" t="s">
        <v>1621</v>
      </c>
      <c r="K1379" s="3" t="s">
        <v>216</v>
      </c>
    </row>
    <row r="1380" ht="15.6" spans="4:11">
      <c r="D1380" s="3">
        <v>3165</v>
      </c>
      <c r="E1380" s="3" t="s">
        <v>216</v>
      </c>
      <c r="J1380" s="3" t="s">
        <v>1622</v>
      </c>
      <c r="K1380" s="3" t="s">
        <v>216</v>
      </c>
    </row>
    <row r="1381" ht="15.6" spans="4:11">
      <c r="D1381" s="3">
        <v>3166</v>
      </c>
      <c r="E1381" s="3" t="s">
        <v>216</v>
      </c>
      <c r="J1381" s="3" t="s">
        <v>1623</v>
      </c>
      <c r="K1381" s="3" t="s">
        <v>216</v>
      </c>
    </row>
    <row r="1382" ht="15.6" spans="4:11">
      <c r="D1382" s="3">
        <v>3167</v>
      </c>
      <c r="E1382" s="3" t="s">
        <v>216</v>
      </c>
      <c r="J1382" s="3" t="s">
        <v>1624</v>
      </c>
      <c r="K1382" s="3" t="s">
        <v>216</v>
      </c>
    </row>
    <row r="1383" ht="15.6" spans="4:11">
      <c r="D1383" s="3">
        <v>3168</v>
      </c>
      <c r="E1383" s="3" t="s">
        <v>216</v>
      </c>
      <c r="J1383" s="3" t="s">
        <v>1625</v>
      </c>
      <c r="K1383" s="3" t="s">
        <v>216</v>
      </c>
    </row>
    <row r="1384" ht="15.6" spans="4:11">
      <c r="D1384" s="3">
        <v>3169</v>
      </c>
      <c r="E1384" s="3" t="s">
        <v>216</v>
      </c>
      <c r="J1384" s="3" t="s">
        <v>1626</v>
      </c>
      <c r="K1384" s="3" t="s">
        <v>216</v>
      </c>
    </row>
    <row r="1385" ht="15.6" spans="4:11">
      <c r="D1385" s="3">
        <v>3170</v>
      </c>
      <c r="E1385" s="3" t="s">
        <v>216</v>
      </c>
      <c r="J1385" s="3" t="s">
        <v>1627</v>
      </c>
      <c r="K1385" s="3" t="s">
        <v>216</v>
      </c>
    </row>
    <row r="1386" ht="15.6" spans="4:11">
      <c r="D1386" s="3">
        <v>3171</v>
      </c>
      <c r="E1386" s="3" t="s">
        <v>216</v>
      </c>
      <c r="J1386" s="3" t="s">
        <v>1628</v>
      </c>
      <c r="K1386" s="3" t="s">
        <v>216</v>
      </c>
    </row>
    <row r="1387" ht="15.6" spans="4:11">
      <c r="D1387" s="3">
        <v>3172</v>
      </c>
      <c r="E1387" s="3" t="s">
        <v>216</v>
      </c>
      <c r="J1387" s="3" t="s">
        <v>1629</v>
      </c>
      <c r="K1387" s="3" t="s">
        <v>216</v>
      </c>
    </row>
    <row r="1388" ht="15.6" spans="4:11">
      <c r="D1388" s="3">
        <v>3173</v>
      </c>
      <c r="E1388" s="3" t="s">
        <v>216</v>
      </c>
      <c r="J1388" s="3" t="s">
        <v>1630</v>
      </c>
      <c r="K1388" s="3" t="s">
        <v>216</v>
      </c>
    </row>
    <row r="1389" ht="15.6" spans="4:11">
      <c r="D1389" s="3">
        <v>3174</v>
      </c>
      <c r="E1389" s="3" t="s">
        <v>216</v>
      </c>
      <c r="J1389" s="3" t="s">
        <v>1631</v>
      </c>
      <c r="K1389" s="3" t="s">
        <v>216</v>
      </c>
    </row>
    <row r="1390" ht="15.6" spans="4:11">
      <c r="D1390" s="3">
        <v>3175</v>
      </c>
      <c r="E1390" s="3" t="s">
        <v>216</v>
      </c>
      <c r="J1390" s="3" t="s">
        <v>1632</v>
      </c>
      <c r="K1390" s="3" t="s">
        <v>216</v>
      </c>
    </row>
    <row r="1391" ht="15.6" spans="4:11">
      <c r="D1391" s="3">
        <v>3176</v>
      </c>
      <c r="E1391" s="3" t="s">
        <v>216</v>
      </c>
      <c r="J1391" s="3" t="s">
        <v>1633</v>
      </c>
      <c r="K1391" s="3" t="s">
        <v>216</v>
      </c>
    </row>
    <row r="1392" ht="15.6" spans="4:11">
      <c r="D1392" s="3">
        <v>3177</v>
      </c>
      <c r="E1392" s="3" t="s">
        <v>216</v>
      </c>
      <c r="J1392" s="3" t="s">
        <v>1634</v>
      </c>
      <c r="K1392" s="3" t="s">
        <v>216</v>
      </c>
    </row>
    <row r="1393" ht="15.6" spans="4:11">
      <c r="D1393" s="3">
        <v>3178</v>
      </c>
      <c r="E1393" s="3" t="s">
        <v>216</v>
      </c>
      <c r="J1393" s="3" t="s">
        <v>1635</v>
      </c>
      <c r="K1393" s="3" t="s">
        <v>216</v>
      </c>
    </row>
    <row r="1394" ht="15.6" spans="4:11">
      <c r="D1394" s="3">
        <v>3179</v>
      </c>
      <c r="E1394" s="3" t="s">
        <v>216</v>
      </c>
      <c r="J1394" s="3" t="s">
        <v>1636</v>
      </c>
      <c r="K1394" s="3" t="s">
        <v>216</v>
      </c>
    </row>
    <row r="1395" ht="15.6" spans="4:11">
      <c r="D1395" s="3">
        <v>3180</v>
      </c>
      <c r="E1395" s="3" t="s">
        <v>216</v>
      </c>
      <c r="J1395" s="3" t="s">
        <v>1637</v>
      </c>
      <c r="K1395" s="3" t="s">
        <v>216</v>
      </c>
    </row>
    <row r="1396" ht="15.6" spans="4:11">
      <c r="D1396" s="3">
        <v>3181</v>
      </c>
      <c r="E1396" s="3" t="s">
        <v>216</v>
      </c>
      <c r="J1396" s="3" t="s">
        <v>1638</v>
      </c>
      <c r="K1396" s="3" t="s">
        <v>216</v>
      </c>
    </row>
    <row r="1397" ht="15.6" spans="4:11">
      <c r="D1397" s="3">
        <v>3182</v>
      </c>
      <c r="E1397" s="3" t="s">
        <v>216</v>
      </c>
      <c r="J1397" s="3" t="s">
        <v>1639</v>
      </c>
      <c r="K1397" s="3" t="s">
        <v>216</v>
      </c>
    </row>
    <row r="1398" ht="15.6" spans="4:11">
      <c r="D1398" s="3">
        <v>3183</v>
      </c>
      <c r="E1398" s="3" t="s">
        <v>216</v>
      </c>
      <c r="J1398" s="3" t="s">
        <v>1640</v>
      </c>
      <c r="K1398" s="3" t="s">
        <v>216</v>
      </c>
    </row>
    <row r="1399" ht="15.6" spans="4:11">
      <c r="D1399" s="3">
        <v>3184</v>
      </c>
      <c r="E1399" s="3" t="s">
        <v>216</v>
      </c>
      <c r="J1399" s="3" t="s">
        <v>1641</v>
      </c>
      <c r="K1399" s="3" t="s">
        <v>216</v>
      </c>
    </row>
    <row r="1400" ht="15.6" spans="4:11">
      <c r="D1400" s="3">
        <v>3185</v>
      </c>
      <c r="E1400" s="3" t="s">
        <v>216</v>
      </c>
      <c r="J1400" s="3" t="s">
        <v>1642</v>
      </c>
      <c r="K1400" s="3" t="s">
        <v>216</v>
      </c>
    </row>
    <row r="1401" ht="15.6" spans="4:11">
      <c r="D1401" s="3">
        <v>3186</v>
      </c>
      <c r="E1401" s="3" t="s">
        <v>216</v>
      </c>
      <c r="J1401" s="3" t="s">
        <v>1643</v>
      </c>
      <c r="K1401" s="3" t="s">
        <v>216</v>
      </c>
    </row>
    <row r="1402" ht="15.6" spans="4:11">
      <c r="D1402" s="3">
        <v>3187</v>
      </c>
      <c r="E1402" s="3" t="s">
        <v>216</v>
      </c>
      <c r="J1402" s="3" t="s">
        <v>1644</v>
      </c>
      <c r="K1402" s="3" t="s">
        <v>216</v>
      </c>
    </row>
    <row r="1403" ht="15.6" spans="4:11">
      <c r="D1403" s="3">
        <v>3188</v>
      </c>
      <c r="E1403" s="3" t="s">
        <v>216</v>
      </c>
      <c r="J1403" s="3" t="s">
        <v>1645</v>
      </c>
      <c r="K1403" s="3" t="s">
        <v>216</v>
      </c>
    </row>
    <row r="1404" ht="15.6" spans="4:11">
      <c r="D1404" s="3">
        <v>3189</v>
      </c>
      <c r="E1404" s="3" t="s">
        <v>216</v>
      </c>
      <c r="J1404" s="3" t="s">
        <v>1646</v>
      </c>
      <c r="K1404" s="3" t="s">
        <v>216</v>
      </c>
    </row>
    <row r="1405" ht="15.6" spans="4:11">
      <c r="D1405" s="3">
        <v>3190</v>
      </c>
      <c r="E1405" s="3" t="s">
        <v>216</v>
      </c>
      <c r="J1405" s="3" t="s">
        <v>1647</v>
      </c>
      <c r="K1405" s="3" t="s">
        <v>216</v>
      </c>
    </row>
    <row r="1406" ht="15.6" spans="4:11">
      <c r="D1406" s="3">
        <v>3191</v>
      </c>
      <c r="E1406" s="3" t="s">
        <v>216</v>
      </c>
      <c r="J1406" s="3" t="s">
        <v>1648</v>
      </c>
      <c r="K1406" s="3" t="s">
        <v>216</v>
      </c>
    </row>
    <row r="1407" ht="15.6" spans="4:11">
      <c r="D1407" s="3">
        <v>3192</v>
      </c>
      <c r="E1407" s="3" t="s">
        <v>216</v>
      </c>
      <c r="J1407" s="3" t="s">
        <v>1649</v>
      </c>
      <c r="K1407" s="3" t="s">
        <v>216</v>
      </c>
    </row>
    <row r="1408" ht="15.6" spans="4:11">
      <c r="D1408" s="3">
        <v>3193</v>
      </c>
      <c r="E1408" s="3" t="s">
        <v>216</v>
      </c>
      <c r="J1408" s="3" t="s">
        <v>1650</v>
      </c>
      <c r="K1408" s="3" t="s">
        <v>216</v>
      </c>
    </row>
    <row r="1409" ht="15.6" spans="4:11">
      <c r="D1409" s="3">
        <v>3194</v>
      </c>
      <c r="E1409" s="3" t="s">
        <v>216</v>
      </c>
      <c r="J1409" s="3" t="s">
        <v>1651</v>
      </c>
      <c r="K1409" s="3" t="s">
        <v>216</v>
      </c>
    </row>
    <row r="1410" ht="15.6" spans="4:11">
      <c r="D1410" s="3">
        <v>3195</v>
      </c>
      <c r="E1410" s="3" t="s">
        <v>216</v>
      </c>
      <c r="J1410" s="3" t="s">
        <v>1652</v>
      </c>
      <c r="K1410" s="3" t="s">
        <v>216</v>
      </c>
    </row>
    <row r="1411" ht="15.6" spans="4:11">
      <c r="D1411" s="3">
        <v>3196</v>
      </c>
      <c r="E1411" s="3" t="s">
        <v>216</v>
      </c>
      <c r="J1411" s="3" t="s">
        <v>1653</v>
      </c>
      <c r="K1411" s="3" t="s">
        <v>216</v>
      </c>
    </row>
    <row r="1412" ht="15.6" spans="4:11">
      <c r="D1412" s="3">
        <v>3197</v>
      </c>
      <c r="E1412" s="3" t="s">
        <v>216</v>
      </c>
      <c r="J1412" s="3" t="s">
        <v>1654</v>
      </c>
      <c r="K1412" s="3" t="s">
        <v>216</v>
      </c>
    </row>
    <row r="1413" ht="15.6" spans="4:11">
      <c r="D1413" s="3">
        <v>3198</v>
      </c>
      <c r="E1413" s="3" t="s">
        <v>216</v>
      </c>
      <c r="J1413" s="3" t="s">
        <v>1655</v>
      </c>
      <c r="K1413" s="3" t="s">
        <v>216</v>
      </c>
    </row>
    <row r="1414" ht="15.6" spans="4:11">
      <c r="D1414" s="3">
        <v>3199</v>
      </c>
      <c r="E1414" s="3" t="s">
        <v>216</v>
      </c>
      <c r="J1414" s="3" t="s">
        <v>1656</v>
      </c>
      <c r="K1414" s="3" t="s">
        <v>216</v>
      </c>
    </row>
    <row r="1415" ht="15.6" spans="4:11">
      <c r="D1415" s="3">
        <v>3200</v>
      </c>
      <c r="E1415" s="3" t="s">
        <v>216</v>
      </c>
      <c r="J1415" s="3" t="s">
        <v>1657</v>
      </c>
      <c r="K1415" s="3" t="s">
        <v>216</v>
      </c>
    </row>
    <row r="1416" ht="15.6" spans="4:11">
      <c r="D1416" s="3">
        <v>3201</v>
      </c>
      <c r="E1416" s="3" t="s">
        <v>216</v>
      </c>
      <c r="J1416" s="3" t="s">
        <v>1658</v>
      </c>
      <c r="K1416" s="3" t="s">
        <v>216</v>
      </c>
    </row>
    <row r="1417" ht="15.6" spans="4:11">
      <c r="D1417" s="3">
        <v>3202</v>
      </c>
      <c r="E1417" s="3" t="s">
        <v>216</v>
      </c>
      <c r="J1417" s="3" t="s">
        <v>1659</v>
      </c>
      <c r="K1417" s="3" t="s">
        <v>216</v>
      </c>
    </row>
    <row r="1418" ht="15.6" spans="4:11">
      <c r="D1418" s="3">
        <v>3203</v>
      </c>
      <c r="E1418" s="3" t="s">
        <v>216</v>
      </c>
      <c r="J1418" s="3" t="s">
        <v>1660</v>
      </c>
      <c r="K1418" s="3" t="s">
        <v>216</v>
      </c>
    </row>
    <row r="1419" ht="15.6" spans="4:11">
      <c r="D1419" s="3">
        <v>3204</v>
      </c>
      <c r="E1419" s="3" t="s">
        <v>216</v>
      </c>
      <c r="J1419" s="3" t="s">
        <v>1661</v>
      </c>
      <c r="K1419" s="3" t="s">
        <v>216</v>
      </c>
    </row>
    <row r="1420" ht="15.6" spans="4:11">
      <c r="D1420" s="3">
        <v>3205</v>
      </c>
      <c r="E1420" s="3" t="s">
        <v>216</v>
      </c>
      <c r="J1420" s="3" t="s">
        <v>1662</v>
      </c>
      <c r="K1420" s="3" t="s">
        <v>216</v>
      </c>
    </row>
    <row r="1421" ht="15.6" spans="4:11">
      <c r="D1421" s="3">
        <v>3206</v>
      </c>
      <c r="E1421" s="3" t="s">
        <v>216</v>
      </c>
      <c r="J1421" s="3" t="s">
        <v>1663</v>
      </c>
      <c r="K1421" s="3" t="s">
        <v>216</v>
      </c>
    </row>
    <row r="1422" ht="15.6" spans="4:11">
      <c r="D1422" s="3">
        <v>3207</v>
      </c>
      <c r="E1422" s="3" t="s">
        <v>216</v>
      </c>
      <c r="J1422" s="3" t="s">
        <v>1664</v>
      </c>
      <c r="K1422" s="3" t="s">
        <v>216</v>
      </c>
    </row>
    <row r="1423" ht="15.6" spans="4:11">
      <c r="D1423" s="3">
        <v>3208</v>
      </c>
      <c r="E1423" s="3" t="s">
        <v>216</v>
      </c>
      <c r="J1423" s="3" t="s">
        <v>1665</v>
      </c>
      <c r="K1423" s="3" t="s">
        <v>216</v>
      </c>
    </row>
    <row r="1424" ht="15.6" spans="4:11">
      <c r="D1424" s="3">
        <v>3209</v>
      </c>
      <c r="E1424" s="3" t="s">
        <v>216</v>
      </c>
      <c r="J1424" s="3" t="s">
        <v>1666</v>
      </c>
      <c r="K1424" s="3" t="s">
        <v>216</v>
      </c>
    </row>
    <row r="1425" ht="15.6" spans="4:11">
      <c r="D1425" s="3">
        <v>3210</v>
      </c>
      <c r="E1425" s="3" t="s">
        <v>216</v>
      </c>
      <c r="J1425" s="3" t="s">
        <v>1667</v>
      </c>
      <c r="K1425" s="3" t="s">
        <v>216</v>
      </c>
    </row>
    <row r="1426" ht="15.6" spans="4:11">
      <c r="D1426" s="3">
        <v>3800</v>
      </c>
      <c r="E1426" s="3" t="s">
        <v>216</v>
      </c>
      <c r="J1426" s="3" t="s">
        <v>1668</v>
      </c>
      <c r="K1426" s="3" t="s">
        <v>216</v>
      </c>
    </row>
    <row r="1427" ht="15.6" spans="4:11">
      <c r="D1427" s="3">
        <v>3801</v>
      </c>
      <c r="E1427" s="3" t="s">
        <v>216</v>
      </c>
      <c r="J1427" s="3" t="s">
        <v>1669</v>
      </c>
      <c r="K1427" s="3" t="s">
        <v>216</v>
      </c>
    </row>
    <row r="1428" ht="15.6" spans="4:11">
      <c r="D1428" s="3">
        <v>4000</v>
      </c>
      <c r="E1428" s="3" t="s">
        <v>216</v>
      </c>
      <c r="J1428" s="3" t="s">
        <v>1670</v>
      </c>
      <c r="K1428" s="3" t="s">
        <v>216</v>
      </c>
    </row>
    <row r="1429" ht="15.6" spans="4:11">
      <c r="D1429" s="3">
        <v>4001</v>
      </c>
      <c r="E1429" s="3" t="s">
        <v>216</v>
      </c>
      <c r="J1429" s="3" t="s">
        <v>1671</v>
      </c>
      <c r="K1429" s="3" t="s">
        <v>216</v>
      </c>
    </row>
    <row r="1430" ht="15.6" spans="4:11">
      <c r="D1430" s="3">
        <v>4002</v>
      </c>
      <c r="E1430" s="3" t="s">
        <v>216</v>
      </c>
      <c r="J1430" s="3" t="s">
        <v>1672</v>
      </c>
      <c r="K1430" s="3" t="s">
        <v>216</v>
      </c>
    </row>
    <row r="1431" ht="15.6" spans="4:11">
      <c r="D1431" s="3">
        <v>4003</v>
      </c>
      <c r="E1431" s="3" t="s">
        <v>216</v>
      </c>
      <c r="J1431" s="3" t="s">
        <v>1673</v>
      </c>
      <c r="K1431" s="3" t="s">
        <v>216</v>
      </c>
    </row>
    <row r="1432" ht="15.6" spans="4:11">
      <c r="D1432" s="3">
        <v>4004</v>
      </c>
      <c r="E1432" s="3" t="s">
        <v>216</v>
      </c>
      <c r="J1432" s="3" t="s">
        <v>1674</v>
      </c>
      <c r="K1432" s="3" t="s">
        <v>216</v>
      </c>
    </row>
    <row r="1433" ht="15.6" spans="4:11">
      <c r="D1433" s="3">
        <v>4005</v>
      </c>
      <c r="E1433" s="3" t="s">
        <v>216</v>
      </c>
      <c r="J1433" s="3" t="s">
        <v>1675</v>
      </c>
      <c r="K1433" s="3" t="s">
        <v>216</v>
      </c>
    </row>
    <row r="1434" ht="15.6" spans="4:11">
      <c r="D1434" s="3">
        <v>4006</v>
      </c>
      <c r="E1434" s="3" t="s">
        <v>216</v>
      </c>
      <c r="J1434" s="3" t="s">
        <v>1676</v>
      </c>
      <c r="K1434" s="3" t="s">
        <v>216</v>
      </c>
    </row>
    <row r="1435" ht="15.6" spans="4:11">
      <c r="D1435" s="3">
        <v>4007</v>
      </c>
      <c r="E1435" s="3" t="s">
        <v>216</v>
      </c>
      <c r="J1435" s="3" t="s">
        <v>1677</v>
      </c>
      <c r="K1435" s="3" t="s">
        <v>216</v>
      </c>
    </row>
    <row r="1436" ht="15.6" spans="4:11">
      <c r="D1436" s="3">
        <v>4008</v>
      </c>
      <c r="E1436" s="3" t="s">
        <v>216</v>
      </c>
      <c r="J1436" s="3" t="s">
        <v>1678</v>
      </c>
      <c r="K1436" s="3" t="s">
        <v>216</v>
      </c>
    </row>
    <row r="1437" ht="15.6" spans="4:11">
      <c r="D1437" s="3">
        <v>4009</v>
      </c>
      <c r="E1437" s="3" t="s">
        <v>216</v>
      </c>
      <c r="J1437" s="3" t="s">
        <v>1679</v>
      </c>
      <c r="K1437" s="3" t="s">
        <v>216</v>
      </c>
    </row>
    <row r="1438" ht="15.6" spans="4:11">
      <c r="D1438" s="3">
        <v>4010</v>
      </c>
      <c r="E1438" s="3" t="s">
        <v>216</v>
      </c>
      <c r="J1438" s="3" t="s">
        <v>1680</v>
      </c>
      <c r="K1438" s="3" t="s">
        <v>216</v>
      </c>
    </row>
    <row r="1439" ht="15.6" spans="4:11">
      <c r="D1439" s="3">
        <v>4011</v>
      </c>
      <c r="E1439" s="3" t="s">
        <v>216</v>
      </c>
      <c r="J1439" s="3" t="s">
        <v>1681</v>
      </c>
      <c r="K1439" s="3" t="s">
        <v>216</v>
      </c>
    </row>
    <row r="1440" ht="15.6" spans="4:11">
      <c r="D1440" s="3">
        <v>4012</v>
      </c>
      <c r="E1440" s="3" t="s">
        <v>216</v>
      </c>
      <c r="J1440" s="3" t="s">
        <v>1682</v>
      </c>
      <c r="K1440" s="3" t="s">
        <v>216</v>
      </c>
    </row>
    <row r="1441" ht="15.6" spans="4:11">
      <c r="D1441" s="3">
        <v>4013</v>
      </c>
      <c r="E1441" s="3" t="s">
        <v>216</v>
      </c>
      <c r="J1441" s="3" t="s">
        <v>1683</v>
      </c>
      <c r="K1441" s="3" t="s">
        <v>216</v>
      </c>
    </row>
    <row r="1442" ht="15.6" spans="4:11">
      <c r="D1442" s="3">
        <v>4014</v>
      </c>
      <c r="E1442" s="3" t="s">
        <v>216</v>
      </c>
      <c r="J1442" s="3" t="s">
        <v>1684</v>
      </c>
      <c r="K1442" s="3" t="s">
        <v>216</v>
      </c>
    </row>
    <row r="1443" ht="15.6" spans="4:11">
      <c r="D1443" s="3">
        <v>4015</v>
      </c>
      <c r="E1443" s="3" t="s">
        <v>216</v>
      </c>
      <c r="J1443" s="3" t="s">
        <v>1685</v>
      </c>
      <c r="K1443" s="3" t="s">
        <v>216</v>
      </c>
    </row>
    <row r="1444" ht="15.6" spans="4:11">
      <c r="D1444" s="3">
        <v>4016</v>
      </c>
      <c r="E1444" s="3" t="s">
        <v>216</v>
      </c>
      <c r="J1444" s="3" t="s">
        <v>1686</v>
      </c>
      <c r="K1444" s="3" t="s">
        <v>216</v>
      </c>
    </row>
    <row r="1445" ht="15.6" spans="4:11">
      <c r="D1445" s="3">
        <v>4017</v>
      </c>
      <c r="E1445" s="3" t="s">
        <v>216</v>
      </c>
      <c r="J1445" s="3" t="s">
        <v>1687</v>
      </c>
      <c r="K1445" s="3" t="s">
        <v>216</v>
      </c>
    </row>
    <row r="1446" ht="15.6" spans="4:11">
      <c r="D1446" s="3">
        <v>4018</v>
      </c>
      <c r="E1446" s="3" t="s">
        <v>216</v>
      </c>
      <c r="J1446" s="3" t="s">
        <v>1688</v>
      </c>
      <c r="K1446" s="3" t="s">
        <v>216</v>
      </c>
    </row>
    <row r="1447" ht="15.6" spans="4:11">
      <c r="D1447" s="3">
        <v>4029</v>
      </c>
      <c r="E1447" s="3" t="s">
        <v>216</v>
      </c>
      <c r="J1447" s="3" t="s">
        <v>1689</v>
      </c>
      <c r="K1447" s="3" t="s">
        <v>216</v>
      </c>
    </row>
    <row r="1448" ht="15.6" spans="4:11">
      <c r="D1448" s="3">
        <v>4030</v>
      </c>
      <c r="E1448" s="3" t="s">
        <v>216</v>
      </c>
      <c r="J1448" s="3" t="s">
        <v>1690</v>
      </c>
      <c r="K1448" s="3" t="s">
        <v>216</v>
      </c>
    </row>
    <row r="1449" ht="15.6" spans="4:11">
      <c r="D1449" s="3">
        <v>4031</v>
      </c>
      <c r="E1449" s="3" t="s">
        <v>216</v>
      </c>
      <c r="J1449" s="3" t="s">
        <v>1691</v>
      </c>
      <c r="K1449" s="3" t="s">
        <v>216</v>
      </c>
    </row>
    <row r="1450" ht="15.6" spans="4:11">
      <c r="D1450" s="3">
        <v>4032</v>
      </c>
      <c r="E1450" s="3" t="s">
        <v>216</v>
      </c>
      <c r="J1450" s="3" t="s">
        <v>1692</v>
      </c>
      <c r="K1450" s="3" t="s">
        <v>216</v>
      </c>
    </row>
    <row r="1451" ht="15.6" spans="4:11">
      <c r="D1451" s="3">
        <v>4033</v>
      </c>
      <c r="E1451" s="3" t="s">
        <v>216</v>
      </c>
      <c r="J1451" s="3" t="s">
        <v>1693</v>
      </c>
      <c r="K1451" s="3" t="s">
        <v>216</v>
      </c>
    </row>
    <row r="1452" ht="15.6" spans="4:11">
      <c r="D1452" s="3">
        <v>4034</v>
      </c>
      <c r="E1452" s="3" t="s">
        <v>216</v>
      </c>
      <c r="J1452" s="3" t="s">
        <v>1694</v>
      </c>
      <c r="K1452" s="3" t="s">
        <v>216</v>
      </c>
    </row>
    <row r="1453" ht="15.6" spans="4:11">
      <c r="D1453" s="3">
        <v>4035</v>
      </c>
      <c r="E1453" s="3" t="s">
        <v>216</v>
      </c>
      <c r="J1453" s="3" t="s">
        <v>1695</v>
      </c>
      <c r="K1453" s="3" t="s">
        <v>216</v>
      </c>
    </row>
    <row r="1454" ht="15.6" spans="4:11">
      <c r="D1454" s="3">
        <v>4036</v>
      </c>
      <c r="E1454" s="3" t="s">
        <v>216</v>
      </c>
      <c r="J1454" s="3" t="s">
        <v>1696</v>
      </c>
      <c r="K1454" s="3" t="s">
        <v>216</v>
      </c>
    </row>
    <row r="1455" ht="15.6" spans="4:11">
      <c r="D1455" s="3">
        <v>4037</v>
      </c>
      <c r="E1455" s="3" t="s">
        <v>216</v>
      </c>
      <c r="J1455" s="3" t="s">
        <v>1697</v>
      </c>
      <c r="K1455" s="3" t="s">
        <v>216</v>
      </c>
    </row>
    <row r="1456" ht="15.6" spans="4:11">
      <c r="D1456" s="3">
        <v>4038</v>
      </c>
      <c r="E1456" s="3" t="s">
        <v>216</v>
      </c>
      <c r="J1456" s="3" t="s">
        <v>1698</v>
      </c>
      <c r="K1456" s="3" t="s">
        <v>216</v>
      </c>
    </row>
    <row r="1457" ht="15.6" spans="4:11">
      <c r="D1457" s="3">
        <v>4039</v>
      </c>
      <c r="E1457" s="3" t="s">
        <v>216</v>
      </c>
      <c r="J1457" s="3" t="s">
        <v>1699</v>
      </c>
      <c r="K1457" s="3" t="s">
        <v>216</v>
      </c>
    </row>
    <row r="1458" ht="15.6" spans="4:11">
      <c r="D1458" s="3">
        <v>4040</v>
      </c>
      <c r="E1458" s="3" t="s">
        <v>216</v>
      </c>
      <c r="J1458" s="3" t="s">
        <v>1700</v>
      </c>
      <c r="K1458" s="3" t="s">
        <v>216</v>
      </c>
    </row>
    <row r="1459" ht="15.6" spans="4:11">
      <c r="D1459" s="3">
        <v>4041</v>
      </c>
      <c r="E1459" s="3" t="s">
        <v>216</v>
      </c>
      <c r="J1459" s="3" t="s">
        <v>1701</v>
      </c>
      <c r="K1459" s="3" t="s">
        <v>216</v>
      </c>
    </row>
    <row r="1460" ht="15.6" spans="4:11">
      <c r="D1460" s="3">
        <v>4042</v>
      </c>
      <c r="E1460" s="3" t="s">
        <v>216</v>
      </c>
      <c r="J1460" s="3" t="s">
        <v>1702</v>
      </c>
      <c r="K1460" s="3" t="s">
        <v>216</v>
      </c>
    </row>
    <row r="1461" ht="15.6" spans="4:11">
      <c r="D1461" s="3">
        <v>4043</v>
      </c>
      <c r="E1461" s="3" t="s">
        <v>216</v>
      </c>
      <c r="J1461" s="3" t="s">
        <v>1703</v>
      </c>
      <c r="K1461" s="3" t="s">
        <v>216</v>
      </c>
    </row>
    <row r="1462" ht="15.6" spans="4:11">
      <c r="D1462" s="3">
        <v>4044</v>
      </c>
      <c r="E1462" s="3" t="s">
        <v>216</v>
      </c>
      <c r="J1462" s="3" t="s">
        <v>1704</v>
      </c>
      <c r="K1462" s="3" t="s">
        <v>216</v>
      </c>
    </row>
    <row r="1463" ht="15.6" spans="4:11">
      <c r="D1463" s="3">
        <v>4045</v>
      </c>
      <c r="E1463" s="3" t="s">
        <v>216</v>
      </c>
      <c r="J1463" s="3" t="s">
        <v>1705</v>
      </c>
      <c r="K1463" s="3" t="s">
        <v>216</v>
      </c>
    </row>
    <row r="1464" ht="15.6" spans="4:11">
      <c r="D1464" s="3">
        <v>4046</v>
      </c>
      <c r="E1464" s="3" t="s">
        <v>216</v>
      </c>
      <c r="J1464" s="3" t="s">
        <v>1706</v>
      </c>
      <c r="K1464" s="3" t="s">
        <v>216</v>
      </c>
    </row>
    <row r="1465" ht="15.6" spans="4:11">
      <c r="D1465" s="3">
        <v>4047</v>
      </c>
      <c r="E1465" s="3" t="s">
        <v>216</v>
      </c>
      <c r="J1465" s="3" t="s">
        <v>1707</v>
      </c>
      <c r="K1465" s="3" t="s">
        <v>216</v>
      </c>
    </row>
    <row r="1466" ht="15.6" spans="4:11">
      <c r="D1466" s="3">
        <v>4048</v>
      </c>
      <c r="E1466" s="3" t="s">
        <v>216</v>
      </c>
      <c r="J1466" s="3" t="s">
        <v>1708</v>
      </c>
      <c r="K1466" s="3" t="s">
        <v>216</v>
      </c>
    </row>
    <row r="1467" ht="15.6" spans="4:11">
      <c r="D1467" s="3">
        <v>4049</v>
      </c>
      <c r="E1467" s="3" t="s">
        <v>216</v>
      </c>
      <c r="J1467" s="3" t="s">
        <v>1709</v>
      </c>
      <c r="K1467" s="3" t="s">
        <v>216</v>
      </c>
    </row>
    <row r="1468" ht="15.6" spans="4:11">
      <c r="D1468" s="3">
        <v>4050</v>
      </c>
      <c r="E1468" s="3" t="s">
        <v>216</v>
      </c>
      <c r="J1468" s="3" t="s">
        <v>1710</v>
      </c>
      <c r="K1468" s="3" t="s">
        <v>216</v>
      </c>
    </row>
    <row r="1469" ht="15.6" spans="4:11">
      <c r="D1469" s="3">
        <v>4051</v>
      </c>
      <c r="E1469" s="3" t="s">
        <v>216</v>
      </c>
      <c r="J1469" s="3" t="s">
        <v>1711</v>
      </c>
      <c r="K1469" s="3" t="s">
        <v>216</v>
      </c>
    </row>
    <row r="1470" ht="15.6" spans="4:11">
      <c r="D1470" s="3">
        <v>4052</v>
      </c>
      <c r="E1470" s="3" t="s">
        <v>216</v>
      </c>
      <c r="J1470" s="3" t="s">
        <v>1712</v>
      </c>
      <c r="K1470" s="3" t="s">
        <v>216</v>
      </c>
    </row>
    <row r="1471" ht="15.6" spans="4:11">
      <c r="D1471" s="3">
        <v>4053</v>
      </c>
      <c r="E1471" s="3" t="s">
        <v>216</v>
      </c>
      <c r="J1471" s="3" t="s">
        <v>1713</v>
      </c>
      <c r="K1471" s="3" t="s">
        <v>216</v>
      </c>
    </row>
    <row r="1472" ht="15.6" spans="4:11">
      <c r="D1472" s="3">
        <v>4054</v>
      </c>
      <c r="E1472" s="3" t="s">
        <v>216</v>
      </c>
      <c r="J1472" s="3" t="s">
        <v>1714</v>
      </c>
      <c r="K1472" s="3" t="s">
        <v>216</v>
      </c>
    </row>
    <row r="1473" ht="15.6" spans="4:11">
      <c r="D1473" s="3">
        <v>4055</v>
      </c>
      <c r="E1473" s="3" t="s">
        <v>216</v>
      </c>
      <c r="J1473" s="3" t="s">
        <v>1715</v>
      </c>
      <c r="K1473" s="3" t="s">
        <v>216</v>
      </c>
    </row>
    <row r="1474" ht="15.6" spans="4:11">
      <c r="D1474" s="3">
        <v>4056</v>
      </c>
      <c r="E1474" s="3" t="s">
        <v>216</v>
      </c>
      <c r="J1474" s="3" t="s">
        <v>1716</v>
      </c>
      <c r="K1474" s="3" t="s">
        <v>216</v>
      </c>
    </row>
    <row r="1475" ht="15.6" spans="4:11">
      <c r="D1475" s="3">
        <v>4057</v>
      </c>
      <c r="E1475" s="3" t="s">
        <v>216</v>
      </c>
      <c r="J1475" s="3" t="s">
        <v>1717</v>
      </c>
      <c r="K1475" s="3" t="s">
        <v>216</v>
      </c>
    </row>
    <row r="1476" ht="15.6" spans="4:11">
      <c r="D1476" s="3">
        <v>4058</v>
      </c>
      <c r="E1476" s="3" t="s">
        <v>216</v>
      </c>
      <c r="J1476" s="3" t="s">
        <v>1718</v>
      </c>
      <c r="K1476" s="3" t="s">
        <v>216</v>
      </c>
    </row>
    <row r="1477" ht="15.6" spans="4:11">
      <c r="D1477" s="3">
        <v>4059</v>
      </c>
      <c r="E1477" s="3" t="s">
        <v>216</v>
      </c>
      <c r="J1477" s="3" t="s">
        <v>1719</v>
      </c>
      <c r="K1477" s="3" t="s">
        <v>216</v>
      </c>
    </row>
    <row r="1478" ht="15.6" spans="4:11">
      <c r="D1478" s="3">
        <v>4060</v>
      </c>
      <c r="E1478" s="3" t="s">
        <v>216</v>
      </c>
      <c r="J1478" s="3" t="s">
        <v>1720</v>
      </c>
      <c r="K1478" s="3" t="s">
        <v>216</v>
      </c>
    </row>
    <row r="1479" ht="15.6" spans="4:11">
      <c r="D1479" s="3">
        <v>4061</v>
      </c>
      <c r="E1479" s="3" t="s">
        <v>216</v>
      </c>
      <c r="J1479" s="3" t="s">
        <v>1721</v>
      </c>
      <c r="K1479" s="3" t="s">
        <v>216</v>
      </c>
    </row>
    <row r="1480" ht="15.6" spans="4:11">
      <c r="D1480" s="3">
        <v>4062</v>
      </c>
      <c r="E1480" s="3" t="s">
        <v>216</v>
      </c>
      <c r="J1480" s="3" t="s">
        <v>1722</v>
      </c>
      <c r="K1480" s="3" t="s">
        <v>216</v>
      </c>
    </row>
    <row r="1481" ht="15.6" spans="4:11">
      <c r="D1481" s="3">
        <v>4063</v>
      </c>
      <c r="E1481" s="3" t="s">
        <v>216</v>
      </c>
      <c r="J1481" s="3" t="s">
        <v>1723</v>
      </c>
      <c r="K1481" s="3" t="s">
        <v>216</v>
      </c>
    </row>
    <row r="1482" ht="15.6" spans="4:11">
      <c r="D1482" s="3">
        <v>4064</v>
      </c>
      <c r="E1482" s="3" t="s">
        <v>216</v>
      </c>
      <c r="J1482" s="3" t="s">
        <v>1724</v>
      </c>
      <c r="K1482" s="3" t="s">
        <v>216</v>
      </c>
    </row>
    <row r="1483" ht="15.6" spans="4:11">
      <c r="D1483" s="3">
        <v>4065</v>
      </c>
      <c r="E1483" s="3" t="s">
        <v>216</v>
      </c>
      <c r="J1483" s="3" t="s">
        <v>1725</v>
      </c>
      <c r="K1483" s="3" t="s">
        <v>216</v>
      </c>
    </row>
    <row r="1484" ht="15.6" spans="4:11">
      <c r="D1484" s="3">
        <v>4066</v>
      </c>
      <c r="E1484" s="3" t="s">
        <v>216</v>
      </c>
      <c r="J1484" s="3" t="s">
        <v>1726</v>
      </c>
      <c r="K1484" s="3" t="s">
        <v>216</v>
      </c>
    </row>
    <row r="1485" ht="15.6" spans="4:11">
      <c r="D1485" s="3">
        <v>4067</v>
      </c>
      <c r="E1485" s="3" t="s">
        <v>216</v>
      </c>
      <c r="J1485" s="3" t="s">
        <v>1727</v>
      </c>
      <c r="K1485" s="3" t="s">
        <v>216</v>
      </c>
    </row>
    <row r="1486" ht="15.6" spans="4:11">
      <c r="D1486" s="3">
        <v>4068</v>
      </c>
      <c r="E1486" s="3" t="s">
        <v>216</v>
      </c>
      <c r="J1486" s="3" t="s">
        <v>1728</v>
      </c>
      <c r="K1486" s="3" t="s">
        <v>216</v>
      </c>
    </row>
    <row r="1487" ht="15.6" spans="4:11">
      <c r="D1487" s="3">
        <v>4072</v>
      </c>
      <c r="E1487" s="3" t="s">
        <v>216</v>
      </c>
      <c r="J1487" s="3" t="s">
        <v>1729</v>
      </c>
      <c r="K1487" s="3" t="s">
        <v>216</v>
      </c>
    </row>
    <row r="1488" ht="15.6" spans="4:11">
      <c r="D1488" s="3">
        <v>4073</v>
      </c>
      <c r="E1488" s="3" t="s">
        <v>216</v>
      </c>
      <c r="J1488" s="3" t="s">
        <v>1730</v>
      </c>
      <c r="K1488" s="3" t="s">
        <v>216</v>
      </c>
    </row>
    <row r="1489" ht="15.6" spans="4:11">
      <c r="D1489" s="3">
        <v>4074</v>
      </c>
      <c r="E1489" s="3" t="s">
        <v>216</v>
      </c>
      <c r="J1489" s="3" t="s">
        <v>1731</v>
      </c>
      <c r="K1489" s="3" t="s">
        <v>216</v>
      </c>
    </row>
    <row r="1490" ht="15.6" spans="4:11">
      <c r="D1490" s="3">
        <v>4075</v>
      </c>
      <c r="E1490" s="3" t="s">
        <v>216</v>
      </c>
      <c r="J1490" s="3" t="s">
        <v>1732</v>
      </c>
      <c r="K1490" s="3" t="s">
        <v>216</v>
      </c>
    </row>
    <row r="1491" ht="15.6" spans="4:11">
      <c r="D1491" s="3">
        <v>4076</v>
      </c>
      <c r="E1491" s="3" t="s">
        <v>216</v>
      </c>
      <c r="J1491" s="3" t="s">
        <v>1733</v>
      </c>
      <c r="K1491" s="3" t="s">
        <v>216</v>
      </c>
    </row>
    <row r="1492" ht="15.6" spans="4:11">
      <c r="D1492" s="3">
        <v>4077</v>
      </c>
      <c r="E1492" s="3" t="s">
        <v>216</v>
      </c>
      <c r="J1492" s="3" t="s">
        <v>1734</v>
      </c>
      <c r="K1492" s="3" t="s">
        <v>216</v>
      </c>
    </row>
    <row r="1493" ht="15.6" spans="4:11">
      <c r="D1493" s="3">
        <v>4078</v>
      </c>
      <c r="E1493" s="3" t="s">
        <v>216</v>
      </c>
      <c r="J1493" s="3" t="s">
        <v>1735</v>
      </c>
      <c r="K1493" s="3" t="s">
        <v>216</v>
      </c>
    </row>
    <row r="1494" ht="15.6" spans="4:11">
      <c r="D1494" s="3">
        <v>4079</v>
      </c>
      <c r="E1494" s="3" t="s">
        <v>216</v>
      </c>
      <c r="J1494" s="3" t="s">
        <v>1736</v>
      </c>
      <c r="K1494" s="3" t="s">
        <v>216</v>
      </c>
    </row>
    <row r="1495" ht="15.6" spans="4:11">
      <c r="D1495" s="3">
        <v>4080</v>
      </c>
      <c r="E1495" s="3" t="s">
        <v>216</v>
      </c>
      <c r="J1495" s="3" t="s">
        <v>1737</v>
      </c>
      <c r="K1495" s="3" t="s">
        <v>216</v>
      </c>
    </row>
    <row r="1496" ht="15.6" spans="4:11">
      <c r="D1496" s="3">
        <v>4081</v>
      </c>
      <c r="E1496" s="3" t="s">
        <v>216</v>
      </c>
      <c r="J1496" s="3" t="s">
        <v>1738</v>
      </c>
      <c r="K1496" s="3" t="s">
        <v>216</v>
      </c>
    </row>
    <row r="1497" ht="15.6" spans="4:11">
      <c r="D1497" s="3">
        <v>4082</v>
      </c>
      <c r="E1497" s="3" t="s">
        <v>216</v>
      </c>
      <c r="J1497" s="3" t="s">
        <v>1739</v>
      </c>
      <c r="K1497" s="3" t="s">
        <v>216</v>
      </c>
    </row>
    <row r="1498" ht="15.6" spans="4:11">
      <c r="D1498" s="3">
        <v>4083</v>
      </c>
      <c r="E1498" s="3" t="s">
        <v>216</v>
      </c>
      <c r="J1498" s="3" t="s">
        <v>1740</v>
      </c>
      <c r="K1498" s="3" t="s">
        <v>216</v>
      </c>
    </row>
    <row r="1499" ht="15.6" spans="4:11">
      <c r="D1499" s="3">
        <v>4084</v>
      </c>
      <c r="E1499" s="3" t="s">
        <v>216</v>
      </c>
      <c r="J1499" s="3" t="s">
        <v>1741</v>
      </c>
      <c r="K1499" s="3" t="s">
        <v>216</v>
      </c>
    </row>
    <row r="1500" ht="15.6" spans="4:11">
      <c r="D1500" s="3">
        <v>4085</v>
      </c>
      <c r="E1500" s="3" t="s">
        <v>216</v>
      </c>
      <c r="J1500" s="3" t="s">
        <v>1742</v>
      </c>
      <c r="K1500" s="3" t="s">
        <v>216</v>
      </c>
    </row>
    <row r="1501" ht="15.6" spans="4:11">
      <c r="D1501" s="3">
        <v>4086</v>
      </c>
      <c r="E1501" s="3" t="s">
        <v>216</v>
      </c>
      <c r="J1501" s="3" t="s">
        <v>1743</v>
      </c>
      <c r="K1501" s="3" t="s">
        <v>216</v>
      </c>
    </row>
    <row r="1502" ht="15.6" spans="4:11">
      <c r="D1502" s="3">
        <v>4087</v>
      </c>
      <c r="E1502" s="3" t="s">
        <v>216</v>
      </c>
      <c r="J1502" s="3" t="s">
        <v>1744</v>
      </c>
      <c r="K1502" s="3" t="s">
        <v>216</v>
      </c>
    </row>
    <row r="1503" ht="15.6" spans="4:11">
      <c r="D1503" s="3">
        <v>4088</v>
      </c>
      <c r="E1503" s="3" t="s">
        <v>216</v>
      </c>
      <c r="J1503" s="3" t="s">
        <v>1745</v>
      </c>
      <c r="K1503" s="3" t="s">
        <v>216</v>
      </c>
    </row>
    <row r="1504" ht="15.6" spans="4:11">
      <c r="D1504" s="3">
        <v>4089</v>
      </c>
      <c r="E1504" s="3" t="s">
        <v>216</v>
      </c>
      <c r="J1504" s="3" t="s">
        <v>1746</v>
      </c>
      <c r="K1504" s="3" t="s">
        <v>216</v>
      </c>
    </row>
    <row r="1505" ht="15.6" spans="4:11">
      <c r="D1505" s="3">
        <v>4090</v>
      </c>
      <c r="E1505" s="3" t="s">
        <v>216</v>
      </c>
      <c r="J1505" s="3" t="s">
        <v>1747</v>
      </c>
      <c r="K1505" s="3" t="s">
        <v>216</v>
      </c>
    </row>
    <row r="1506" ht="15.6" spans="4:11">
      <c r="D1506" s="3">
        <v>4091</v>
      </c>
      <c r="E1506" s="3" t="s">
        <v>216</v>
      </c>
      <c r="J1506" s="3" t="s">
        <v>1748</v>
      </c>
      <c r="K1506" s="3" t="s">
        <v>216</v>
      </c>
    </row>
    <row r="1507" ht="15.6" spans="4:11">
      <c r="D1507" s="3">
        <v>4092</v>
      </c>
      <c r="E1507" s="3" t="s">
        <v>216</v>
      </c>
      <c r="J1507" s="3" t="s">
        <v>1749</v>
      </c>
      <c r="K1507" s="3" t="s">
        <v>216</v>
      </c>
    </row>
    <row r="1508" ht="15.6" spans="4:11">
      <c r="D1508" s="3">
        <v>4093</v>
      </c>
      <c r="E1508" s="3" t="s">
        <v>216</v>
      </c>
      <c r="J1508" s="3" t="s">
        <v>1750</v>
      </c>
      <c r="K1508" s="3" t="s">
        <v>216</v>
      </c>
    </row>
    <row r="1509" ht="15.6" spans="4:11">
      <c r="D1509" s="3">
        <v>4094</v>
      </c>
      <c r="E1509" s="3" t="s">
        <v>216</v>
      </c>
      <c r="J1509" s="3" t="s">
        <v>1751</v>
      </c>
      <c r="K1509" s="3" t="s">
        <v>216</v>
      </c>
    </row>
    <row r="1510" ht="15.6" spans="4:11">
      <c r="D1510" s="3">
        <v>4095</v>
      </c>
      <c r="E1510" s="3" t="s">
        <v>216</v>
      </c>
      <c r="J1510" s="3" t="s">
        <v>1752</v>
      </c>
      <c r="K1510" s="3" t="s">
        <v>216</v>
      </c>
    </row>
    <row r="1511" ht="15.6" spans="4:11">
      <c r="D1511" s="3">
        <v>4096</v>
      </c>
      <c r="E1511" s="3" t="s">
        <v>216</v>
      </c>
      <c r="J1511" s="3" t="s">
        <v>1753</v>
      </c>
      <c r="K1511" s="3" t="s">
        <v>216</v>
      </c>
    </row>
    <row r="1512" ht="15.6" spans="4:11">
      <c r="D1512" s="3">
        <v>4097</v>
      </c>
      <c r="E1512" s="3" t="s">
        <v>216</v>
      </c>
      <c r="J1512" s="3" t="s">
        <v>1754</v>
      </c>
      <c r="K1512" s="3" t="s">
        <v>216</v>
      </c>
    </row>
    <row r="1513" ht="15.6" spans="4:11">
      <c r="D1513" s="3">
        <v>4098</v>
      </c>
      <c r="E1513" s="3" t="s">
        <v>216</v>
      </c>
      <c r="J1513" s="3" t="s">
        <v>1755</v>
      </c>
      <c r="K1513" s="3" t="s">
        <v>216</v>
      </c>
    </row>
    <row r="1514" ht="15.6" spans="4:11">
      <c r="D1514" s="3">
        <v>4099</v>
      </c>
      <c r="E1514" s="3" t="s">
        <v>216</v>
      </c>
      <c r="J1514" s="3" t="s">
        <v>1756</v>
      </c>
      <c r="K1514" s="3" t="s">
        <v>216</v>
      </c>
    </row>
    <row r="1515" ht="15.6" spans="4:11">
      <c r="D1515" s="3">
        <v>4100</v>
      </c>
      <c r="E1515" s="3" t="s">
        <v>216</v>
      </c>
      <c r="J1515" s="3" t="s">
        <v>1757</v>
      </c>
      <c r="K1515" s="3" t="s">
        <v>216</v>
      </c>
    </row>
    <row r="1516" ht="15.6" spans="4:11">
      <c r="D1516" s="3">
        <v>4101</v>
      </c>
      <c r="E1516" s="3" t="s">
        <v>216</v>
      </c>
      <c r="J1516" s="3" t="s">
        <v>1758</v>
      </c>
      <c r="K1516" s="3" t="s">
        <v>216</v>
      </c>
    </row>
    <row r="1517" ht="15.6" spans="4:11">
      <c r="D1517" s="3">
        <v>4102</v>
      </c>
      <c r="E1517" s="3" t="s">
        <v>216</v>
      </c>
      <c r="J1517" s="3" t="s">
        <v>1759</v>
      </c>
      <c r="K1517" s="3" t="s">
        <v>216</v>
      </c>
    </row>
    <row r="1518" ht="15.6" spans="4:11">
      <c r="D1518" s="3">
        <v>4103</v>
      </c>
      <c r="E1518" s="3" t="s">
        <v>216</v>
      </c>
      <c r="J1518" s="3" t="s">
        <v>1760</v>
      </c>
      <c r="K1518" s="3" t="s">
        <v>216</v>
      </c>
    </row>
    <row r="1519" ht="15.6" spans="4:11">
      <c r="D1519" s="3">
        <v>4104</v>
      </c>
      <c r="E1519" s="3" t="s">
        <v>216</v>
      </c>
      <c r="J1519" s="3" t="s">
        <v>1761</v>
      </c>
      <c r="K1519" s="3" t="s">
        <v>216</v>
      </c>
    </row>
    <row r="1520" ht="15.6" spans="4:11">
      <c r="D1520" s="3">
        <v>4105</v>
      </c>
      <c r="E1520" s="3" t="s">
        <v>216</v>
      </c>
      <c r="J1520" s="3" t="s">
        <v>1762</v>
      </c>
      <c r="K1520" s="3" t="s">
        <v>216</v>
      </c>
    </row>
    <row r="1521" ht="15.6" spans="4:11">
      <c r="D1521" s="3">
        <v>4106</v>
      </c>
      <c r="E1521" s="3" t="s">
        <v>216</v>
      </c>
      <c r="J1521" s="3" t="s">
        <v>1763</v>
      </c>
      <c r="K1521" s="3" t="s">
        <v>216</v>
      </c>
    </row>
    <row r="1522" ht="15.6" spans="4:11">
      <c r="D1522" s="3">
        <v>4107</v>
      </c>
      <c r="E1522" s="3" t="s">
        <v>216</v>
      </c>
      <c r="J1522" s="3" t="s">
        <v>1764</v>
      </c>
      <c r="K1522" s="3" t="s">
        <v>216</v>
      </c>
    </row>
    <row r="1523" ht="15.6" spans="4:11">
      <c r="D1523" s="3">
        <v>4108</v>
      </c>
      <c r="E1523" s="3" t="s">
        <v>216</v>
      </c>
      <c r="J1523" s="3" t="s">
        <v>1765</v>
      </c>
      <c r="K1523" s="3" t="s">
        <v>216</v>
      </c>
    </row>
    <row r="1524" ht="15.6" spans="4:11">
      <c r="D1524" s="3">
        <v>4109</v>
      </c>
      <c r="E1524" s="3" t="s">
        <v>216</v>
      </c>
      <c r="J1524" s="3" t="s">
        <v>1766</v>
      </c>
      <c r="K1524" s="3" t="s">
        <v>216</v>
      </c>
    </row>
    <row r="1525" ht="15.6" spans="4:11">
      <c r="D1525" s="3">
        <v>4110</v>
      </c>
      <c r="E1525" s="3" t="s">
        <v>216</v>
      </c>
      <c r="J1525" s="3" t="s">
        <v>1767</v>
      </c>
      <c r="K1525" s="3" t="s">
        <v>216</v>
      </c>
    </row>
    <row r="1526" ht="15.6" spans="4:11">
      <c r="D1526" s="3">
        <v>4111</v>
      </c>
      <c r="E1526" s="3" t="s">
        <v>216</v>
      </c>
      <c r="J1526" s="3" t="s">
        <v>1768</v>
      </c>
      <c r="K1526" s="3" t="s">
        <v>216</v>
      </c>
    </row>
    <row r="1527" ht="15.6" spans="4:11">
      <c r="D1527" s="3">
        <v>4112</v>
      </c>
      <c r="E1527" s="3" t="s">
        <v>216</v>
      </c>
      <c r="J1527" s="3" t="s">
        <v>1769</v>
      </c>
      <c r="K1527" s="3" t="s">
        <v>216</v>
      </c>
    </row>
    <row r="1528" ht="15.6" spans="4:11">
      <c r="D1528" s="3">
        <v>4113</v>
      </c>
      <c r="E1528" s="3" t="s">
        <v>216</v>
      </c>
      <c r="J1528" s="3" t="s">
        <v>1770</v>
      </c>
      <c r="K1528" s="3" t="s">
        <v>216</v>
      </c>
    </row>
    <row r="1529" ht="15.6" spans="4:11">
      <c r="D1529" s="3">
        <v>4114</v>
      </c>
      <c r="E1529" s="3" t="s">
        <v>216</v>
      </c>
      <c r="J1529" s="3" t="s">
        <v>1771</v>
      </c>
      <c r="K1529" s="3" t="s">
        <v>216</v>
      </c>
    </row>
    <row r="1530" ht="15.6" spans="4:11">
      <c r="D1530" s="3">
        <v>4115</v>
      </c>
      <c r="E1530" s="3" t="s">
        <v>216</v>
      </c>
      <c r="J1530" s="3" t="s">
        <v>1772</v>
      </c>
      <c r="K1530" s="3" t="s">
        <v>216</v>
      </c>
    </row>
    <row r="1531" ht="15.6" spans="4:11">
      <c r="D1531" s="3">
        <v>4116</v>
      </c>
      <c r="E1531" s="3" t="s">
        <v>216</v>
      </c>
      <c r="J1531" s="3" t="s">
        <v>1773</v>
      </c>
      <c r="K1531" s="3" t="s">
        <v>216</v>
      </c>
    </row>
    <row r="1532" ht="15.6" spans="4:11">
      <c r="D1532" s="3">
        <v>4117</v>
      </c>
      <c r="E1532" s="3" t="s">
        <v>216</v>
      </c>
      <c r="J1532" s="3" t="s">
        <v>1774</v>
      </c>
      <c r="K1532" s="3" t="s">
        <v>216</v>
      </c>
    </row>
    <row r="1533" ht="15.6" spans="4:11">
      <c r="D1533" s="3">
        <v>4118</v>
      </c>
      <c r="E1533" s="3" t="s">
        <v>216</v>
      </c>
      <c r="J1533" s="3" t="s">
        <v>1775</v>
      </c>
      <c r="K1533" s="3" t="s">
        <v>216</v>
      </c>
    </row>
    <row r="1534" ht="15.6" spans="4:11">
      <c r="D1534" s="3">
        <v>4119</v>
      </c>
      <c r="E1534" s="3" t="s">
        <v>216</v>
      </c>
      <c r="J1534" s="3" t="s">
        <v>1776</v>
      </c>
      <c r="K1534" s="3" t="s">
        <v>216</v>
      </c>
    </row>
    <row r="1535" ht="15.6" spans="4:11">
      <c r="D1535" s="3">
        <v>4120</v>
      </c>
      <c r="E1535" s="3" t="s">
        <v>216</v>
      </c>
      <c r="J1535" s="3" t="s">
        <v>1777</v>
      </c>
      <c r="K1535" s="3" t="s">
        <v>216</v>
      </c>
    </row>
    <row r="1536" ht="15.6" spans="4:11">
      <c r="D1536" s="3">
        <v>4121</v>
      </c>
      <c r="E1536" s="3" t="s">
        <v>216</v>
      </c>
      <c r="J1536" s="3" t="s">
        <v>1778</v>
      </c>
      <c r="K1536" s="3" t="s">
        <v>216</v>
      </c>
    </row>
    <row r="1537" ht="15.6" spans="4:11">
      <c r="D1537" s="3">
        <v>4122</v>
      </c>
      <c r="E1537" s="3" t="s">
        <v>216</v>
      </c>
      <c r="J1537" s="3" t="s">
        <v>1779</v>
      </c>
      <c r="K1537" s="3" t="s">
        <v>216</v>
      </c>
    </row>
    <row r="1538" ht="15.6" spans="4:11">
      <c r="D1538" s="3">
        <v>4123</v>
      </c>
      <c r="E1538" s="3" t="s">
        <v>216</v>
      </c>
      <c r="J1538" s="3" t="s">
        <v>1780</v>
      </c>
      <c r="K1538" s="3" t="s">
        <v>216</v>
      </c>
    </row>
    <row r="1539" ht="15.6" spans="4:11">
      <c r="D1539" s="3">
        <v>4127</v>
      </c>
      <c r="E1539" s="3" t="s">
        <v>216</v>
      </c>
      <c r="J1539" s="3" t="s">
        <v>1781</v>
      </c>
      <c r="K1539" s="3" t="s">
        <v>216</v>
      </c>
    </row>
    <row r="1540" ht="15.6" spans="4:11">
      <c r="D1540" s="3">
        <v>4128</v>
      </c>
      <c r="E1540" s="3" t="s">
        <v>216</v>
      </c>
      <c r="J1540" s="3" t="s">
        <v>1782</v>
      </c>
      <c r="K1540" s="3" t="s">
        <v>216</v>
      </c>
    </row>
    <row r="1541" ht="15.6" spans="4:11">
      <c r="D1541" s="3">
        <v>4129</v>
      </c>
      <c r="E1541" s="3" t="s">
        <v>216</v>
      </c>
      <c r="J1541" s="3" t="s">
        <v>1783</v>
      </c>
      <c r="K1541" s="3" t="s">
        <v>216</v>
      </c>
    </row>
    <row r="1542" ht="15.6" spans="4:11">
      <c r="D1542" s="3">
        <v>4131</v>
      </c>
      <c r="E1542" s="3" t="s">
        <v>216</v>
      </c>
      <c r="J1542" s="3" t="s">
        <v>1784</v>
      </c>
      <c r="K1542" s="3" t="s">
        <v>216</v>
      </c>
    </row>
    <row r="1543" ht="15.6" spans="4:11">
      <c r="D1543" s="3">
        <v>4132</v>
      </c>
      <c r="E1543" s="3" t="s">
        <v>216</v>
      </c>
      <c r="J1543" s="3" t="s">
        <v>1785</v>
      </c>
      <c r="K1543" s="3" t="s">
        <v>216</v>
      </c>
    </row>
    <row r="1544" ht="15.6" spans="4:11">
      <c r="D1544" s="3">
        <v>4151</v>
      </c>
      <c r="E1544" s="3" t="s">
        <v>216</v>
      </c>
      <c r="J1544" s="3" t="s">
        <v>1786</v>
      </c>
      <c r="K1544" s="3" t="s">
        <v>216</v>
      </c>
    </row>
    <row r="1545" ht="15.6" spans="4:11">
      <c r="D1545" s="3">
        <v>4152</v>
      </c>
      <c r="E1545" s="3" t="s">
        <v>216</v>
      </c>
      <c r="J1545" s="3" t="s">
        <v>1787</v>
      </c>
      <c r="K1545" s="3" t="s">
        <v>216</v>
      </c>
    </row>
    <row r="1546" ht="15.6" spans="4:11">
      <c r="D1546" s="3">
        <v>4153</v>
      </c>
      <c r="E1546" s="3" t="s">
        <v>216</v>
      </c>
      <c r="J1546" s="3" t="s">
        <v>1788</v>
      </c>
      <c r="K1546" s="3" t="s">
        <v>216</v>
      </c>
    </row>
    <row r="1547" ht="15.6" spans="4:11">
      <c r="D1547" s="3">
        <v>4154</v>
      </c>
      <c r="E1547" s="3" t="s">
        <v>216</v>
      </c>
      <c r="J1547" s="3" t="s">
        <v>1789</v>
      </c>
      <c r="K1547" s="3" t="s">
        <v>216</v>
      </c>
    </row>
    <row r="1548" ht="15.6" spans="4:11">
      <c r="D1548" s="3">
        <v>4155</v>
      </c>
      <c r="E1548" s="3" t="s">
        <v>216</v>
      </c>
      <c r="J1548" s="3" t="s">
        <v>1790</v>
      </c>
      <c r="K1548" s="3" t="s">
        <v>216</v>
      </c>
    </row>
    <row r="1549" ht="15.6" spans="4:11">
      <c r="D1549" s="3">
        <v>4156</v>
      </c>
      <c r="E1549" s="3" t="s">
        <v>216</v>
      </c>
      <c r="J1549" s="3" t="s">
        <v>1791</v>
      </c>
      <c r="K1549" s="3" t="s">
        <v>216</v>
      </c>
    </row>
    <row r="1550" ht="15.6" spans="4:11">
      <c r="D1550" s="3">
        <v>4157</v>
      </c>
      <c r="E1550" s="3" t="s">
        <v>216</v>
      </c>
      <c r="J1550" s="3" t="s">
        <v>1792</v>
      </c>
      <c r="K1550" s="3" t="s">
        <v>216</v>
      </c>
    </row>
    <row r="1551" ht="15.6" spans="4:11">
      <c r="D1551" s="3">
        <v>4158</v>
      </c>
      <c r="E1551" s="3" t="s">
        <v>216</v>
      </c>
      <c r="J1551" s="3" t="s">
        <v>1793</v>
      </c>
      <c r="K1551" s="3" t="s">
        <v>216</v>
      </c>
    </row>
    <row r="1552" ht="15.6" spans="4:11">
      <c r="D1552" s="3">
        <v>4159</v>
      </c>
      <c r="E1552" s="3" t="s">
        <v>216</v>
      </c>
      <c r="J1552" s="3" t="s">
        <v>1794</v>
      </c>
      <c r="K1552" s="3" t="s">
        <v>216</v>
      </c>
    </row>
    <row r="1553" ht="15.6" spans="4:11">
      <c r="D1553" s="3">
        <v>4160</v>
      </c>
      <c r="E1553" s="3" t="s">
        <v>216</v>
      </c>
      <c r="J1553" s="3" t="s">
        <v>1795</v>
      </c>
      <c r="K1553" s="3" t="s">
        <v>216</v>
      </c>
    </row>
    <row r="1554" ht="15.6" spans="4:11">
      <c r="D1554" s="3">
        <v>4161</v>
      </c>
      <c r="E1554" s="3" t="s">
        <v>216</v>
      </c>
      <c r="J1554" s="3" t="s">
        <v>1796</v>
      </c>
      <c r="K1554" s="3" t="s">
        <v>216</v>
      </c>
    </row>
    <row r="1555" ht="15.6" spans="4:11">
      <c r="D1555" s="3">
        <v>4162</v>
      </c>
      <c r="E1555" s="3" t="s">
        <v>216</v>
      </c>
      <c r="J1555" s="3" t="s">
        <v>1797</v>
      </c>
      <c r="K1555" s="3" t="s">
        <v>216</v>
      </c>
    </row>
    <row r="1556" ht="15.6" spans="4:11">
      <c r="D1556" s="3">
        <v>4163</v>
      </c>
      <c r="E1556" s="3" t="s">
        <v>216</v>
      </c>
      <c r="J1556" s="3" t="s">
        <v>1798</v>
      </c>
      <c r="K1556" s="3" t="s">
        <v>216</v>
      </c>
    </row>
    <row r="1557" ht="15.6" spans="4:11">
      <c r="D1557" s="3">
        <v>4164</v>
      </c>
      <c r="E1557" s="3" t="s">
        <v>216</v>
      </c>
      <c r="J1557" s="3" t="s">
        <v>1799</v>
      </c>
      <c r="K1557" s="3" t="s">
        <v>216</v>
      </c>
    </row>
    <row r="1558" ht="15.6" spans="4:11">
      <c r="D1558" s="3">
        <v>4169</v>
      </c>
      <c r="E1558" s="3" t="s">
        <v>216</v>
      </c>
      <c r="J1558" s="3" t="s">
        <v>1800</v>
      </c>
      <c r="K1558" s="3" t="s">
        <v>216</v>
      </c>
    </row>
    <row r="1559" ht="15.6" spans="4:11">
      <c r="D1559" s="3">
        <v>4170</v>
      </c>
      <c r="E1559" s="3" t="s">
        <v>216</v>
      </c>
      <c r="J1559" s="3" t="s">
        <v>1801</v>
      </c>
      <c r="K1559" s="3" t="s">
        <v>216</v>
      </c>
    </row>
    <row r="1560" ht="15.6" spans="4:11">
      <c r="D1560" s="3">
        <v>4171</v>
      </c>
      <c r="E1560" s="3" t="s">
        <v>216</v>
      </c>
      <c r="J1560" s="3" t="s">
        <v>1802</v>
      </c>
      <c r="K1560" s="3" t="s">
        <v>216</v>
      </c>
    </row>
    <row r="1561" ht="15.6" spans="4:11">
      <c r="D1561" s="3">
        <v>4172</v>
      </c>
      <c r="E1561" s="3" t="s">
        <v>216</v>
      </c>
      <c r="J1561" s="3" t="s">
        <v>1803</v>
      </c>
      <c r="K1561" s="3" t="s">
        <v>216</v>
      </c>
    </row>
    <row r="1562" ht="15.6" spans="4:11">
      <c r="D1562" s="3">
        <v>4173</v>
      </c>
      <c r="E1562" s="3" t="s">
        <v>216</v>
      </c>
      <c r="J1562" s="3" t="s">
        <v>1804</v>
      </c>
      <c r="K1562" s="3" t="s">
        <v>216</v>
      </c>
    </row>
    <row r="1563" ht="15.6" spans="4:11">
      <c r="D1563" s="3">
        <v>4174</v>
      </c>
      <c r="E1563" s="3" t="s">
        <v>216</v>
      </c>
      <c r="J1563" s="3" t="s">
        <v>1805</v>
      </c>
      <c r="K1563" s="3" t="s">
        <v>216</v>
      </c>
    </row>
    <row r="1564" ht="15.6" spans="4:11">
      <c r="D1564" s="3">
        <v>4175</v>
      </c>
      <c r="E1564" s="3" t="s">
        <v>216</v>
      </c>
      <c r="J1564" s="3" t="s">
        <v>1806</v>
      </c>
      <c r="K1564" s="3" t="s">
        <v>216</v>
      </c>
    </row>
    <row r="1565" ht="15.6" spans="4:11">
      <c r="D1565" s="3">
        <v>4176</v>
      </c>
      <c r="E1565" s="3" t="s">
        <v>216</v>
      </c>
      <c r="J1565" s="3" t="s">
        <v>1807</v>
      </c>
      <c r="K1565" s="3" t="s">
        <v>216</v>
      </c>
    </row>
    <row r="1566" ht="15.6" spans="4:11">
      <c r="D1566" s="3">
        <v>4177</v>
      </c>
      <c r="E1566" s="3" t="s">
        <v>216</v>
      </c>
      <c r="J1566" s="3" t="s">
        <v>1808</v>
      </c>
      <c r="K1566" s="3" t="s">
        <v>216</v>
      </c>
    </row>
    <row r="1567" ht="15.6" spans="4:11">
      <c r="D1567" s="3">
        <v>4178</v>
      </c>
      <c r="E1567" s="3" t="s">
        <v>216</v>
      </c>
      <c r="J1567" s="3" t="s">
        <v>1809</v>
      </c>
      <c r="K1567" s="3" t="s">
        <v>216</v>
      </c>
    </row>
    <row r="1568" ht="15.6" spans="4:11">
      <c r="D1568" s="3">
        <v>4179</v>
      </c>
      <c r="E1568" s="3" t="s">
        <v>216</v>
      </c>
      <c r="J1568" s="3" t="s">
        <v>1810</v>
      </c>
      <c r="K1568" s="3" t="s">
        <v>216</v>
      </c>
    </row>
    <row r="1569" ht="15.6" spans="4:11">
      <c r="D1569" s="3">
        <v>4180</v>
      </c>
      <c r="E1569" s="3" t="s">
        <v>216</v>
      </c>
      <c r="J1569" s="3" t="s">
        <v>1811</v>
      </c>
      <c r="K1569" s="3" t="s">
        <v>216</v>
      </c>
    </row>
    <row r="1570" ht="15.6" spans="4:11">
      <c r="D1570" s="3">
        <v>4181</v>
      </c>
      <c r="E1570" s="3" t="s">
        <v>216</v>
      </c>
      <c r="J1570" s="3" t="s">
        <v>1812</v>
      </c>
      <c r="K1570" s="3" t="s">
        <v>216</v>
      </c>
    </row>
    <row r="1571" ht="15.6" spans="4:11">
      <c r="D1571" s="3">
        <v>4182</v>
      </c>
      <c r="E1571" s="3" t="s">
        <v>216</v>
      </c>
      <c r="J1571" s="3" t="s">
        <v>1813</v>
      </c>
      <c r="K1571" s="3" t="s">
        <v>216</v>
      </c>
    </row>
    <row r="1572" ht="15.6" spans="4:11">
      <c r="D1572" s="3">
        <v>4205</v>
      </c>
      <c r="E1572" s="3" t="s">
        <v>216</v>
      </c>
      <c r="J1572" s="3" t="s">
        <v>1814</v>
      </c>
      <c r="K1572" s="3" t="s">
        <v>216</v>
      </c>
    </row>
    <row r="1573" ht="15.6" spans="4:11">
      <c r="D1573" s="3">
        <v>4206</v>
      </c>
      <c r="E1573" s="3" t="s">
        <v>216</v>
      </c>
      <c r="J1573" s="3" t="s">
        <v>1815</v>
      </c>
      <c r="K1573" s="3" t="s">
        <v>216</v>
      </c>
    </row>
    <row r="1574" ht="15.6" spans="4:11">
      <c r="D1574" s="3">
        <v>5000</v>
      </c>
      <c r="E1574" s="3" t="s">
        <v>216</v>
      </c>
      <c r="J1574" s="3" t="s">
        <v>1816</v>
      </c>
      <c r="K1574" s="3" t="s">
        <v>216</v>
      </c>
    </row>
    <row r="1575" ht="15.6" spans="4:11">
      <c r="D1575" s="3">
        <v>5001</v>
      </c>
      <c r="E1575" s="3" t="s">
        <v>216</v>
      </c>
      <c r="J1575" s="3" t="s">
        <v>1817</v>
      </c>
      <c r="K1575" s="3" t="s">
        <v>216</v>
      </c>
    </row>
    <row r="1576" ht="15.6" spans="4:11">
      <c r="D1576" s="3">
        <v>5002</v>
      </c>
      <c r="E1576" s="3" t="s">
        <v>216</v>
      </c>
      <c r="J1576" s="3" t="s">
        <v>1818</v>
      </c>
      <c r="K1576" s="3" t="s">
        <v>216</v>
      </c>
    </row>
    <row r="1577" ht="15.6" spans="4:11">
      <c r="D1577" s="3">
        <v>5003</v>
      </c>
      <c r="E1577" s="3" t="s">
        <v>216</v>
      </c>
      <c r="J1577" s="3" t="s">
        <v>1819</v>
      </c>
      <c r="K1577" s="3" t="s">
        <v>216</v>
      </c>
    </row>
    <row r="1578" ht="15.6" spans="4:11">
      <c r="D1578" s="3">
        <v>5004</v>
      </c>
      <c r="E1578" s="3" t="s">
        <v>216</v>
      </c>
      <c r="J1578" s="3" t="s">
        <v>1820</v>
      </c>
      <c r="K1578" s="3" t="s">
        <v>216</v>
      </c>
    </row>
    <row r="1579" ht="15.6" spans="4:11">
      <c r="D1579" s="3">
        <v>5005</v>
      </c>
      <c r="E1579" s="3" t="s">
        <v>216</v>
      </c>
      <c r="J1579" s="3" t="s">
        <v>1821</v>
      </c>
      <c r="K1579" s="3" t="s">
        <v>216</v>
      </c>
    </row>
    <row r="1580" ht="15.6" spans="4:11">
      <c r="D1580" s="3">
        <v>5006</v>
      </c>
      <c r="E1580" s="3" t="s">
        <v>216</v>
      </c>
      <c r="J1580" s="3" t="s">
        <v>1822</v>
      </c>
      <c r="K1580" s="3" t="s">
        <v>216</v>
      </c>
    </row>
    <row r="1581" ht="15.6" spans="4:11">
      <c r="D1581" s="3">
        <v>5007</v>
      </c>
      <c r="E1581" s="3" t="s">
        <v>216</v>
      </c>
      <c r="J1581" s="3" t="s">
        <v>1823</v>
      </c>
      <c r="K1581" s="3" t="s">
        <v>216</v>
      </c>
    </row>
    <row r="1582" ht="15.6" spans="4:11">
      <c r="D1582" s="3">
        <v>5008</v>
      </c>
      <c r="E1582" s="3" t="s">
        <v>216</v>
      </c>
      <c r="J1582" s="3" t="s">
        <v>1824</v>
      </c>
      <c r="K1582" s="3" t="s">
        <v>216</v>
      </c>
    </row>
    <row r="1583" ht="15.6" spans="4:11">
      <c r="D1583" s="3">
        <v>5009</v>
      </c>
      <c r="E1583" s="3" t="s">
        <v>216</v>
      </c>
      <c r="J1583" s="3" t="s">
        <v>1825</v>
      </c>
      <c r="K1583" s="3" t="s">
        <v>216</v>
      </c>
    </row>
    <row r="1584" ht="15.6" spans="4:11">
      <c r="D1584" s="3">
        <v>5010</v>
      </c>
      <c r="E1584" s="3" t="s">
        <v>216</v>
      </c>
      <c r="J1584" s="3" t="s">
        <v>1826</v>
      </c>
      <c r="K1584" s="3" t="s">
        <v>216</v>
      </c>
    </row>
    <row r="1585" ht="15.6" spans="4:11">
      <c r="D1585" s="3">
        <v>5011</v>
      </c>
      <c r="E1585" s="3" t="s">
        <v>216</v>
      </c>
      <c r="J1585" s="3" t="s">
        <v>1827</v>
      </c>
      <c r="K1585" s="3" t="s">
        <v>216</v>
      </c>
    </row>
    <row r="1586" ht="15.6" spans="4:11">
      <c r="D1586" s="3">
        <v>5012</v>
      </c>
      <c r="E1586" s="3" t="s">
        <v>216</v>
      </c>
      <c r="J1586" s="3" t="s">
        <v>1828</v>
      </c>
      <c r="K1586" s="3" t="s">
        <v>216</v>
      </c>
    </row>
    <row r="1587" ht="15.6" spans="4:11">
      <c r="D1587" s="3">
        <v>5013</v>
      </c>
      <c r="E1587" s="3" t="s">
        <v>216</v>
      </c>
      <c r="J1587" s="3" t="s">
        <v>1829</v>
      </c>
      <c r="K1587" s="3" t="s">
        <v>216</v>
      </c>
    </row>
    <row r="1588" ht="15.6" spans="4:11">
      <c r="D1588" s="3">
        <v>5014</v>
      </c>
      <c r="E1588" s="3" t="s">
        <v>216</v>
      </c>
      <c r="J1588" s="3" t="s">
        <v>1830</v>
      </c>
      <c r="K1588" s="3" t="s">
        <v>216</v>
      </c>
    </row>
    <row r="1589" ht="15.6" spans="4:11">
      <c r="D1589" s="3">
        <v>5015</v>
      </c>
      <c r="E1589" s="3" t="s">
        <v>216</v>
      </c>
      <c r="J1589" s="3" t="s">
        <v>1831</v>
      </c>
      <c r="K1589" s="3" t="s">
        <v>216</v>
      </c>
    </row>
    <row r="1590" ht="15.6" spans="4:11">
      <c r="D1590" s="3">
        <v>5016</v>
      </c>
      <c r="E1590" s="3" t="s">
        <v>216</v>
      </c>
      <c r="J1590" s="3" t="s">
        <v>1832</v>
      </c>
      <c r="K1590" s="3" t="s">
        <v>216</v>
      </c>
    </row>
    <row r="1591" ht="15.6" spans="4:11">
      <c r="D1591" s="3">
        <v>5017</v>
      </c>
      <c r="E1591" s="3" t="s">
        <v>216</v>
      </c>
      <c r="J1591" s="3" t="s">
        <v>1833</v>
      </c>
      <c r="K1591" s="3" t="s">
        <v>216</v>
      </c>
    </row>
    <row r="1592" ht="15.6" spans="4:11">
      <c r="D1592" s="3">
        <v>5018</v>
      </c>
      <c r="E1592" s="3" t="s">
        <v>216</v>
      </c>
      <c r="J1592" s="3" t="s">
        <v>1834</v>
      </c>
      <c r="K1592" s="3" t="s">
        <v>216</v>
      </c>
    </row>
    <row r="1593" ht="15.6" spans="4:11">
      <c r="D1593" s="3">
        <v>5019</v>
      </c>
      <c r="E1593" s="3" t="s">
        <v>216</v>
      </c>
      <c r="J1593" s="3" t="s">
        <v>1835</v>
      </c>
      <c r="K1593" s="3" t="s">
        <v>216</v>
      </c>
    </row>
    <row r="1594" ht="15.6" spans="4:11">
      <c r="D1594" s="3">
        <v>5020</v>
      </c>
      <c r="E1594" s="3" t="s">
        <v>216</v>
      </c>
      <c r="J1594" s="3" t="s">
        <v>1836</v>
      </c>
      <c r="K1594" s="3" t="s">
        <v>216</v>
      </c>
    </row>
    <row r="1595" ht="15.6" spans="4:11">
      <c r="D1595" s="3">
        <v>5021</v>
      </c>
      <c r="E1595" s="3" t="s">
        <v>216</v>
      </c>
      <c r="J1595" s="3" t="s">
        <v>1837</v>
      </c>
      <c r="K1595" s="3" t="s">
        <v>216</v>
      </c>
    </row>
    <row r="1596" ht="15.6" spans="4:11">
      <c r="D1596" s="3">
        <v>5022</v>
      </c>
      <c r="E1596" s="3" t="s">
        <v>216</v>
      </c>
      <c r="J1596" s="3" t="s">
        <v>1838</v>
      </c>
      <c r="K1596" s="3" t="s">
        <v>216</v>
      </c>
    </row>
    <row r="1597" ht="15.6" spans="4:11">
      <c r="D1597" s="3">
        <v>5023</v>
      </c>
      <c r="E1597" s="3" t="s">
        <v>216</v>
      </c>
      <c r="J1597" s="3" t="s">
        <v>1839</v>
      </c>
      <c r="K1597" s="3" t="s">
        <v>216</v>
      </c>
    </row>
    <row r="1598" ht="15.6" spans="4:11">
      <c r="D1598" s="3">
        <v>5024</v>
      </c>
      <c r="E1598" s="3" t="s">
        <v>216</v>
      </c>
      <c r="J1598" s="3" t="s">
        <v>1840</v>
      </c>
      <c r="K1598" s="3" t="s">
        <v>216</v>
      </c>
    </row>
    <row r="1599" ht="15.6" spans="4:11">
      <c r="D1599" s="3">
        <v>5025</v>
      </c>
      <c r="E1599" s="3" t="s">
        <v>216</v>
      </c>
      <c r="J1599" s="3" t="s">
        <v>1841</v>
      </c>
      <c r="K1599" s="3" t="s">
        <v>216</v>
      </c>
    </row>
    <row r="1600" ht="15.6" spans="4:11">
      <c r="D1600" s="3">
        <v>5026</v>
      </c>
      <c r="E1600" s="3" t="s">
        <v>216</v>
      </c>
      <c r="J1600" s="3" t="s">
        <v>1842</v>
      </c>
      <c r="K1600" s="3" t="s">
        <v>216</v>
      </c>
    </row>
    <row r="1601" ht="15.6" spans="4:11">
      <c r="D1601" s="3">
        <v>5027</v>
      </c>
      <c r="E1601" s="3" t="s">
        <v>216</v>
      </c>
      <c r="J1601" s="3" t="s">
        <v>1843</v>
      </c>
      <c r="K1601" s="3" t="s">
        <v>216</v>
      </c>
    </row>
    <row r="1602" ht="15.6" spans="4:11">
      <c r="D1602" s="3">
        <v>5028</v>
      </c>
      <c r="E1602" s="3" t="s">
        <v>216</v>
      </c>
      <c r="J1602" s="3" t="s">
        <v>1844</v>
      </c>
      <c r="K1602" s="3" t="s">
        <v>216</v>
      </c>
    </row>
    <row r="1603" ht="15.6" spans="4:11">
      <c r="D1603" s="3">
        <v>5029</v>
      </c>
      <c r="E1603" s="3" t="s">
        <v>216</v>
      </c>
      <c r="J1603" s="3" t="s">
        <v>1845</v>
      </c>
      <c r="K1603" s="3" t="s">
        <v>216</v>
      </c>
    </row>
    <row r="1604" ht="15.6" spans="4:11">
      <c r="D1604" s="3">
        <v>5030</v>
      </c>
      <c r="E1604" s="3" t="s">
        <v>216</v>
      </c>
      <c r="J1604" s="3" t="s">
        <v>1846</v>
      </c>
      <c r="K1604" s="3" t="s">
        <v>216</v>
      </c>
    </row>
    <row r="1605" ht="15.6" spans="4:11">
      <c r="D1605" s="3">
        <v>5031</v>
      </c>
      <c r="E1605" s="3" t="s">
        <v>216</v>
      </c>
      <c r="J1605" s="3" t="s">
        <v>1847</v>
      </c>
      <c r="K1605" s="3" t="s">
        <v>216</v>
      </c>
    </row>
    <row r="1606" ht="15.6" spans="4:11">
      <c r="D1606" s="3">
        <v>5032</v>
      </c>
      <c r="E1606" s="3" t="s">
        <v>216</v>
      </c>
      <c r="J1606" s="3" t="s">
        <v>1848</v>
      </c>
      <c r="K1606" s="3" t="s">
        <v>216</v>
      </c>
    </row>
    <row r="1607" ht="15.6" spans="4:11">
      <c r="D1607" s="3">
        <v>5033</v>
      </c>
      <c r="E1607" s="3" t="s">
        <v>216</v>
      </c>
      <c r="J1607" s="3" t="s">
        <v>1849</v>
      </c>
      <c r="K1607" s="3" t="s">
        <v>216</v>
      </c>
    </row>
    <row r="1608" ht="15.6" spans="4:11">
      <c r="D1608" s="3">
        <v>5034</v>
      </c>
      <c r="E1608" s="3" t="s">
        <v>216</v>
      </c>
      <c r="J1608" s="3" t="s">
        <v>1850</v>
      </c>
      <c r="K1608" s="3" t="s">
        <v>216</v>
      </c>
    </row>
    <row r="1609" ht="15.6" spans="4:11">
      <c r="D1609" s="3">
        <v>5035</v>
      </c>
      <c r="E1609" s="3" t="s">
        <v>216</v>
      </c>
      <c r="J1609" s="3" t="s">
        <v>1851</v>
      </c>
      <c r="K1609" s="3" t="s">
        <v>216</v>
      </c>
    </row>
    <row r="1610" ht="15.6" spans="4:11">
      <c r="D1610" s="3">
        <v>5036</v>
      </c>
      <c r="E1610" s="3" t="s">
        <v>216</v>
      </c>
      <c r="J1610" s="3" t="s">
        <v>1852</v>
      </c>
      <c r="K1610" s="3" t="s">
        <v>216</v>
      </c>
    </row>
    <row r="1611" ht="15.6" spans="4:11">
      <c r="D1611" s="3">
        <v>5037</v>
      </c>
      <c r="E1611" s="3" t="s">
        <v>216</v>
      </c>
      <c r="J1611" s="3" t="s">
        <v>1853</v>
      </c>
      <c r="K1611" s="3" t="s">
        <v>216</v>
      </c>
    </row>
    <row r="1612" ht="15.6" spans="4:11">
      <c r="D1612" s="3">
        <v>5038</v>
      </c>
      <c r="E1612" s="3" t="s">
        <v>216</v>
      </c>
      <c r="J1612" s="3" t="s">
        <v>1854</v>
      </c>
      <c r="K1612" s="3" t="s">
        <v>216</v>
      </c>
    </row>
    <row r="1613" ht="15.6" spans="4:11">
      <c r="D1613" s="3">
        <v>5039</v>
      </c>
      <c r="E1613" s="3" t="s">
        <v>216</v>
      </c>
      <c r="J1613" s="3" t="s">
        <v>1855</v>
      </c>
      <c r="K1613" s="3" t="s">
        <v>216</v>
      </c>
    </row>
    <row r="1614" ht="15.6" spans="4:11">
      <c r="D1614" s="3">
        <v>5040</v>
      </c>
      <c r="E1614" s="3" t="s">
        <v>216</v>
      </c>
      <c r="J1614" s="3" t="s">
        <v>1856</v>
      </c>
      <c r="K1614" s="3" t="s">
        <v>216</v>
      </c>
    </row>
    <row r="1615" ht="15.6" spans="4:11">
      <c r="D1615" s="3">
        <v>5041</v>
      </c>
      <c r="E1615" s="3" t="s">
        <v>216</v>
      </c>
      <c r="J1615" s="3" t="s">
        <v>1857</v>
      </c>
      <c r="K1615" s="3" t="s">
        <v>216</v>
      </c>
    </row>
    <row r="1616" ht="15.6" spans="4:11">
      <c r="D1616" s="3">
        <v>5042</v>
      </c>
      <c r="E1616" s="3" t="s">
        <v>216</v>
      </c>
      <c r="J1616" s="3" t="s">
        <v>1858</v>
      </c>
      <c r="K1616" s="3" t="s">
        <v>216</v>
      </c>
    </row>
    <row r="1617" ht="15.6" spans="4:11">
      <c r="D1617" s="3">
        <v>5043</v>
      </c>
      <c r="E1617" s="3" t="s">
        <v>216</v>
      </c>
      <c r="J1617" s="3" t="s">
        <v>1859</v>
      </c>
      <c r="K1617" s="3" t="s">
        <v>216</v>
      </c>
    </row>
    <row r="1618" ht="15.6" spans="4:11">
      <c r="D1618" s="3">
        <v>5044</v>
      </c>
      <c r="E1618" s="3" t="s">
        <v>216</v>
      </c>
      <c r="J1618" s="3" t="s">
        <v>1860</v>
      </c>
      <c r="K1618" s="3" t="s">
        <v>216</v>
      </c>
    </row>
    <row r="1619" ht="15.6" spans="4:11">
      <c r="D1619" s="3">
        <v>5045</v>
      </c>
      <c r="E1619" s="3" t="s">
        <v>216</v>
      </c>
      <c r="J1619" s="3" t="s">
        <v>1861</v>
      </c>
      <c r="K1619" s="3" t="s">
        <v>216</v>
      </c>
    </row>
    <row r="1620" ht="15.6" spans="4:11">
      <c r="D1620" s="3">
        <v>5046</v>
      </c>
      <c r="E1620" s="3" t="s">
        <v>216</v>
      </c>
      <c r="J1620" s="3" t="s">
        <v>1862</v>
      </c>
      <c r="K1620" s="3" t="s">
        <v>216</v>
      </c>
    </row>
    <row r="1621" ht="15.6" spans="4:11">
      <c r="D1621" s="3">
        <v>5047</v>
      </c>
      <c r="E1621" s="3" t="s">
        <v>216</v>
      </c>
      <c r="J1621" s="3" t="s">
        <v>1863</v>
      </c>
      <c r="K1621" s="3" t="s">
        <v>216</v>
      </c>
    </row>
    <row r="1622" ht="15.6" spans="4:11">
      <c r="D1622" s="3">
        <v>5048</v>
      </c>
      <c r="E1622" s="3" t="s">
        <v>216</v>
      </c>
      <c r="J1622" s="3" t="s">
        <v>1864</v>
      </c>
      <c r="K1622" s="3" t="s">
        <v>216</v>
      </c>
    </row>
    <row r="1623" ht="15.6" spans="4:11">
      <c r="D1623" s="3">
        <v>5049</v>
      </c>
      <c r="E1623" s="3" t="s">
        <v>216</v>
      </c>
      <c r="J1623" s="3" t="s">
        <v>1865</v>
      </c>
      <c r="K1623" s="3" t="s">
        <v>216</v>
      </c>
    </row>
    <row r="1624" ht="15.6" spans="4:11">
      <c r="D1624" s="3">
        <v>5050</v>
      </c>
      <c r="E1624" s="3" t="s">
        <v>216</v>
      </c>
      <c r="J1624" s="3" t="s">
        <v>1866</v>
      </c>
      <c r="K1624" s="3" t="s">
        <v>216</v>
      </c>
    </row>
    <row r="1625" ht="15.6" spans="4:11">
      <c r="D1625" s="3">
        <v>5051</v>
      </c>
      <c r="E1625" s="3" t="s">
        <v>216</v>
      </c>
      <c r="J1625" s="3" t="s">
        <v>1867</v>
      </c>
      <c r="K1625" s="3" t="s">
        <v>216</v>
      </c>
    </row>
    <row r="1626" ht="15.6" spans="4:11">
      <c r="D1626" s="3">
        <v>5052</v>
      </c>
      <c r="E1626" s="3" t="s">
        <v>216</v>
      </c>
      <c r="J1626" s="3" t="s">
        <v>1868</v>
      </c>
      <c r="K1626" s="3" t="s">
        <v>216</v>
      </c>
    </row>
    <row r="1627" ht="15.6" spans="4:11">
      <c r="D1627" s="3">
        <v>5053</v>
      </c>
      <c r="E1627" s="3" t="s">
        <v>216</v>
      </c>
      <c r="J1627" s="3" t="s">
        <v>1869</v>
      </c>
      <c r="K1627" s="3" t="s">
        <v>216</v>
      </c>
    </row>
    <row r="1628" ht="15.6" spans="4:11">
      <c r="D1628" s="3">
        <v>5054</v>
      </c>
      <c r="E1628" s="3" t="s">
        <v>216</v>
      </c>
      <c r="J1628" s="3" t="s">
        <v>1870</v>
      </c>
      <c r="K1628" s="3" t="s">
        <v>216</v>
      </c>
    </row>
    <row r="1629" ht="15.6" spans="4:11">
      <c r="D1629" s="3">
        <v>5055</v>
      </c>
      <c r="E1629" s="3" t="s">
        <v>216</v>
      </c>
      <c r="J1629" s="3" t="s">
        <v>1871</v>
      </c>
      <c r="K1629" s="3" t="s">
        <v>216</v>
      </c>
    </row>
    <row r="1630" ht="15.6" spans="4:11">
      <c r="D1630" s="3">
        <v>5056</v>
      </c>
      <c r="E1630" s="3" t="s">
        <v>216</v>
      </c>
      <c r="J1630" s="3" t="s">
        <v>1872</v>
      </c>
      <c r="K1630" s="3" t="s">
        <v>216</v>
      </c>
    </row>
    <row r="1631" ht="15.6" spans="4:11">
      <c r="D1631" s="3">
        <v>5057</v>
      </c>
      <c r="E1631" s="3" t="s">
        <v>216</v>
      </c>
      <c r="J1631" s="3" t="s">
        <v>1873</v>
      </c>
      <c r="K1631" s="3" t="s">
        <v>216</v>
      </c>
    </row>
    <row r="1632" ht="15.6" spans="4:11">
      <c r="D1632" s="3">
        <v>5058</v>
      </c>
      <c r="E1632" s="3" t="s">
        <v>216</v>
      </c>
      <c r="J1632" s="3" t="s">
        <v>1874</v>
      </c>
      <c r="K1632" s="3" t="s">
        <v>216</v>
      </c>
    </row>
    <row r="1633" ht="15.6" spans="4:11">
      <c r="D1633" s="3">
        <v>5059</v>
      </c>
      <c r="E1633" s="3" t="s">
        <v>216</v>
      </c>
      <c r="J1633" s="3" t="s">
        <v>1875</v>
      </c>
      <c r="K1633" s="3" t="s">
        <v>216</v>
      </c>
    </row>
    <row r="1634" ht="15.6" spans="4:11">
      <c r="D1634" s="3">
        <v>5060</v>
      </c>
      <c r="E1634" s="3" t="s">
        <v>216</v>
      </c>
      <c r="J1634" s="3" t="s">
        <v>1876</v>
      </c>
      <c r="K1634" s="3" t="s">
        <v>216</v>
      </c>
    </row>
    <row r="1635" ht="15.6" spans="4:11">
      <c r="D1635" s="3">
        <v>5061</v>
      </c>
      <c r="E1635" s="3" t="s">
        <v>216</v>
      </c>
      <c r="J1635" s="3" t="s">
        <v>1877</v>
      </c>
      <c r="K1635" s="3" t="s">
        <v>216</v>
      </c>
    </row>
    <row r="1636" ht="15.6" spans="4:11">
      <c r="D1636" s="3">
        <v>5062</v>
      </c>
      <c r="E1636" s="3" t="s">
        <v>216</v>
      </c>
      <c r="J1636" s="3" t="s">
        <v>1878</v>
      </c>
      <c r="K1636" s="3" t="s">
        <v>216</v>
      </c>
    </row>
    <row r="1637" ht="15.6" spans="4:11">
      <c r="D1637" s="3">
        <v>5063</v>
      </c>
      <c r="E1637" s="3" t="s">
        <v>216</v>
      </c>
      <c r="J1637" s="3" t="s">
        <v>1879</v>
      </c>
      <c r="K1637" s="3" t="s">
        <v>216</v>
      </c>
    </row>
    <row r="1638" ht="15.6" spans="4:11">
      <c r="D1638" s="3">
        <v>5064</v>
      </c>
      <c r="E1638" s="3" t="s">
        <v>216</v>
      </c>
      <c r="J1638" s="3" t="s">
        <v>1880</v>
      </c>
      <c r="K1638" s="3" t="s">
        <v>216</v>
      </c>
    </row>
    <row r="1639" ht="15.6" spans="4:11">
      <c r="D1639" s="3">
        <v>5065</v>
      </c>
      <c r="E1639" s="3" t="s">
        <v>216</v>
      </c>
      <c r="J1639" s="3" t="s">
        <v>1881</v>
      </c>
      <c r="K1639" s="3" t="s">
        <v>216</v>
      </c>
    </row>
    <row r="1640" ht="15.6" spans="4:11">
      <c r="D1640" s="3">
        <v>5066</v>
      </c>
      <c r="E1640" s="3" t="s">
        <v>216</v>
      </c>
      <c r="J1640" s="3" t="s">
        <v>1882</v>
      </c>
      <c r="K1640" s="3" t="s">
        <v>216</v>
      </c>
    </row>
    <row r="1641" ht="15.6" spans="4:11">
      <c r="D1641" s="3">
        <v>5067</v>
      </c>
      <c r="E1641" s="3" t="s">
        <v>216</v>
      </c>
      <c r="J1641" s="3" t="s">
        <v>1883</v>
      </c>
      <c r="K1641" s="3" t="s">
        <v>216</v>
      </c>
    </row>
    <row r="1642" ht="15.6" spans="4:11">
      <c r="D1642" s="3">
        <v>5068</v>
      </c>
      <c r="E1642" s="3" t="s">
        <v>216</v>
      </c>
      <c r="J1642" s="3" t="s">
        <v>1884</v>
      </c>
      <c r="K1642" s="3" t="s">
        <v>216</v>
      </c>
    </row>
    <row r="1643" ht="15.6" spans="4:11">
      <c r="D1643" s="3">
        <v>5069</v>
      </c>
      <c r="E1643" s="3" t="s">
        <v>216</v>
      </c>
      <c r="J1643" s="3" t="s">
        <v>1885</v>
      </c>
      <c r="K1643" s="3" t="s">
        <v>216</v>
      </c>
    </row>
    <row r="1644" ht="15.6" spans="4:11">
      <c r="D1644" s="3">
        <v>5070</v>
      </c>
      <c r="E1644" s="3" t="s">
        <v>216</v>
      </c>
      <c r="J1644" s="3" t="s">
        <v>1886</v>
      </c>
      <c r="K1644" s="3" t="s">
        <v>216</v>
      </c>
    </row>
    <row r="1645" ht="15.6" spans="4:11">
      <c r="D1645" s="3">
        <v>5071</v>
      </c>
      <c r="E1645" s="3" t="s">
        <v>216</v>
      </c>
      <c r="J1645" s="3" t="s">
        <v>1887</v>
      </c>
      <c r="K1645" s="3" t="s">
        <v>216</v>
      </c>
    </row>
    <row r="1646" ht="15.6" spans="4:11">
      <c r="D1646" s="3">
        <v>5072</v>
      </c>
      <c r="E1646" s="3" t="s">
        <v>216</v>
      </c>
      <c r="J1646" s="3" t="s">
        <v>1888</v>
      </c>
      <c r="K1646" s="3" t="s">
        <v>216</v>
      </c>
    </row>
    <row r="1647" ht="15.6" spans="4:11">
      <c r="D1647" s="3">
        <v>5073</v>
      </c>
      <c r="E1647" s="3" t="s">
        <v>216</v>
      </c>
      <c r="J1647" s="3" t="s">
        <v>1889</v>
      </c>
      <c r="K1647" s="3" t="s">
        <v>216</v>
      </c>
    </row>
    <row r="1648" ht="15.6" spans="4:11">
      <c r="D1648" s="3">
        <v>5074</v>
      </c>
      <c r="E1648" s="3" t="s">
        <v>216</v>
      </c>
      <c r="J1648" s="3" t="s">
        <v>1890</v>
      </c>
      <c r="K1648" s="3" t="s">
        <v>216</v>
      </c>
    </row>
    <row r="1649" ht="15.6" spans="4:11">
      <c r="D1649" s="3">
        <v>5075</v>
      </c>
      <c r="E1649" s="3" t="s">
        <v>216</v>
      </c>
      <c r="J1649" s="3" t="s">
        <v>1891</v>
      </c>
      <c r="K1649" s="3" t="s">
        <v>216</v>
      </c>
    </row>
    <row r="1650" ht="15.6" spans="4:11">
      <c r="D1650" s="3">
        <v>5076</v>
      </c>
      <c r="E1650" s="3" t="s">
        <v>216</v>
      </c>
      <c r="J1650" s="3" t="s">
        <v>1892</v>
      </c>
      <c r="K1650" s="3" t="s">
        <v>216</v>
      </c>
    </row>
    <row r="1651" ht="15.6" spans="4:11">
      <c r="D1651" s="3">
        <v>5077</v>
      </c>
      <c r="E1651" s="3" t="s">
        <v>216</v>
      </c>
      <c r="J1651" s="3" t="s">
        <v>1893</v>
      </c>
      <c r="K1651" s="3" t="s">
        <v>216</v>
      </c>
    </row>
    <row r="1652" ht="15.6" spans="4:11">
      <c r="D1652" s="3">
        <v>5078</v>
      </c>
      <c r="E1652" s="3" t="s">
        <v>216</v>
      </c>
      <c r="J1652" s="3" t="s">
        <v>1894</v>
      </c>
      <c r="K1652" s="3" t="s">
        <v>216</v>
      </c>
    </row>
    <row r="1653" ht="15.6" spans="4:11">
      <c r="D1653" s="3">
        <v>5079</v>
      </c>
      <c r="E1653" s="3" t="s">
        <v>216</v>
      </c>
      <c r="J1653" s="3" t="s">
        <v>1895</v>
      </c>
      <c r="K1653" s="3" t="s">
        <v>216</v>
      </c>
    </row>
    <row r="1654" ht="15.6" spans="4:11">
      <c r="D1654" s="3">
        <v>5080</v>
      </c>
      <c r="E1654" s="3" t="s">
        <v>216</v>
      </c>
      <c r="J1654" s="3" t="s">
        <v>1896</v>
      </c>
      <c r="K1654" s="3" t="s">
        <v>216</v>
      </c>
    </row>
    <row r="1655" ht="15.6" spans="4:11">
      <c r="D1655" s="3">
        <v>5081</v>
      </c>
      <c r="E1655" s="3" t="s">
        <v>216</v>
      </c>
      <c r="J1655" s="3" t="s">
        <v>1897</v>
      </c>
      <c r="K1655" s="3" t="s">
        <v>216</v>
      </c>
    </row>
    <row r="1656" ht="15.6" spans="4:11">
      <c r="D1656" s="3">
        <v>5082</v>
      </c>
      <c r="E1656" s="3" t="s">
        <v>216</v>
      </c>
      <c r="J1656" s="3" t="s">
        <v>1898</v>
      </c>
      <c r="K1656" s="3" t="s">
        <v>216</v>
      </c>
    </row>
    <row r="1657" ht="15.6" spans="4:11">
      <c r="D1657" s="3">
        <v>5083</v>
      </c>
      <c r="E1657" s="3" t="s">
        <v>216</v>
      </c>
      <c r="J1657" s="3" t="s">
        <v>1899</v>
      </c>
      <c r="K1657" s="3" t="s">
        <v>216</v>
      </c>
    </row>
    <row r="1658" ht="15.6" spans="4:11">
      <c r="D1658" s="3">
        <v>5084</v>
      </c>
      <c r="E1658" s="3" t="s">
        <v>216</v>
      </c>
      <c r="J1658" s="3" t="s">
        <v>1900</v>
      </c>
      <c r="K1658" s="3" t="s">
        <v>216</v>
      </c>
    </row>
    <row r="1659" ht="15.6" spans="4:11">
      <c r="D1659" s="3">
        <v>5085</v>
      </c>
      <c r="E1659" s="3" t="s">
        <v>216</v>
      </c>
      <c r="J1659" s="3" t="s">
        <v>1901</v>
      </c>
      <c r="K1659" s="3" t="s">
        <v>216</v>
      </c>
    </row>
    <row r="1660" ht="15.6" spans="4:11">
      <c r="D1660" s="3">
        <v>5086</v>
      </c>
      <c r="E1660" s="3" t="s">
        <v>216</v>
      </c>
      <c r="J1660" s="3" t="s">
        <v>1902</v>
      </c>
      <c r="K1660" s="3" t="s">
        <v>216</v>
      </c>
    </row>
    <row r="1661" ht="15.6" spans="4:11">
      <c r="D1661" s="3">
        <v>5087</v>
      </c>
      <c r="E1661" s="3" t="s">
        <v>216</v>
      </c>
      <c r="J1661" s="3" t="s">
        <v>1903</v>
      </c>
      <c r="K1661" s="3" t="s">
        <v>216</v>
      </c>
    </row>
    <row r="1662" ht="15.6" spans="4:11">
      <c r="D1662" s="3">
        <v>5088</v>
      </c>
      <c r="E1662" s="3" t="s">
        <v>216</v>
      </c>
      <c r="J1662" s="3" t="s">
        <v>1904</v>
      </c>
      <c r="K1662" s="3" t="s">
        <v>216</v>
      </c>
    </row>
    <row r="1663" ht="15.6" spans="4:11">
      <c r="D1663" s="3">
        <v>5089</v>
      </c>
      <c r="E1663" s="3" t="s">
        <v>216</v>
      </c>
      <c r="J1663" s="3" t="s">
        <v>1905</v>
      </c>
      <c r="K1663" s="3" t="s">
        <v>216</v>
      </c>
    </row>
    <row r="1664" ht="15.6" spans="4:11">
      <c r="D1664" s="3">
        <v>5090</v>
      </c>
      <c r="E1664" s="3" t="s">
        <v>216</v>
      </c>
      <c r="J1664" s="3" t="s">
        <v>1906</v>
      </c>
      <c r="K1664" s="3" t="s">
        <v>216</v>
      </c>
    </row>
    <row r="1665" ht="15.6" spans="4:11">
      <c r="D1665" s="3">
        <v>5091</v>
      </c>
      <c r="E1665" s="3" t="s">
        <v>216</v>
      </c>
      <c r="J1665" s="3" t="s">
        <v>1907</v>
      </c>
      <c r="K1665" s="3" t="s">
        <v>216</v>
      </c>
    </row>
    <row r="1666" ht="15.6" spans="4:11">
      <c r="D1666" s="3">
        <v>5092</v>
      </c>
      <c r="E1666" s="3" t="s">
        <v>216</v>
      </c>
      <c r="J1666" s="3" t="s">
        <v>1908</v>
      </c>
      <c r="K1666" s="3" t="s">
        <v>216</v>
      </c>
    </row>
    <row r="1667" ht="15.6" spans="4:11">
      <c r="D1667" s="3">
        <v>5093</v>
      </c>
      <c r="E1667" s="3" t="s">
        <v>216</v>
      </c>
      <c r="J1667" s="3" t="s">
        <v>1909</v>
      </c>
      <c r="K1667" s="3" t="s">
        <v>216</v>
      </c>
    </row>
    <row r="1668" ht="15.6" spans="4:11">
      <c r="D1668" s="3">
        <v>5094</v>
      </c>
      <c r="E1668" s="3" t="s">
        <v>216</v>
      </c>
      <c r="J1668" s="3" t="s">
        <v>1910</v>
      </c>
      <c r="K1668" s="3" t="s">
        <v>216</v>
      </c>
    </row>
    <row r="1669" ht="15.6" spans="4:11">
      <c r="D1669" s="3">
        <v>5095</v>
      </c>
      <c r="E1669" s="3" t="s">
        <v>216</v>
      </c>
      <c r="J1669" s="3" t="s">
        <v>1911</v>
      </c>
      <c r="K1669" s="3" t="s">
        <v>216</v>
      </c>
    </row>
    <row r="1670" ht="15.6" spans="4:11">
      <c r="D1670" s="3">
        <v>5096</v>
      </c>
      <c r="E1670" s="3" t="s">
        <v>216</v>
      </c>
      <c r="J1670" s="3" t="s">
        <v>1912</v>
      </c>
      <c r="K1670" s="3" t="s">
        <v>216</v>
      </c>
    </row>
    <row r="1671" ht="15.6" spans="4:11">
      <c r="D1671" s="3">
        <v>5097</v>
      </c>
      <c r="E1671" s="3" t="s">
        <v>216</v>
      </c>
      <c r="J1671" s="3" t="s">
        <v>1913</v>
      </c>
      <c r="K1671" s="3" t="s">
        <v>216</v>
      </c>
    </row>
    <row r="1672" ht="15.6" spans="4:11">
      <c r="D1672" s="3">
        <v>5098</v>
      </c>
      <c r="E1672" s="3" t="s">
        <v>216</v>
      </c>
      <c r="J1672" s="3" t="s">
        <v>1914</v>
      </c>
      <c r="K1672" s="3" t="s">
        <v>216</v>
      </c>
    </row>
    <row r="1673" ht="15.6" spans="4:11">
      <c r="D1673" s="3">
        <v>5099</v>
      </c>
      <c r="E1673" s="3" t="s">
        <v>216</v>
      </c>
      <c r="J1673" s="3" t="s">
        <v>1915</v>
      </c>
      <c r="K1673" s="3" t="s">
        <v>216</v>
      </c>
    </row>
    <row r="1674" ht="15.6" spans="4:11">
      <c r="D1674" s="3">
        <v>5100</v>
      </c>
      <c r="E1674" s="3" t="s">
        <v>216</v>
      </c>
      <c r="J1674" s="3" t="s">
        <v>1916</v>
      </c>
      <c r="K1674" s="3" t="s">
        <v>216</v>
      </c>
    </row>
    <row r="1675" ht="15.6" spans="4:11">
      <c r="D1675" s="3">
        <v>5101</v>
      </c>
      <c r="E1675" s="3" t="s">
        <v>216</v>
      </c>
      <c r="J1675" s="3" t="s">
        <v>1917</v>
      </c>
      <c r="K1675" s="3" t="s">
        <v>216</v>
      </c>
    </row>
    <row r="1676" ht="15.6" spans="4:11">
      <c r="D1676" s="3">
        <v>5102</v>
      </c>
      <c r="E1676" s="3" t="s">
        <v>216</v>
      </c>
      <c r="J1676" s="3" t="s">
        <v>1918</v>
      </c>
      <c r="K1676" s="3" t="s">
        <v>216</v>
      </c>
    </row>
    <row r="1677" ht="15.6" spans="4:11">
      <c r="D1677" s="3">
        <v>5103</v>
      </c>
      <c r="E1677" s="3" t="s">
        <v>216</v>
      </c>
      <c r="J1677" s="3" t="s">
        <v>1919</v>
      </c>
      <c r="K1677" s="3" t="s">
        <v>216</v>
      </c>
    </row>
    <row r="1678" ht="15.6" spans="4:11">
      <c r="D1678" s="3">
        <v>5104</v>
      </c>
      <c r="E1678" s="3" t="s">
        <v>216</v>
      </c>
      <c r="J1678" s="3" t="s">
        <v>1920</v>
      </c>
      <c r="K1678" s="3" t="s">
        <v>216</v>
      </c>
    </row>
    <row r="1679" ht="15.6" spans="4:11">
      <c r="D1679" s="3">
        <v>5105</v>
      </c>
      <c r="E1679" s="3" t="s">
        <v>216</v>
      </c>
      <c r="J1679" s="3" t="s">
        <v>1921</v>
      </c>
      <c r="K1679" s="3" t="s">
        <v>216</v>
      </c>
    </row>
    <row r="1680" ht="15.6" spans="4:11">
      <c r="D1680" s="3">
        <v>5106</v>
      </c>
      <c r="E1680" s="3" t="s">
        <v>216</v>
      </c>
      <c r="J1680" s="3" t="s">
        <v>1922</v>
      </c>
      <c r="K1680" s="3" t="s">
        <v>216</v>
      </c>
    </row>
    <row r="1681" ht="15.6" spans="4:11">
      <c r="D1681" s="3">
        <v>5107</v>
      </c>
      <c r="E1681" s="3" t="s">
        <v>216</v>
      </c>
      <c r="J1681" s="3" t="s">
        <v>1923</v>
      </c>
      <c r="K1681" s="3" t="s">
        <v>216</v>
      </c>
    </row>
    <row r="1682" ht="15.6" spans="4:11">
      <c r="D1682" s="3">
        <v>5108</v>
      </c>
      <c r="E1682" s="3" t="s">
        <v>216</v>
      </c>
      <c r="J1682" s="3" t="s">
        <v>1924</v>
      </c>
      <c r="K1682" s="3" t="s">
        <v>216</v>
      </c>
    </row>
    <row r="1683" ht="15.6" spans="4:11">
      <c r="D1683" s="3">
        <v>5109</v>
      </c>
      <c r="E1683" s="3" t="s">
        <v>216</v>
      </c>
      <c r="J1683" s="3" t="s">
        <v>1925</v>
      </c>
      <c r="K1683" s="3" t="s">
        <v>216</v>
      </c>
    </row>
    <row r="1684" ht="15.6" spans="4:11">
      <c r="D1684" s="3">
        <v>5110</v>
      </c>
      <c r="E1684" s="3" t="s">
        <v>216</v>
      </c>
      <c r="J1684" s="3" t="s">
        <v>1926</v>
      </c>
      <c r="K1684" s="3" t="s">
        <v>216</v>
      </c>
    </row>
    <row r="1685" ht="15.6" spans="4:11">
      <c r="D1685" s="3">
        <v>5111</v>
      </c>
      <c r="E1685" s="3" t="s">
        <v>216</v>
      </c>
      <c r="J1685" s="3" t="s">
        <v>1927</v>
      </c>
      <c r="K1685" s="3" t="s">
        <v>216</v>
      </c>
    </row>
    <row r="1686" ht="15.6" spans="4:11">
      <c r="D1686" s="3">
        <v>5112</v>
      </c>
      <c r="E1686" s="3" t="s">
        <v>216</v>
      </c>
      <c r="J1686" s="3" t="s">
        <v>1928</v>
      </c>
      <c r="K1686" s="3" t="s">
        <v>216</v>
      </c>
    </row>
    <row r="1687" ht="15.6" spans="4:11">
      <c r="D1687" s="3">
        <v>5113</v>
      </c>
      <c r="E1687" s="3" t="s">
        <v>216</v>
      </c>
      <c r="J1687" s="3" t="s">
        <v>1929</v>
      </c>
      <c r="K1687" s="3" t="s">
        <v>216</v>
      </c>
    </row>
    <row r="1688" ht="15.6" spans="4:11">
      <c r="D1688" s="3">
        <v>5115</v>
      </c>
      <c r="E1688" s="3" t="s">
        <v>216</v>
      </c>
      <c r="J1688" s="3" t="s">
        <v>1930</v>
      </c>
      <c r="K1688" s="3" t="s">
        <v>216</v>
      </c>
    </row>
    <row r="1689" ht="15.6" spans="4:11">
      <c r="D1689" s="3">
        <v>5116</v>
      </c>
      <c r="E1689" s="3" t="s">
        <v>216</v>
      </c>
      <c r="J1689" s="3" t="s">
        <v>1931</v>
      </c>
      <c r="K1689" s="3" t="s">
        <v>216</v>
      </c>
    </row>
    <row r="1690" ht="15.6" spans="4:11">
      <c r="D1690" s="3">
        <v>5117</v>
      </c>
      <c r="E1690" s="3" t="s">
        <v>216</v>
      </c>
      <c r="J1690" s="3" t="s">
        <v>1932</v>
      </c>
      <c r="K1690" s="3" t="s">
        <v>216</v>
      </c>
    </row>
    <row r="1691" ht="15.6" spans="4:11">
      <c r="D1691" s="3">
        <v>5125</v>
      </c>
      <c r="E1691" s="3" t="s">
        <v>216</v>
      </c>
      <c r="J1691" s="3" t="s">
        <v>1933</v>
      </c>
      <c r="K1691" s="3" t="s">
        <v>216</v>
      </c>
    </row>
    <row r="1692" ht="15.6" spans="4:11">
      <c r="D1692" s="3">
        <v>5126</v>
      </c>
      <c r="E1692" s="3" t="s">
        <v>216</v>
      </c>
      <c r="J1692" s="3" t="s">
        <v>1934</v>
      </c>
      <c r="K1692" s="3" t="s">
        <v>216</v>
      </c>
    </row>
    <row r="1693" ht="15.6" spans="4:11">
      <c r="D1693" s="3">
        <v>5127</v>
      </c>
      <c r="E1693" s="3" t="s">
        <v>216</v>
      </c>
      <c r="J1693" s="3" t="s">
        <v>1935</v>
      </c>
      <c r="K1693" s="3" t="s">
        <v>216</v>
      </c>
    </row>
    <row r="1694" ht="15.6" spans="4:11">
      <c r="D1694" s="3">
        <v>5128</v>
      </c>
      <c r="E1694" s="3" t="s">
        <v>216</v>
      </c>
      <c r="J1694" s="3" t="s">
        <v>1936</v>
      </c>
      <c r="K1694" s="3" t="s">
        <v>216</v>
      </c>
    </row>
    <row r="1695" ht="15.6" spans="4:11">
      <c r="D1695" s="3">
        <v>5129</v>
      </c>
      <c r="E1695" s="3" t="s">
        <v>216</v>
      </c>
      <c r="J1695" s="3" t="s">
        <v>1937</v>
      </c>
      <c r="K1695" s="3" t="s">
        <v>216</v>
      </c>
    </row>
    <row r="1696" ht="15.6" spans="4:11">
      <c r="D1696" s="3">
        <v>5130</v>
      </c>
      <c r="E1696" s="3" t="s">
        <v>216</v>
      </c>
      <c r="J1696" s="3" t="s">
        <v>1938</v>
      </c>
      <c r="K1696" s="3" t="s">
        <v>216</v>
      </c>
    </row>
    <row r="1697" ht="15.6" spans="4:11">
      <c r="D1697" s="3">
        <v>5158</v>
      </c>
      <c r="E1697" s="3" t="s">
        <v>216</v>
      </c>
      <c r="J1697" s="3" t="s">
        <v>1939</v>
      </c>
      <c r="K1697" s="3" t="s">
        <v>216</v>
      </c>
    </row>
    <row r="1698" ht="15.6" spans="4:11">
      <c r="D1698" s="3">
        <v>5159</v>
      </c>
      <c r="E1698" s="3" t="s">
        <v>216</v>
      </c>
      <c r="J1698" s="3" t="s">
        <v>1940</v>
      </c>
      <c r="K1698" s="3" t="s">
        <v>216</v>
      </c>
    </row>
    <row r="1699" ht="15.6" spans="4:11">
      <c r="D1699" s="3">
        <v>5160</v>
      </c>
      <c r="E1699" s="3" t="s">
        <v>216</v>
      </c>
      <c r="J1699" s="3" t="s">
        <v>1941</v>
      </c>
      <c r="K1699" s="3" t="s">
        <v>216</v>
      </c>
    </row>
    <row r="1700" ht="15.6" spans="4:11">
      <c r="D1700" s="3">
        <v>5161</v>
      </c>
      <c r="E1700" s="3" t="s">
        <v>216</v>
      </c>
      <c r="J1700" s="3" t="s">
        <v>1942</v>
      </c>
      <c r="K1700" s="3" t="s">
        <v>216</v>
      </c>
    </row>
    <row r="1701" ht="15.6" spans="4:11">
      <c r="D1701" s="3">
        <v>5162</v>
      </c>
      <c r="E1701" s="3" t="s">
        <v>216</v>
      </c>
      <c r="J1701" s="3" t="s">
        <v>1943</v>
      </c>
      <c r="K1701" s="3" t="s">
        <v>216</v>
      </c>
    </row>
    <row r="1702" ht="15.6" spans="4:11">
      <c r="D1702" s="3">
        <v>5163</v>
      </c>
      <c r="E1702" s="3" t="s">
        <v>216</v>
      </c>
      <c r="J1702" s="3" t="s">
        <v>1944</v>
      </c>
      <c r="K1702" s="3" t="s">
        <v>216</v>
      </c>
    </row>
    <row r="1703" ht="15.6" spans="4:11">
      <c r="D1703" s="3">
        <v>5164</v>
      </c>
      <c r="E1703" s="3" t="s">
        <v>216</v>
      </c>
      <c r="J1703" s="3" t="s">
        <v>1945</v>
      </c>
      <c r="K1703" s="3" t="s">
        <v>216</v>
      </c>
    </row>
    <row r="1704" ht="15.6" spans="4:11">
      <c r="D1704" s="3">
        <v>5165</v>
      </c>
      <c r="E1704" s="3" t="s">
        <v>216</v>
      </c>
      <c r="J1704" s="3" t="s">
        <v>1946</v>
      </c>
      <c r="K1704" s="3" t="s">
        <v>216</v>
      </c>
    </row>
    <row r="1705" ht="15.6" spans="4:11">
      <c r="D1705" s="3">
        <v>5166</v>
      </c>
      <c r="E1705" s="3" t="s">
        <v>216</v>
      </c>
      <c r="J1705" s="3" t="s">
        <v>1947</v>
      </c>
      <c r="K1705" s="3" t="s">
        <v>216</v>
      </c>
    </row>
    <row r="1706" ht="15.6" spans="4:11">
      <c r="D1706" s="3">
        <v>5167</v>
      </c>
      <c r="E1706" s="3" t="s">
        <v>216</v>
      </c>
      <c r="J1706" s="3" t="s">
        <v>1948</v>
      </c>
      <c r="K1706" s="3" t="s">
        <v>216</v>
      </c>
    </row>
    <row r="1707" ht="15.6" spans="4:11">
      <c r="D1707" s="3">
        <v>5168</v>
      </c>
      <c r="E1707" s="3" t="s">
        <v>216</v>
      </c>
      <c r="J1707" s="3" t="s">
        <v>1949</v>
      </c>
      <c r="K1707" s="3" t="s">
        <v>216</v>
      </c>
    </row>
    <row r="1708" ht="15.6" spans="4:11">
      <c r="D1708" s="3">
        <v>5169</v>
      </c>
      <c r="E1708" s="3" t="s">
        <v>216</v>
      </c>
      <c r="J1708" s="3" t="s">
        <v>1950</v>
      </c>
      <c r="K1708" s="3" t="s">
        <v>216</v>
      </c>
    </row>
    <row r="1709" ht="15.6" spans="4:11">
      <c r="D1709" s="3">
        <v>5800</v>
      </c>
      <c r="E1709" s="3" t="s">
        <v>216</v>
      </c>
      <c r="J1709" s="3" t="s">
        <v>1951</v>
      </c>
      <c r="K1709" s="3" t="s">
        <v>216</v>
      </c>
    </row>
    <row r="1710" ht="15.6" spans="4:11">
      <c r="D1710" s="3">
        <v>5801</v>
      </c>
      <c r="E1710" s="3" t="s">
        <v>216</v>
      </c>
      <c r="J1710" s="3" t="s">
        <v>1952</v>
      </c>
      <c r="K1710" s="3" t="s">
        <v>216</v>
      </c>
    </row>
    <row r="1711" ht="15.6" spans="4:11">
      <c r="D1711" s="3">
        <v>5802</v>
      </c>
      <c r="E1711" s="3" t="s">
        <v>216</v>
      </c>
      <c r="J1711" s="3" t="s">
        <v>1953</v>
      </c>
      <c r="K1711" s="3" t="s">
        <v>216</v>
      </c>
    </row>
    <row r="1712" ht="15.6" spans="4:11">
      <c r="D1712" s="3">
        <v>5803</v>
      </c>
      <c r="E1712" s="3" t="s">
        <v>216</v>
      </c>
      <c r="J1712" s="3" t="s">
        <v>1954</v>
      </c>
      <c r="K1712" s="3" t="s">
        <v>216</v>
      </c>
    </row>
    <row r="1713" ht="15.6" spans="4:11">
      <c r="D1713" s="3">
        <v>5804</v>
      </c>
      <c r="E1713" s="3" t="s">
        <v>216</v>
      </c>
      <c r="J1713" s="3" t="s">
        <v>1955</v>
      </c>
      <c r="K1713" s="3" t="s">
        <v>216</v>
      </c>
    </row>
    <row r="1714" ht="15.6" spans="4:11">
      <c r="D1714" s="3">
        <v>5805</v>
      </c>
      <c r="E1714" s="3" t="s">
        <v>216</v>
      </c>
      <c r="J1714" s="3" t="s">
        <v>1956</v>
      </c>
      <c r="K1714" s="3" t="s">
        <v>216</v>
      </c>
    </row>
    <row r="1715" ht="15.6" spans="4:11">
      <c r="D1715" s="3">
        <v>5806</v>
      </c>
      <c r="E1715" s="3" t="s">
        <v>216</v>
      </c>
      <c r="J1715" s="3" t="s">
        <v>1957</v>
      </c>
      <c r="K1715" s="3" t="s">
        <v>216</v>
      </c>
    </row>
    <row r="1716" ht="15.6" spans="4:11">
      <c r="D1716" s="3">
        <v>5807</v>
      </c>
      <c r="E1716" s="3" t="s">
        <v>216</v>
      </c>
      <c r="J1716" s="3" t="s">
        <v>1958</v>
      </c>
      <c r="K1716" s="3" t="s">
        <v>216</v>
      </c>
    </row>
    <row r="1717" ht="15.6" spans="4:11">
      <c r="D1717" s="3">
        <v>5808</v>
      </c>
      <c r="E1717" s="3" t="s">
        <v>216</v>
      </c>
      <c r="J1717" s="3" t="s">
        <v>1959</v>
      </c>
      <c r="K1717" s="3" t="s">
        <v>216</v>
      </c>
    </row>
    <row r="1718" ht="15.6" spans="4:11">
      <c r="D1718" s="3">
        <v>5809</v>
      </c>
      <c r="E1718" s="3" t="s">
        <v>216</v>
      </c>
      <c r="J1718" s="3" t="s">
        <v>1960</v>
      </c>
      <c r="K1718" s="3" t="s">
        <v>216</v>
      </c>
    </row>
    <row r="1719" ht="15.6" spans="4:11">
      <c r="D1719" s="3">
        <v>5810</v>
      </c>
      <c r="E1719" s="3" t="s">
        <v>216</v>
      </c>
      <c r="J1719" s="3" t="s">
        <v>1961</v>
      </c>
      <c r="K1719" s="3" t="s">
        <v>216</v>
      </c>
    </row>
    <row r="1720" ht="15.6" spans="4:11">
      <c r="D1720" s="3">
        <v>5811</v>
      </c>
      <c r="E1720" s="3" t="s">
        <v>216</v>
      </c>
      <c r="J1720" s="3" t="s">
        <v>1962</v>
      </c>
      <c r="K1720" s="3" t="s">
        <v>216</v>
      </c>
    </row>
    <row r="1721" ht="15.6" spans="4:11">
      <c r="D1721" s="3">
        <v>5812</v>
      </c>
      <c r="E1721" s="3" t="s">
        <v>216</v>
      </c>
      <c r="J1721" s="3" t="s">
        <v>1963</v>
      </c>
      <c r="K1721" s="3" t="s">
        <v>216</v>
      </c>
    </row>
    <row r="1722" ht="15.6" spans="4:11">
      <c r="D1722" s="3">
        <v>5813</v>
      </c>
      <c r="E1722" s="3" t="s">
        <v>216</v>
      </c>
      <c r="J1722" s="3" t="s">
        <v>1964</v>
      </c>
      <c r="K1722" s="3" t="s">
        <v>216</v>
      </c>
    </row>
    <row r="1723" ht="15.6" spans="4:11">
      <c r="D1723" s="3">
        <v>5814</v>
      </c>
      <c r="E1723" s="3" t="s">
        <v>216</v>
      </c>
      <c r="J1723" s="3" t="s">
        <v>1965</v>
      </c>
      <c r="K1723" s="3" t="s">
        <v>216</v>
      </c>
    </row>
    <row r="1724" ht="15.6" spans="4:11">
      <c r="D1724" s="3">
        <v>5815</v>
      </c>
      <c r="E1724" s="3" t="s">
        <v>216</v>
      </c>
      <c r="J1724" s="3" t="s">
        <v>1966</v>
      </c>
      <c r="K1724" s="3" t="s">
        <v>216</v>
      </c>
    </row>
    <row r="1725" ht="15.6" spans="4:11">
      <c r="D1725" s="3">
        <v>5816</v>
      </c>
      <c r="E1725" s="3" t="s">
        <v>216</v>
      </c>
      <c r="J1725" s="3" t="s">
        <v>1967</v>
      </c>
      <c r="K1725" s="3" t="s">
        <v>216</v>
      </c>
    </row>
    <row r="1726" ht="15.6" spans="4:11">
      <c r="D1726" s="3">
        <v>5817</v>
      </c>
      <c r="E1726" s="3" t="s">
        <v>216</v>
      </c>
      <c r="J1726" s="3" t="s">
        <v>1968</v>
      </c>
      <c r="K1726" s="3" t="s">
        <v>216</v>
      </c>
    </row>
    <row r="1727" ht="15.6" spans="4:11">
      <c r="D1727" s="3">
        <v>5818</v>
      </c>
      <c r="E1727" s="3" t="s">
        <v>216</v>
      </c>
      <c r="J1727" s="3" t="s">
        <v>1969</v>
      </c>
      <c r="K1727" s="3" t="s">
        <v>216</v>
      </c>
    </row>
    <row r="1728" ht="15.6" spans="4:11">
      <c r="D1728" s="3">
        <v>5819</v>
      </c>
      <c r="E1728" s="3" t="s">
        <v>216</v>
      </c>
      <c r="J1728" s="3" t="s">
        <v>1970</v>
      </c>
      <c r="K1728" s="3" t="s">
        <v>216</v>
      </c>
    </row>
    <row r="1729" ht="15.6" spans="4:11">
      <c r="D1729" s="3">
        <v>5820</v>
      </c>
      <c r="E1729" s="3" t="s">
        <v>216</v>
      </c>
      <c r="J1729" s="3" t="s">
        <v>1971</v>
      </c>
      <c r="K1729" s="3" t="s">
        <v>216</v>
      </c>
    </row>
    <row r="1730" ht="15.6" spans="4:11">
      <c r="D1730" s="3">
        <v>5821</v>
      </c>
      <c r="E1730" s="3" t="s">
        <v>216</v>
      </c>
      <c r="J1730" s="3" t="s">
        <v>1972</v>
      </c>
      <c r="K1730" s="3" t="s">
        <v>216</v>
      </c>
    </row>
    <row r="1731" ht="15.6" spans="4:11">
      <c r="D1731" s="3">
        <v>5822</v>
      </c>
      <c r="E1731" s="3" t="s">
        <v>216</v>
      </c>
      <c r="J1731" s="3" t="s">
        <v>1973</v>
      </c>
      <c r="K1731" s="3" t="s">
        <v>216</v>
      </c>
    </row>
    <row r="1732" ht="15.6" spans="4:11">
      <c r="D1732" s="3">
        <v>5823</v>
      </c>
      <c r="E1732" s="3" t="s">
        <v>216</v>
      </c>
      <c r="J1732" s="3" t="s">
        <v>1974</v>
      </c>
      <c r="K1732" s="3" t="s">
        <v>216</v>
      </c>
    </row>
    <row r="1733" ht="15.6" spans="4:11">
      <c r="D1733" s="3">
        <v>5824</v>
      </c>
      <c r="E1733" s="3" t="s">
        <v>216</v>
      </c>
      <c r="J1733" s="3" t="s">
        <v>1975</v>
      </c>
      <c r="K1733" s="3" t="s">
        <v>216</v>
      </c>
    </row>
    <row r="1734" ht="15.6" spans="4:11">
      <c r="D1734" s="3">
        <v>5825</v>
      </c>
      <c r="E1734" s="3" t="s">
        <v>216</v>
      </c>
      <c r="J1734" s="3" t="s">
        <v>1976</v>
      </c>
      <c r="K1734" s="3" t="s">
        <v>216</v>
      </c>
    </row>
    <row r="1735" ht="15.6" spans="4:11">
      <c r="D1735" s="3">
        <v>5826</v>
      </c>
      <c r="E1735" s="3" t="s">
        <v>216</v>
      </c>
      <c r="J1735" s="3" t="s">
        <v>1977</v>
      </c>
      <c r="K1735" s="3" t="s">
        <v>216</v>
      </c>
    </row>
    <row r="1736" ht="15.6" spans="4:11">
      <c r="D1736" s="3">
        <v>5827</v>
      </c>
      <c r="E1736" s="3" t="s">
        <v>216</v>
      </c>
      <c r="J1736" s="3" t="s">
        <v>1978</v>
      </c>
      <c r="K1736" s="3" t="s">
        <v>216</v>
      </c>
    </row>
    <row r="1737" ht="15.6" spans="4:11">
      <c r="D1737" s="3">
        <v>5828</v>
      </c>
      <c r="E1737" s="3" t="s">
        <v>216</v>
      </c>
      <c r="J1737" s="3" t="s">
        <v>1979</v>
      </c>
      <c r="K1737" s="3" t="s">
        <v>216</v>
      </c>
    </row>
    <row r="1738" ht="15.6" spans="4:11">
      <c r="D1738" s="3">
        <v>5829</v>
      </c>
      <c r="E1738" s="3" t="s">
        <v>216</v>
      </c>
      <c r="J1738" s="3" t="s">
        <v>1980</v>
      </c>
      <c r="K1738" s="3" t="s">
        <v>216</v>
      </c>
    </row>
    <row r="1739" ht="15.6" spans="4:11">
      <c r="D1739" s="3">
        <v>5830</v>
      </c>
      <c r="E1739" s="3" t="s">
        <v>216</v>
      </c>
      <c r="J1739" s="3" t="s">
        <v>1981</v>
      </c>
      <c r="K1739" s="3" t="s">
        <v>216</v>
      </c>
    </row>
    <row r="1740" ht="15.6" spans="4:11">
      <c r="D1740" s="3">
        <v>5831</v>
      </c>
      <c r="E1740" s="3" t="s">
        <v>216</v>
      </c>
      <c r="J1740" s="3" t="s">
        <v>1982</v>
      </c>
      <c r="K1740" s="3" t="s">
        <v>216</v>
      </c>
    </row>
    <row r="1741" ht="15.6" spans="4:11">
      <c r="D1741" s="3">
        <v>5832</v>
      </c>
      <c r="E1741" s="3" t="s">
        <v>216</v>
      </c>
      <c r="J1741" s="3" t="s">
        <v>1983</v>
      </c>
      <c r="K1741" s="3" t="s">
        <v>216</v>
      </c>
    </row>
    <row r="1742" ht="15.6" spans="4:11">
      <c r="D1742" s="3">
        <v>5833</v>
      </c>
      <c r="E1742" s="3" t="s">
        <v>216</v>
      </c>
      <c r="J1742" s="3" t="s">
        <v>1984</v>
      </c>
      <c r="K1742" s="3" t="s">
        <v>216</v>
      </c>
    </row>
    <row r="1743" ht="15.6" spans="4:11">
      <c r="D1743" s="3">
        <v>5834</v>
      </c>
      <c r="E1743" s="3" t="s">
        <v>216</v>
      </c>
      <c r="J1743" s="3" t="s">
        <v>1985</v>
      </c>
      <c r="K1743" s="3" t="s">
        <v>216</v>
      </c>
    </row>
    <row r="1744" ht="15.6" spans="4:11">
      <c r="D1744" s="3">
        <v>5835</v>
      </c>
      <c r="E1744" s="3" t="s">
        <v>216</v>
      </c>
      <c r="J1744" s="3" t="s">
        <v>1986</v>
      </c>
      <c r="K1744" s="3" t="s">
        <v>216</v>
      </c>
    </row>
    <row r="1745" ht="15.6" spans="4:11">
      <c r="D1745" s="3">
        <v>5836</v>
      </c>
      <c r="E1745" s="3" t="s">
        <v>216</v>
      </c>
      <c r="J1745" s="3" t="s">
        <v>1987</v>
      </c>
      <c r="K1745" s="3" t="s">
        <v>216</v>
      </c>
    </row>
    <row r="1746" ht="15.6" spans="4:11">
      <c r="D1746" s="3">
        <v>5837</v>
      </c>
      <c r="E1746" s="3" t="s">
        <v>216</v>
      </c>
      <c r="J1746" s="3" t="s">
        <v>1988</v>
      </c>
      <c r="K1746" s="3" t="s">
        <v>216</v>
      </c>
    </row>
    <row r="1747" ht="15.6" spans="4:11">
      <c r="D1747" s="3">
        <v>5838</v>
      </c>
      <c r="E1747" s="3" t="s">
        <v>216</v>
      </c>
      <c r="J1747" s="3" t="s">
        <v>1989</v>
      </c>
      <c r="K1747" s="3" t="s">
        <v>216</v>
      </c>
    </row>
    <row r="1748" ht="15.6" spans="4:11">
      <c r="D1748" s="3">
        <v>5839</v>
      </c>
      <c r="E1748" s="3" t="s">
        <v>216</v>
      </c>
      <c r="J1748" s="3" t="s">
        <v>1990</v>
      </c>
      <c r="K1748" s="3" t="s">
        <v>216</v>
      </c>
    </row>
    <row r="1749" ht="15.6" spans="4:11">
      <c r="D1749" s="3">
        <v>5840</v>
      </c>
      <c r="E1749" s="3" t="s">
        <v>216</v>
      </c>
      <c r="J1749" s="3" t="s">
        <v>1991</v>
      </c>
      <c r="K1749" s="3" t="s">
        <v>216</v>
      </c>
    </row>
    <row r="1750" ht="15.6" spans="4:11">
      <c r="D1750" s="3">
        <v>5841</v>
      </c>
      <c r="E1750" s="3" t="s">
        <v>216</v>
      </c>
      <c r="J1750" s="3" t="s">
        <v>1992</v>
      </c>
      <c r="K1750" s="3" t="s">
        <v>216</v>
      </c>
    </row>
    <row r="1751" ht="15.6" spans="4:11">
      <c r="D1751" s="3">
        <v>5842</v>
      </c>
      <c r="E1751" s="3" t="s">
        <v>216</v>
      </c>
      <c r="J1751" s="3" t="s">
        <v>1993</v>
      </c>
      <c r="K1751" s="3" t="s">
        <v>216</v>
      </c>
    </row>
    <row r="1752" ht="15.6" spans="4:11">
      <c r="D1752" s="3">
        <v>5843</v>
      </c>
      <c r="E1752" s="3" t="s">
        <v>216</v>
      </c>
      <c r="J1752" s="3" t="s">
        <v>1994</v>
      </c>
      <c r="K1752" s="3" t="s">
        <v>216</v>
      </c>
    </row>
    <row r="1753" ht="15.6" spans="4:11">
      <c r="D1753" s="3">
        <v>5844</v>
      </c>
      <c r="E1753" s="3" t="s">
        <v>216</v>
      </c>
      <c r="J1753" s="3" t="s">
        <v>1995</v>
      </c>
      <c r="K1753" s="3" t="s">
        <v>216</v>
      </c>
    </row>
    <row r="1754" ht="15.6" spans="4:11">
      <c r="D1754" s="3">
        <v>5845</v>
      </c>
      <c r="E1754" s="3" t="s">
        <v>216</v>
      </c>
      <c r="J1754" s="3" t="s">
        <v>1996</v>
      </c>
      <c r="K1754" s="3" t="s">
        <v>216</v>
      </c>
    </row>
    <row r="1755" ht="15.6" spans="4:11">
      <c r="D1755" s="3">
        <v>5846</v>
      </c>
      <c r="E1755" s="3" t="s">
        <v>216</v>
      </c>
      <c r="J1755" s="3" t="s">
        <v>1997</v>
      </c>
      <c r="K1755" s="3" t="s">
        <v>216</v>
      </c>
    </row>
    <row r="1756" ht="15.6" spans="4:11">
      <c r="D1756" s="3">
        <v>5847</v>
      </c>
      <c r="E1756" s="3" t="s">
        <v>216</v>
      </c>
      <c r="J1756" s="3" t="s">
        <v>1998</v>
      </c>
      <c r="K1756" s="3" t="s">
        <v>216</v>
      </c>
    </row>
    <row r="1757" ht="15.6" spans="4:11">
      <c r="D1757" s="3">
        <v>5848</v>
      </c>
      <c r="E1757" s="3" t="s">
        <v>216</v>
      </c>
      <c r="J1757" s="3" t="s">
        <v>1999</v>
      </c>
      <c r="K1757" s="3" t="s">
        <v>216</v>
      </c>
    </row>
    <row r="1758" ht="15.6" spans="4:11">
      <c r="D1758" s="3">
        <v>5849</v>
      </c>
      <c r="E1758" s="3" t="s">
        <v>216</v>
      </c>
      <c r="J1758" s="3" t="s">
        <v>2000</v>
      </c>
      <c r="K1758" s="3" t="s">
        <v>216</v>
      </c>
    </row>
    <row r="1759" ht="15.6" spans="4:11">
      <c r="D1759" s="3">
        <v>5850</v>
      </c>
      <c r="E1759" s="3" t="s">
        <v>216</v>
      </c>
      <c r="J1759" s="3" t="s">
        <v>2001</v>
      </c>
      <c r="K1759" s="3" t="s">
        <v>216</v>
      </c>
    </row>
    <row r="1760" ht="15.6" spans="4:11">
      <c r="D1760" s="3">
        <v>5851</v>
      </c>
      <c r="E1760" s="3" t="s">
        <v>216</v>
      </c>
      <c r="J1760" s="3" t="s">
        <v>2002</v>
      </c>
      <c r="K1760" s="3" t="s">
        <v>216</v>
      </c>
    </row>
    <row r="1761" ht="15.6" spans="4:11">
      <c r="D1761" s="3">
        <v>5852</v>
      </c>
      <c r="E1761" s="3" t="s">
        <v>216</v>
      </c>
      <c r="J1761" s="3" t="s">
        <v>2003</v>
      </c>
      <c r="K1761" s="3" t="s">
        <v>216</v>
      </c>
    </row>
    <row r="1762" ht="15.6" spans="4:11">
      <c r="D1762" s="3">
        <v>5853</v>
      </c>
      <c r="E1762" s="3" t="s">
        <v>216</v>
      </c>
      <c r="J1762" s="3" t="s">
        <v>2004</v>
      </c>
      <c r="K1762" s="3" t="s">
        <v>216</v>
      </c>
    </row>
    <row r="1763" ht="15.6" spans="4:11">
      <c r="D1763" s="3">
        <v>5854</v>
      </c>
      <c r="E1763" s="3" t="s">
        <v>216</v>
      </c>
      <c r="J1763" s="3" t="s">
        <v>2005</v>
      </c>
      <c r="K1763" s="3" t="s">
        <v>216</v>
      </c>
    </row>
    <row r="1764" ht="15.6" spans="4:11">
      <c r="D1764" s="3">
        <v>5855</v>
      </c>
      <c r="E1764" s="3" t="s">
        <v>216</v>
      </c>
      <c r="J1764" s="3" t="s">
        <v>2006</v>
      </c>
      <c r="K1764" s="3" t="s">
        <v>216</v>
      </c>
    </row>
    <row r="1765" ht="15.6" spans="4:11">
      <c r="D1765" s="3">
        <v>5856</v>
      </c>
      <c r="E1765" s="3" t="s">
        <v>216</v>
      </c>
      <c r="J1765" s="3" t="s">
        <v>2007</v>
      </c>
      <c r="K1765" s="3" t="s">
        <v>216</v>
      </c>
    </row>
    <row r="1766" ht="15.6" spans="4:11">
      <c r="D1766" s="3">
        <v>5857</v>
      </c>
      <c r="E1766" s="3" t="s">
        <v>216</v>
      </c>
      <c r="J1766" s="3" t="s">
        <v>2008</v>
      </c>
      <c r="K1766" s="3" t="s">
        <v>216</v>
      </c>
    </row>
    <row r="1767" ht="15.6" spans="4:11">
      <c r="D1767" s="3">
        <v>5858</v>
      </c>
      <c r="E1767" s="3" t="s">
        <v>216</v>
      </c>
      <c r="J1767" s="3" t="s">
        <v>2009</v>
      </c>
      <c r="K1767" s="3" t="s">
        <v>216</v>
      </c>
    </row>
    <row r="1768" ht="15.6" spans="4:11">
      <c r="D1768" s="3">
        <v>5859</v>
      </c>
      <c r="E1768" s="3" t="s">
        <v>216</v>
      </c>
      <c r="J1768" s="3" t="s">
        <v>2010</v>
      </c>
      <c r="K1768" s="3" t="s">
        <v>216</v>
      </c>
    </row>
    <row r="1769" ht="15.6" spans="4:11">
      <c r="D1769" s="3">
        <v>5860</v>
      </c>
      <c r="E1769" s="3" t="s">
        <v>216</v>
      </c>
      <c r="J1769" s="3" t="s">
        <v>2011</v>
      </c>
      <c r="K1769" s="3" t="s">
        <v>216</v>
      </c>
    </row>
    <row r="1770" ht="15.6" spans="4:11">
      <c r="D1770" s="3">
        <v>5861</v>
      </c>
      <c r="E1770" s="3" t="s">
        <v>216</v>
      </c>
      <c r="J1770" s="3" t="s">
        <v>2012</v>
      </c>
      <c r="K1770" s="3" t="s">
        <v>216</v>
      </c>
    </row>
    <row r="1771" ht="15.6" spans="4:11">
      <c r="D1771" s="3">
        <v>5862</v>
      </c>
      <c r="E1771" s="3" t="s">
        <v>216</v>
      </c>
      <c r="J1771" s="3" t="s">
        <v>2013</v>
      </c>
      <c r="K1771" s="3" t="s">
        <v>216</v>
      </c>
    </row>
    <row r="1772" ht="15.6" spans="4:11">
      <c r="D1772" s="3">
        <v>5863</v>
      </c>
      <c r="E1772" s="3" t="s">
        <v>216</v>
      </c>
      <c r="J1772" s="3" t="s">
        <v>2014</v>
      </c>
      <c r="K1772" s="3" t="s">
        <v>216</v>
      </c>
    </row>
    <row r="1773" ht="15.6" spans="4:11">
      <c r="D1773" s="3">
        <v>5864</v>
      </c>
      <c r="E1773" s="3" t="s">
        <v>216</v>
      </c>
      <c r="J1773" s="3" t="s">
        <v>2015</v>
      </c>
      <c r="K1773" s="3" t="s">
        <v>216</v>
      </c>
    </row>
    <row r="1774" ht="15.6" spans="4:11">
      <c r="D1774" s="3">
        <v>5865</v>
      </c>
      <c r="E1774" s="3" t="s">
        <v>216</v>
      </c>
      <c r="J1774" s="3" t="s">
        <v>2016</v>
      </c>
      <c r="K1774" s="3" t="s">
        <v>216</v>
      </c>
    </row>
    <row r="1775" ht="15.6" spans="4:11">
      <c r="D1775" s="3">
        <v>5866</v>
      </c>
      <c r="E1775" s="3" t="s">
        <v>216</v>
      </c>
      <c r="J1775" s="3" t="s">
        <v>2017</v>
      </c>
      <c r="K1775" s="3" t="s">
        <v>216</v>
      </c>
    </row>
    <row r="1776" ht="15.6" spans="4:11">
      <c r="D1776" s="3">
        <v>5867</v>
      </c>
      <c r="E1776" s="3" t="s">
        <v>216</v>
      </c>
      <c r="J1776" s="3" t="s">
        <v>2018</v>
      </c>
      <c r="K1776" s="3" t="s">
        <v>216</v>
      </c>
    </row>
    <row r="1777" ht="15.6" spans="4:11">
      <c r="D1777" s="3">
        <v>5868</v>
      </c>
      <c r="E1777" s="3" t="s">
        <v>216</v>
      </c>
      <c r="J1777" s="3" t="s">
        <v>2019</v>
      </c>
      <c r="K1777" s="3" t="s">
        <v>216</v>
      </c>
    </row>
    <row r="1778" ht="15.6" spans="4:11">
      <c r="D1778" s="3">
        <v>5869</v>
      </c>
      <c r="E1778" s="3" t="s">
        <v>216</v>
      </c>
      <c r="J1778" s="3" t="s">
        <v>2020</v>
      </c>
      <c r="K1778" s="3" t="s">
        <v>216</v>
      </c>
    </row>
    <row r="1779" ht="15.6" spans="4:11">
      <c r="D1779" s="3">
        <v>5870</v>
      </c>
      <c r="E1779" s="3" t="s">
        <v>216</v>
      </c>
      <c r="J1779" s="3" t="s">
        <v>2021</v>
      </c>
      <c r="K1779" s="3" t="s">
        <v>216</v>
      </c>
    </row>
    <row r="1780" ht="15.6" spans="4:11">
      <c r="D1780" s="3">
        <v>5871</v>
      </c>
      <c r="E1780" s="3" t="s">
        <v>216</v>
      </c>
      <c r="J1780" s="3" t="s">
        <v>2022</v>
      </c>
      <c r="K1780" s="3" t="s">
        <v>216</v>
      </c>
    </row>
    <row r="1781" ht="15.6" spans="4:11">
      <c r="D1781" s="3">
        <v>5872</v>
      </c>
      <c r="E1781" s="3" t="s">
        <v>216</v>
      </c>
      <c r="J1781" s="3" t="s">
        <v>2023</v>
      </c>
      <c r="K1781" s="3" t="s">
        <v>216</v>
      </c>
    </row>
    <row r="1782" ht="15.6" spans="4:11">
      <c r="D1782" s="3">
        <v>5873</v>
      </c>
      <c r="E1782" s="3" t="s">
        <v>216</v>
      </c>
      <c r="J1782" s="3" t="s">
        <v>2024</v>
      </c>
      <c r="K1782" s="3" t="s">
        <v>216</v>
      </c>
    </row>
    <row r="1783" ht="15.6" spans="4:11">
      <c r="D1783" s="3">
        <v>5874</v>
      </c>
      <c r="E1783" s="3" t="s">
        <v>216</v>
      </c>
      <c r="J1783" s="3" t="s">
        <v>2025</v>
      </c>
      <c r="K1783" s="3" t="s">
        <v>216</v>
      </c>
    </row>
    <row r="1784" ht="15.6" spans="4:11">
      <c r="D1784" s="3">
        <v>5875</v>
      </c>
      <c r="E1784" s="3" t="s">
        <v>216</v>
      </c>
      <c r="J1784" s="3" t="s">
        <v>2026</v>
      </c>
      <c r="K1784" s="3" t="s">
        <v>216</v>
      </c>
    </row>
    <row r="1785" ht="15.6" spans="4:11">
      <c r="D1785" s="3">
        <v>5876</v>
      </c>
      <c r="E1785" s="3" t="s">
        <v>216</v>
      </c>
      <c r="J1785" s="3" t="s">
        <v>2027</v>
      </c>
      <c r="K1785" s="3" t="s">
        <v>216</v>
      </c>
    </row>
    <row r="1786" ht="15.6" spans="4:11">
      <c r="D1786" s="3">
        <v>5877</v>
      </c>
      <c r="E1786" s="3" t="s">
        <v>216</v>
      </c>
      <c r="J1786" s="3" t="s">
        <v>2028</v>
      </c>
      <c r="K1786" s="3" t="s">
        <v>216</v>
      </c>
    </row>
    <row r="1787" ht="15.6" spans="4:11">
      <c r="D1787" s="3">
        <v>5878</v>
      </c>
      <c r="E1787" s="3" t="s">
        <v>216</v>
      </c>
      <c r="J1787" s="3" t="s">
        <v>2029</v>
      </c>
      <c r="K1787" s="3" t="s">
        <v>216</v>
      </c>
    </row>
    <row r="1788" ht="15.6" spans="4:11">
      <c r="D1788" s="3">
        <v>5879</v>
      </c>
      <c r="E1788" s="3" t="s">
        <v>216</v>
      </c>
      <c r="J1788" s="3" t="s">
        <v>2030</v>
      </c>
      <c r="K1788" s="3" t="s">
        <v>216</v>
      </c>
    </row>
    <row r="1789" ht="15.6" spans="4:11">
      <c r="D1789" s="3">
        <v>5880</v>
      </c>
      <c r="E1789" s="3" t="s">
        <v>216</v>
      </c>
      <c r="J1789" s="3" t="s">
        <v>2031</v>
      </c>
      <c r="K1789" s="3" t="s">
        <v>216</v>
      </c>
    </row>
    <row r="1790" ht="15.6" spans="4:11">
      <c r="D1790" s="3">
        <v>5881</v>
      </c>
      <c r="E1790" s="3" t="s">
        <v>216</v>
      </c>
      <c r="J1790" s="3" t="s">
        <v>2032</v>
      </c>
      <c r="K1790" s="3" t="s">
        <v>216</v>
      </c>
    </row>
    <row r="1791" ht="15.6" spans="4:11">
      <c r="D1791" s="3">
        <v>5882</v>
      </c>
      <c r="E1791" s="3" t="s">
        <v>216</v>
      </c>
      <c r="J1791" s="3" t="s">
        <v>2033</v>
      </c>
      <c r="K1791" s="3" t="s">
        <v>216</v>
      </c>
    </row>
    <row r="1792" ht="15.6" spans="4:11">
      <c r="D1792" s="3">
        <v>5883</v>
      </c>
      <c r="E1792" s="3" t="s">
        <v>216</v>
      </c>
      <c r="J1792" s="3" t="s">
        <v>2034</v>
      </c>
      <c r="K1792" s="3" t="s">
        <v>216</v>
      </c>
    </row>
    <row r="1793" ht="15.6" spans="4:11">
      <c r="D1793" s="3">
        <v>5884</v>
      </c>
      <c r="E1793" s="3" t="s">
        <v>216</v>
      </c>
      <c r="J1793" s="3" t="s">
        <v>2035</v>
      </c>
      <c r="K1793" s="3" t="s">
        <v>216</v>
      </c>
    </row>
    <row r="1794" ht="15.6" spans="4:11">
      <c r="D1794" s="3">
        <v>5885</v>
      </c>
      <c r="E1794" s="3" t="s">
        <v>216</v>
      </c>
      <c r="J1794" s="3" t="s">
        <v>2036</v>
      </c>
      <c r="K1794" s="3" t="s">
        <v>216</v>
      </c>
    </row>
    <row r="1795" ht="15.6" spans="4:11">
      <c r="D1795" s="3">
        <v>5886</v>
      </c>
      <c r="E1795" s="3" t="s">
        <v>216</v>
      </c>
      <c r="J1795" s="3" t="s">
        <v>2037</v>
      </c>
      <c r="K1795" s="3" t="s">
        <v>216</v>
      </c>
    </row>
    <row r="1796" ht="15.6" spans="4:11">
      <c r="D1796" s="3">
        <v>5887</v>
      </c>
      <c r="E1796" s="3" t="s">
        <v>216</v>
      </c>
      <c r="J1796" s="3" t="s">
        <v>2038</v>
      </c>
      <c r="K1796" s="3" t="s">
        <v>216</v>
      </c>
    </row>
    <row r="1797" ht="15.6" spans="4:11">
      <c r="D1797" s="3">
        <v>5888</v>
      </c>
      <c r="E1797" s="3" t="s">
        <v>216</v>
      </c>
      <c r="J1797" s="3" t="s">
        <v>2039</v>
      </c>
      <c r="K1797" s="3" t="s">
        <v>216</v>
      </c>
    </row>
    <row r="1798" ht="15.6" spans="4:11">
      <c r="D1798" s="3">
        <v>5889</v>
      </c>
      <c r="E1798" s="3" t="s">
        <v>216</v>
      </c>
      <c r="J1798" s="3" t="s">
        <v>2040</v>
      </c>
      <c r="K1798" s="3" t="s">
        <v>216</v>
      </c>
    </row>
    <row r="1799" ht="15.6" spans="4:11">
      <c r="D1799" s="3">
        <v>5890</v>
      </c>
      <c r="E1799" s="3" t="s">
        <v>216</v>
      </c>
      <c r="J1799" s="3" t="s">
        <v>2041</v>
      </c>
      <c r="K1799" s="3" t="s">
        <v>216</v>
      </c>
    </row>
    <row r="1800" ht="15.6" spans="4:11">
      <c r="D1800" s="3">
        <v>5891</v>
      </c>
      <c r="E1800" s="3" t="s">
        <v>216</v>
      </c>
      <c r="J1800" s="3" t="s">
        <v>2042</v>
      </c>
      <c r="K1800" s="3" t="s">
        <v>216</v>
      </c>
    </row>
    <row r="1801" ht="15.6" spans="4:11">
      <c r="D1801" s="3">
        <v>5892</v>
      </c>
      <c r="E1801" s="3" t="s">
        <v>216</v>
      </c>
      <c r="J1801" s="3" t="s">
        <v>2043</v>
      </c>
      <c r="K1801" s="3" t="s">
        <v>216</v>
      </c>
    </row>
    <row r="1802" ht="15.6" spans="4:11">
      <c r="D1802" s="3">
        <v>5893</v>
      </c>
      <c r="E1802" s="3" t="s">
        <v>216</v>
      </c>
      <c r="J1802" s="3" t="s">
        <v>2044</v>
      </c>
      <c r="K1802" s="3" t="s">
        <v>216</v>
      </c>
    </row>
    <row r="1803" ht="15.6" spans="4:11">
      <c r="D1803" s="3">
        <v>5894</v>
      </c>
      <c r="E1803" s="3" t="s">
        <v>216</v>
      </c>
      <c r="J1803" s="3" t="s">
        <v>2045</v>
      </c>
      <c r="K1803" s="3" t="s">
        <v>216</v>
      </c>
    </row>
    <row r="1804" ht="15.6" spans="4:11">
      <c r="D1804" s="3">
        <v>5895</v>
      </c>
      <c r="E1804" s="3" t="s">
        <v>216</v>
      </c>
      <c r="J1804" s="3" t="s">
        <v>2046</v>
      </c>
      <c r="K1804" s="3" t="s">
        <v>216</v>
      </c>
    </row>
    <row r="1805" ht="15.6" spans="4:11">
      <c r="D1805" s="3">
        <v>5896</v>
      </c>
      <c r="E1805" s="3" t="s">
        <v>216</v>
      </c>
      <c r="J1805" s="3" t="s">
        <v>2047</v>
      </c>
      <c r="K1805" s="3" t="s">
        <v>216</v>
      </c>
    </row>
    <row r="1806" ht="15.6" spans="4:11">
      <c r="D1806" s="3">
        <v>5897</v>
      </c>
      <c r="E1806" s="3" t="s">
        <v>216</v>
      </c>
      <c r="J1806" s="3" t="s">
        <v>2048</v>
      </c>
      <c r="K1806" s="3" t="s">
        <v>216</v>
      </c>
    </row>
    <row r="1807" ht="15.6" spans="4:11">
      <c r="D1807" s="3">
        <v>5898</v>
      </c>
      <c r="E1807" s="3" t="s">
        <v>216</v>
      </c>
      <c r="J1807" s="3" t="s">
        <v>2049</v>
      </c>
      <c r="K1807" s="3" t="s">
        <v>216</v>
      </c>
    </row>
    <row r="1808" ht="15.6" spans="4:11">
      <c r="D1808" s="3">
        <v>5899</v>
      </c>
      <c r="E1808" s="3" t="s">
        <v>216</v>
      </c>
      <c r="J1808" s="3" t="s">
        <v>2050</v>
      </c>
      <c r="K1808" s="3" t="s">
        <v>216</v>
      </c>
    </row>
    <row r="1809" ht="15.6" spans="4:11">
      <c r="D1809" s="3">
        <v>5900</v>
      </c>
      <c r="E1809" s="3" t="s">
        <v>216</v>
      </c>
      <c r="J1809" s="3" t="s">
        <v>2051</v>
      </c>
      <c r="K1809" s="3" t="s">
        <v>216</v>
      </c>
    </row>
    <row r="1810" ht="15.6" spans="4:11">
      <c r="D1810" s="3">
        <v>5901</v>
      </c>
      <c r="E1810" s="3" t="s">
        <v>216</v>
      </c>
      <c r="J1810" s="3" t="s">
        <v>2052</v>
      </c>
      <c r="K1810" s="3" t="s">
        <v>216</v>
      </c>
    </row>
    <row r="1811" ht="15.6" spans="4:11">
      <c r="D1811" s="3">
        <v>5902</v>
      </c>
      <c r="E1811" s="3" t="s">
        <v>216</v>
      </c>
      <c r="J1811" s="3" t="s">
        <v>2053</v>
      </c>
      <c r="K1811" s="3" t="s">
        <v>216</v>
      </c>
    </row>
    <row r="1812" ht="15.6" spans="4:11">
      <c r="D1812" s="3">
        <v>5903</v>
      </c>
      <c r="E1812" s="3" t="s">
        <v>216</v>
      </c>
      <c r="J1812" s="3" t="s">
        <v>2054</v>
      </c>
      <c r="K1812" s="3" t="s">
        <v>216</v>
      </c>
    </row>
    <row r="1813" ht="15.6" spans="4:11">
      <c r="D1813" s="3">
        <v>5904</v>
      </c>
      <c r="E1813" s="3" t="s">
        <v>216</v>
      </c>
      <c r="J1813" s="3" t="s">
        <v>2055</v>
      </c>
      <c r="K1813" s="3" t="s">
        <v>216</v>
      </c>
    </row>
    <row r="1814" ht="15.6" spans="4:11">
      <c r="D1814" s="3">
        <v>5905</v>
      </c>
      <c r="E1814" s="3" t="s">
        <v>216</v>
      </c>
      <c r="J1814" s="3" t="s">
        <v>2056</v>
      </c>
      <c r="K1814" s="3" t="s">
        <v>216</v>
      </c>
    </row>
    <row r="1815" ht="15.6" spans="4:11">
      <c r="D1815" s="3">
        <v>5906</v>
      </c>
      <c r="E1815" s="3" t="s">
        <v>216</v>
      </c>
      <c r="J1815" s="3" t="s">
        <v>2057</v>
      </c>
      <c r="K1815" s="3" t="s">
        <v>216</v>
      </c>
    </row>
    <row r="1816" ht="15.6" spans="4:11">
      <c r="D1816" s="3">
        <v>5907</v>
      </c>
      <c r="E1816" s="3" t="s">
        <v>216</v>
      </c>
      <c r="J1816" s="3" t="s">
        <v>2058</v>
      </c>
      <c r="K1816" s="3" t="s">
        <v>216</v>
      </c>
    </row>
    <row r="1817" ht="15.6" spans="4:11">
      <c r="D1817" s="3">
        <v>5908</v>
      </c>
      <c r="E1817" s="3" t="s">
        <v>216</v>
      </c>
      <c r="J1817" s="3" t="s">
        <v>2059</v>
      </c>
      <c r="K1817" s="3" t="s">
        <v>216</v>
      </c>
    </row>
    <row r="1818" ht="15.6" spans="4:11">
      <c r="D1818" s="3">
        <v>5909</v>
      </c>
      <c r="E1818" s="3" t="s">
        <v>216</v>
      </c>
      <c r="J1818" s="3" t="s">
        <v>2060</v>
      </c>
      <c r="K1818" s="3" t="s">
        <v>216</v>
      </c>
    </row>
    <row r="1819" ht="15.6" spans="4:11">
      <c r="D1819" s="3">
        <v>5910</v>
      </c>
      <c r="E1819" s="3" t="s">
        <v>216</v>
      </c>
      <c r="J1819" s="3" t="s">
        <v>2061</v>
      </c>
      <c r="K1819" s="3" t="s">
        <v>216</v>
      </c>
    </row>
    <row r="1820" ht="15.6" spans="4:11">
      <c r="D1820" s="3">
        <v>5911</v>
      </c>
      <c r="E1820" s="3" t="s">
        <v>216</v>
      </c>
      <c r="J1820" s="3" t="s">
        <v>2062</v>
      </c>
      <c r="K1820" s="3" t="s">
        <v>216</v>
      </c>
    </row>
    <row r="1821" ht="15.6" spans="4:11">
      <c r="D1821" s="3">
        <v>5912</v>
      </c>
      <c r="E1821" s="3" t="s">
        <v>216</v>
      </c>
      <c r="J1821" s="3" t="s">
        <v>2063</v>
      </c>
      <c r="K1821" s="3" t="s">
        <v>216</v>
      </c>
    </row>
    <row r="1822" ht="15.6" spans="4:11">
      <c r="D1822" s="3">
        <v>5913</v>
      </c>
      <c r="E1822" s="3" t="s">
        <v>216</v>
      </c>
      <c r="J1822" s="3" t="s">
        <v>2064</v>
      </c>
      <c r="K1822" s="3" t="s">
        <v>216</v>
      </c>
    </row>
    <row r="1823" ht="15.6" spans="4:11">
      <c r="D1823" s="3">
        <v>5914</v>
      </c>
      <c r="E1823" s="3" t="s">
        <v>216</v>
      </c>
      <c r="J1823" s="3" t="s">
        <v>2065</v>
      </c>
      <c r="K1823" s="3" t="s">
        <v>216</v>
      </c>
    </row>
    <row r="1824" ht="15.6" spans="4:11">
      <c r="D1824" s="3">
        <v>5915</v>
      </c>
      <c r="E1824" s="3" t="s">
        <v>216</v>
      </c>
      <c r="J1824" s="3" t="s">
        <v>2066</v>
      </c>
      <c r="K1824" s="3" t="s">
        <v>216</v>
      </c>
    </row>
    <row r="1825" ht="15.6" spans="4:11">
      <c r="D1825" s="3">
        <v>5916</v>
      </c>
      <c r="E1825" s="3" t="s">
        <v>216</v>
      </c>
      <c r="J1825" s="3" t="s">
        <v>2067</v>
      </c>
      <c r="K1825" s="3" t="s">
        <v>216</v>
      </c>
    </row>
    <row r="1826" ht="15.6" spans="4:11">
      <c r="D1826" s="3">
        <v>5917</v>
      </c>
      <c r="E1826" s="3" t="s">
        <v>216</v>
      </c>
      <c r="J1826" s="3" t="s">
        <v>2068</v>
      </c>
      <c r="K1826" s="3" t="s">
        <v>216</v>
      </c>
    </row>
    <row r="1827" ht="15.6" spans="4:11">
      <c r="D1827" s="3">
        <v>5918</v>
      </c>
      <c r="E1827" s="3" t="s">
        <v>216</v>
      </c>
      <c r="J1827" s="3" t="s">
        <v>2069</v>
      </c>
      <c r="K1827" s="3" t="s">
        <v>216</v>
      </c>
    </row>
    <row r="1828" ht="15.6" spans="4:11">
      <c r="D1828" s="3">
        <v>5919</v>
      </c>
      <c r="E1828" s="3" t="s">
        <v>216</v>
      </c>
      <c r="J1828" s="3" t="s">
        <v>2070</v>
      </c>
      <c r="K1828" s="3" t="s">
        <v>216</v>
      </c>
    </row>
    <row r="1829" ht="15.6" spans="4:11">
      <c r="D1829" s="3">
        <v>5920</v>
      </c>
      <c r="E1829" s="3" t="s">
        <v>216</v>
      </c>
      <c r="J1829" s="3" t="s">
        <v>2071</v>
      </c>
      <c r="K1829" s="3" t="s">
        <v>216</v>
      </c>
    </row>
    <row r="1830" ht="15.6" spans="4:11">
      <c r="D1830" s="3">
        <v>5921</v>
      </c>
      <c r="E1830" s="3" t="s">
        <v>216</v>
      </c>
      <c r="J1830" s="3" t="s">
        <v>2072</v>
      </c>
      <c r="K1830" s="3" t="s">
        <v>216</v>
      </c>
    </row>
    <row r="1831" ht="15.6" spans="4:11">
      <c r="D1831" s="3">
        <v>5922</v>
      </c>
      <c r="E1831" s="3" t="s">
        <v>216</v>
      </c>
      <c r="J1831" s="3" t="s">
        <v>2073</v>
      </c>
      <c r="K1831" s="3" t="s">
        <v>216</v>
      </c>
    </row>
    <row r="1832" ht="15.6" spans="4:11">
      <c r="D1832" s="3">
        <v>5923</v>
      </c>
      <c r="E1832" s="3" t="s">
        <v>216</v>
      </c>
      <c r="J1832" s="3" t="s">
        <v>2074</v>
      </c>
      <c r="K1832" s="3" t="s">
        <v>216</v>
      </c>
    </row>
    <row r="1833" ht="15.6" spans="4:11">
      <c r="D1833" s="3">
        <v>5924</v>
      </c>
      <c r="E1833" s="3" t="s">
        <v>216</v>
      </c>
      <c r="J1833" s="3" t="s">
        <v>2075</v>
      </c>
      <c r="K1833" s="3" t="s">
        <v>216</v>
      </c>
    </row>
    <row r="1834" ht="15.6" spans="4:11">
      <c r="D1834" s="3">
        <v>5925</v>
      </c>
      <c r="E1834" s="3" t="s">
        <v>216</v>
      </c>
      <c r="J1834" s="3" t="s">
        <v>2076</v>
      </c>
      <c r="K1834" s="3" t="s">
        <v>216</v>
      </c>
    </row>
    <row r="1835" ht="15.6" spans="4:11">
      <c r="D1835" s="3">
        <v>5926</v>
      </c>
      <c r="E1835" s="3" t="s">
        <v>216</v>
      </c>
      <c r="J1835" s="3" t="s">
        <v>2077</v>
      </c>
      <c r="K1835" s="3" t="s">
        <v>216</v>
      </c>
    </row>
    <row r="1836" ht="15.6" spans="4:11">
      <c r="D1836" s="3">
        <v>5927</v>
      </c>
      <c r="E1836" s="3" t="s">
        <v>216</v>
      </c>
      <c r="J1836" s="3" t="s">
        <v>2078</v>
      </c>
      <c r="K1836" s="3" t="s">
        <v>216</v>
      </c>
    </row>
    <row r="1837" ht="15.6" spans="4:11">
      <c r="D1837" s="3">
        <v>5928</v>
      </c>
      <c r="E1837" s="3" t="s">
        <v>216</v>
      </c>
      <c r="J1837" s="3" t="s">
        <v>2079</v>
      </c>
      <c r="K1837" s="3" t="s">
        <v>216</v>
      </c>
    </row>
    <row r="1838" ht="15.6" spans="4:11">
      <c r="D1838" s="3">
        <v>5929</v>
      </c>
      <c r="E1838" s="3" t="s">
        <v>216</v>
      </c>
      <c r="J1838" s="3" t="s">
        <v>2080</v>
      </c>
      <c r="K1838" s="3" t="s">
        <v>216</v>
      </c>
    </row>
    <row r="1839" ht="15.6" spans="4:11">
      <c r="D1839" s="3">
        <v>5930</v>
      </c>
      <c r="E1839" s="3" t="s">
        <v>216</v>
      </c>
      <c r="J1839" s="3" t="s">
        <v>2081</v>
      </c>
      <c r="K1839" s="3" t="s">
        <v>216</v>
      </c>
    </row>
    <row r="1840" ht="15.6" spans="4:11">
      <c r="D1840" s="3">
        <v>5931</v>
      </c>
      <c r="E1840" s="3" t="s">
        <v>216</v>
      </c>
      <c r="J1840" s="3" t="s">
        <v>2082</v>
      </c>
      <c r="K1840" s="3" t="s">
        <v>216</v>
      </c>
    </row>
    <row r="1841" ht="15.6" spans="4:11">
      <c r="D1841" s="3">
        <v>5932</v>
      </c>
      <c r="E1841" s="3" t="s">
        <v>216</v>
      </c>
      <c r="J1841" s="3" t="s">
        <v>2083</v>
      </c>
      <c r="K1841" s="3" t="s">
        <v>216</v>
      </c>
    </row>
    <row r="1842" ht="15.6" spans="4:11">
      <c r="D1842" s="3">
        <v>5933</v>
      </c>
      <c r="E1842" s="3" t="s">
        <v>216</v>
      </c>
      <c r="J1842" s="3" t="s">
        <v>2084</v>
      </c>
      <c r="K1842" s="3" t="s">
        <v>216</v>
      </c>
    </row>
    <row r="1843" ht="15.6" spans="4:11">
      <c r="D1843" s="3">
        <v>5934</v>
      </c>
      <c r="E1843" s="3" t="s">
        <v>216</v>
      </c>
      <c r="J1843" s="3" t="s">
        <v>2085</v>
      </c>
      <c r="K1843" s="3" t="s">
        <v>216</v>
      </c>
    </row>
    <row r="1844" ht="15.6" spans="4:11">
      <c r="D1844" s="3">
        <v>5935</v>
      </c>
      <c r="E1844" s="3" t="s">
        <v>216</v>
      </c>
      <c r="J1844" s="3" t="s">
        <v>2086</v>
      </c>
      <c r="K1844" s="3" t="s">
        <v>216</v>
      </c>
    </row>
    <row r="1845" ht="15.6" spans="4:11">
      <c r="D1845" s="3">
        <v>5936</v>
      </c>
      <c r="E1845" s="3" t="s">
        <v>216</v>
      </c>
      <c r="J1845" s="3" t="s">
        <v>2087</v>
      </c>
      <c r="K1845" s="3" t="s">
        <v>216</v>
      </c>
    </row>
    <row r="1846" ht="15.6" spans="4:11">
      <c r="D1846" s="3">
        <v>5937</v>
      </c>
      <c r="E1846" s="3" t="s">
        <v>216</v>
      </c>
      <c r="J1846" s="3" t="s">
        <v>2088</v>
      </c>
      <c r="K1846" s="3" t="s">
        <v>216</v>
      </c>
    </row>
    <row r="1847" ht="15.6" spans="4:11">
      <c r="D1847" s="3">
        <v>5938</v>
      </c>
      <c r="E1847" s="3" t="s">
        <v>216</v>
      </c>
      <c r="J1847" s="3" t="s">
        <v>2089</v>
      </c>
      <c r="K1847" s="3" t="s">
        <v>216</v>
      </c>
    </row>
    <row r="1848" ht="15.6" spans="4:11">
      <c r="D1848" s="3">
        <v>5939</v>
      </c>
      <c r="E1848" s="3" t="s">
        <v>216</v>
      </c>
      <c r="J1848" s="3" t="s">
        <v>2090</v>
      </c>
      <c r="K1848" s="3" t="s">
        <v>216</v>
      </c>
    </row>
    <row r="1849" ht="15.6" spans="4:11">
      <c r="D1849" s="3">
        <v>5940</v>
      </c>
      <c r="E1849" s="3" t="s">
        <v>216</v>
      </c>
      <c r="J1849" s="3" t="s">
        <v>2091</v>
      </c>
      <c r="K1849" s="3" t="s">
        <v>216</v>
      </c>
    </row>
    <row r="1850" ht="15.6" spans="4:11">
      <c r="D1850" s="3">
        <v>5941</v>
      </c>
      <c r="E1850" s="3" t="s">
        <v>216</v>
      </c>
      <c r="J1850" s="3" t="s">
        <v>2092</v>
      </c>
      <c r="K1850" s="3" t="s">
        <v>216</v>
      </c>
    </row>
    <row r="1851" ht="15.6" spans="4:11">
      <c r="D1851" s="3">
        <v>5942</v>
      </c>
      <c r="E1851" s="3" t="s">
        <v>216</v>
      </c>
      <c r="J1851" s="3" t="s">
        <v>2093</v>
      </c>
      <c r="K1851" s="3" t="s">
        <v>216</v>
      </c>
    </row>
    <row r="1852" ht="15.6" spans="4:11">
      <c r="D1852" s="3">
        <v>5943</v>
      </c>
      <c r="E1852" s="3" t="s">
        <v>216</v>
      </c>
      <c r="J1852" s="3" t="s">
        <v>2094</v>
      </c>
      <c r="K1852" s="3" t="s">
        <v>216</v>
      </c>
    </row>
    <row r="1853" ht="15.6" spans="4:11">
      <c r="D1853" s="3">
        <v>5944</v>
      </c>
      <c r="E1853" s="3" t="s">
        <v>216</v>
      </c>
      <c r="J1853" s="3" t="s">
        <v>2095</v>
      </c>
      <c r="K1853" s="3" t="s">
        <v>216</v>
      </c>
    </row>
    <row r="1854" ht="15.6" spans="4:11">
      <c r="D1854" s="3">
        <v>5945</v>
      </c>
      <c r="E1854" s="3" t="s">
        <v>216</v>
      </c>
      <c r="J1854" s="3" t="s">
        <v>2096</v>
      </c>
      <c r="K1854" s="3" t="s">
        <v>216</v>
      </c>
    </row>
    <row r="1855" ht="15.6" spans="4:11">
      <c r="D1855" s="3">
        <v>5946</v>
      </c>
      <c r="E1855" s="3" t="s">
        <v>216</v>
      </c>
      <c r="J1855" s="3" t="s">
        <v>2097</v>
      </c>
      <c r="K1855" s="3" t="s">
        <v>216</v>
      </c>
    </row>
    <row r="1856" ht="15.6" spans="4:11">
      <c r="D1856" s="3">
        <v>5947</v>
      </c>
      <c r="E1856" s="3" t="s">
        <v>216</v>
      </c>
      <c r="J1856" s="3" t="s">
        <v>2098</v>
      </c>
      <c r="K1856" s="3" t="s">
        <v>216</v>
      </c>
    </row>
    <row r="1857" ht="15.6" spans="4:11">
      <c r="D1857" s="3">
        <v>5948</v>
      </c>
      <c r="E1857" s="3" t="s">
        <v>216</v>
      </c>
      <c r="J1857" s="3" t="s">
        <v>2099</v>
      </c>
      <c r="K1857" s="3" t="s">
        <v>216</v>
      </c>
    </row>
    <row r="1858" ht="15.6" spans="4:11">
      <c r="D1858" s="3">
        <v>5949</v>
      </c>
      <c r="E1858" s="3" t="s">
        <v>216</v>
      </c>
      <c r="J1858" s="3" t="s">
        <v>2100</v>
      </c>
      <c r="K1858" s="3" t="s">
        <v>216</v>
      </c>
    </row>
    <row r="1859" ht="15.6" spans="4:11">
      <c r="D1859" s="3">
        <v>5950</v>
      </c>
      <c r="E1859" s="3" t="s">
        <v>216</v>
      </c>
      <c r="J1859" s="3" t="s">
        <v>2101</v>
      </c>
      <c r="K1859" s="3" t="s">
        <v>216</v>
      </c>
    </row>
    <row r="1860" ht="15.6" spans="4:11">
      <c r="D1860" s="3">
        <v>5951</v>
      </c>
      <c r="E1860" s="3" t="s">
        <v>216</v>
      </c>
      <c r="J1860" s="3" t="s">
        <v>2102</v>
      </c>
      <c r="K1860" s="3" t="s">
        <v>216</v>
      </c>
    </row>
    <row r="1861" ht="15.6" spans="4:11">
      <c r="D1861" s="3">
        <v>5952</v>
      </c>
      <c r="E1861" s="3" t="s">
        <v>216</v>
      </c>
      <c r="J1861" s="3" t="s">
        <v>2103</v>
      </c>
      <c r="K1861" s="3" t="s">
        <v>216</v>
      </c>
    </row>
    <row r="1862" ht="15.6" spans="4:11">
      <c r="D1862" s="3">
        <v>5953</v>
      </c>
      <c r="E1862" s="3" t="s">
        <v>216</v>
      </c>
      <c r="J1862" s="3" t="s">
        <v>2104</v>
      </c>
      <c r="K1862" s="3" t="s">
        <v>216</v>
      </c>
    </row>
    <row r="1863" ht="15.6" spans="4:11">
      <c r="D1863" s="3">
        <v>5954</v>
      </c>
      <c r="E1863" s="3" t="s">
        <v>216</v>
      </c>
      <c r="J1863" s="3" t="s">
        <v>2105</v>
      </c>
      <c r="K1863" s="3" t="s">
        <v>216</v>
      </c>
    </row>
    <row r="1864" ht="15.6" spans="4:11">
      <c r="D1864" s="3">
        <v>5955</v>
      </c>
      <c r="E1864" s="3" t="s">
        <v>216</v>
      </c>
      <c r="J1864" s="3" t="s">
        <v>2106</v>
      </c>
      <c r="K1864" s="3" t="s">
        <v>216</v>
      </c>
    </row>
    <row r="1865" ht="15.6" spans="4:11">
      <c r="D1865" s="3">
        <v>5956</v>
      </c>
      <c r="E1865" s="3" t="s">
        <v>216</v>
      </c>
      <c r="J1865" s="3" t="s">
        <v>2107</v>
      </c>
      <c r="K1865" s="3" t="s">
        <v>216</v>
      </c>
    </row>
    <row r="1866" ht="15.6" spans="4:11">
      <c r="D1866" s="3">
        <v>5957</v>
      </c>
      <c r="E1866" s="3" t="s">
        <v>216</v>
      </c>
      <c r="J1866" s="3" t="s">
        <v>2108</v>
      </c>
      <c r="K1866" s="3" t="s">
        <v>216</v>
      </c>
    </row>
    <row r="1867" ht="15.6" spans="4:11">
      <c r="D1867" s="3">
        <v>5958</v>
      </c>
      <c r="E1867" s="3" t="s">
        <v>216</v>
      </c>
      <c r="J1867" s="3" t="s">
        <v>2109</v>
      </c>
      <c r="K1867" s="3" t="s">
        <v>216</v>
      </c>
    </row>
    <row r="1868" ht="15.6" spans="4:11">
      <c r="D1868" s="3">
        <v>5959</v>
      </c>
      <c r="E1868" s="3" t="s">
        <v>216</v>
      </c>
      <c r="J1868" s="3" t="s">
        <v>2110</v>
      </c>
      <c r="K1868" s="3" t="s">
        <v>216</v>
      </c>
    </row>
    <row r="1869" ht="15.6" spans="4:11">
      <c r="D1869" s="3">
        <v>5960</v>
      </c>
      <c r="E1869" s="3" t="s">
        <v>216</v>
      </c>
      <c r="J1869" s="3" t="s">
        <v>2111</v>
      </c>
      <c r="K1869" s="3" t="s">
        <v>216</v>
      </c>
    </row>
    <row r="1870" ht="15.6" spans="4:11">
      <c r="D1870" s="3">
        <v>5961</v>
      </c>
      <c r="E1870" s="3" t="s">
        <v>216</v>
      </c>
      <c r="J1870" s="3" t="s">
        <v>2112</v>
      </c>
      <c r="K1870" s="3" t="s">
        <v>216</v>
      </c>
    </row>
    <row r="1871" ht="15.6" spans="4:11">
      <c r="D1871" s="3">
        <v>5962</v>
      </c>
      <c r="E1871" s="3" t="s">
        <v>216</v>
      </c>
      <c r="J1871" s="3" t="s">
        <v>2113</v>
      </c>
      <c r="K1871" s="3" t="s">
        <v>216</v>
      </c>
    </row>
    <row r="1872" ht="15.6" spans="4:11">
      <c r="D1872" s="3">
        <v>5963</v>
      </c>
      <c r="E1872" s="3" t="s">
        <v>216</v>
      </c>
      <c r="J1872" s="3" t="s">
        <v>2114</v>
      </c>
      <c r="K1872" s="3" t="s">
        <v>216</v>
      </c>
    </row>
    <row r="1873" ht="15.6" spans="4:11">
      <c r="D1873" s="3">
        <v>5964</v>
      </c>
      <c r="E1873" s="3" t="s">
        <v>216</v>
      </c>
      <c r="J1873" s="3" t="s">
        <v>2115</v>
      </c>
      <c r="K1873" s="3" t="s">
        <v>216</v>
      </c>
    </row>
    <row r="1874" ht="15.6" spans="4:11">
      <c r="D1874" s="3">
        <v>5965</v>
      </c>
      <c r="E1874" s="3" t="s">
        <v>216</v>
      </c>
      <c r="J1874" s="3" t="s">
        <v>2116</v>
      </c>
      <c r="K1874" s="3" t="s">
        <v>216</v>
      </c>
    </row>
    <row r="1875" ht="15.6" spans="4:11">
      <c r="D1875" s="3">
        <v>5966</v>
      </c>
      <c r="E1875" s="3" t="s">
        <v>216</v>
      </c>
      <c r="J1875" s="3" t="s">
        <v>2117</v>
      </c>
      <c r="K1875" s="3" t="s">
        <v>216</v>
      </c>
    </row>
    <row r="1876" ht="15.6" spans="4:11">
      <c r="D1876" s="3">
        <v>5967</v>
      </c>
      <c r="E1876" s="3" t="s">
        <v>216</v>
      </c>
      <c r="J1876" s="3" t="s">
        <v>2118</v>
      </c>
      <c r="K1876" s="3" t="s">
        <v>216</v>
      </c>
    </row>
    <row r="1877" ht="15.6" spans="4:11">
      <c r="D1877" s="3">
        <v>5968</v>
      </c>
      <c r="E1877" s="3" t="s">
        <v>216</v>
      </c>
      <c r="J1877" s="3" t="s">
        <v>2119</v>
      </c>
      <c r="K1877" s="3" t="s">
        <v>216</v>
      </c>
    </row>
    <row r="1878" ht="15.6" spans="4:11">
      <c r="D1878" s="3">
        <v>5969</v>
      </c>
      <c r="E1878" s="3" t="s">
        <v>216</v>
      </c>
      <c r="J1878" s="3" t="s">
        <v>2120</v>
      </c>
      <c r="K1878" s="3" t="s">
        <v>216</v>
      </c>
    </row>
    <row r="1879" ht="15.6" spans="4:11">
      <c r="D1879" s="3">
        <v>5970</v>
      </c>
      <c r="E1879" s="3" t="s">
        <v>216</v>
      </c>
      <c r="J1879" s="3" t="s">
        <v>2121</v>
      </c>
      <c r="K1879" s="3" t="s">
        <v>216</v>
      </c>
    </row>
    <row r="1880" ht="15.6" spans="4:11">
      <c r="D1880" s="3">
        <v>5971</v>
      </c>
      <c r="E1880" s="3" t="s">
        <v>216</v>
      </c>
      <c r="J1880" s="3" t="s">
        <v>2122</v>
      </c>
      <c r="K1880" s="3" t="s">
        <v>216</v>
      </c>
    </row>
    <row r="1881" ht="15.6" spans="4:11">
      <c r="D1881" s="3">
        <v>5972</v>
      </c>
      <c r="E1881" s="3" t="s">
        <v>216</v>
      </c>
      <c r="J1881" s="3" t="s">
        <v>2123</v>
      </c>
      <c r="K1881" s="3" t="s">
        <v>216</v>
      </c>
    </row>
    <row r="1882" ht="15.6" spans="4:11">
      <c r="D1882" s="3">
        <v>5973</v>
      </c>
      <c r="E1882" s="3" t="s">
        <v>216</v>
      </c>
      <c r="J1882" s="3" t="s">
        <v>2124</v>
      </c>
      <c r="K1882" s="3" t="s">
        <v>216</v>
      </c>
    </row>
    <row r="1883" ht="15.6" spans="4:11">
      <c r="D1883" s="3">
        <v>5974</v>
      </c>
      <c r="E1883" s="3" t="s">
        <v>216</v>
      </c>
      <c r="J1883" s="3" t="s">
        <v>2125</v>
      </c>
      <c r="K1883" s="3" t="s">
        <v>216</v>
      </c>
    </row>
    <row r="1884" ht="15.6" spans="4:11">
      <c r="D1884" s="3">
        <v>5975</v>
      </c>
      <c r="E1884" s="3" t="s">
        <v>216</v>
      </c>
      <c r="J1884" s="3" t="s">
        <v>2126</v>
      </c>
      <c r="K1884" s="3" t="s">
        <v>216</v>
      </c>
    </row>
    <row r="1885" ht="15.6" spans="4:11">
      <c r="D1885" s="3">
        <v>5976</v>
      </c>
      <c r="E1885" s="3" t="s">
        <v>216</v>
      </c>
      <c r="J1885" s="3" t="s">
        <v>2127</v>
      </c>
      <c r="K1885" s="3" t="s">
        <v>216</v>
      </c>
    </row>
    <row r="1886" ht="15.6" spans="4:11">
      <c r="D1886" s="3">
        <v>5977</v>
      </c>
      <c r="E1886" s="3" t="s">
        <v>216</v>
      </c>
      <c r="J1886" s="3" t="s">
        <v>2128</v>
      </c>
      <c r="K1886" s="3" t="s">
        <v>216</v>
      </c>
    </row>
    <row r="1887" ht="15.6" spans="4:11">
      <c r="D1887" s="3">
        <v>5978</v>
      </c>
      <c r="E1887" s="3" t="s">
        <v>216</v>
      </c>
      <c r="J1887" s="3" t="s">
        <v>2129</v>
      </c>
      <c r="K1887" s="3" t="s">
        <v>216</v>
      </c>
    </row>
    <row r="1888" ht="15.6" spans="4:11">
      <c r="D1888" s="3">
        <v>5979</v>
      </c>
      <c r="E1888" s="3" t="s">
        <v>216</v>
      </c>
      <c r="J1888" s="3" t="s">
        <v>2130</v>
      </c>
      <c r="K1888" s="3" t="s">
        <v>216</v>
      </c>
    </row>
    <row r="1889" ht="15.6" spans="4:11">
      <c r="D1889" s="3">
        <v>5980</v>
      </c>
      <c r="E1889" s="3" t="s">
        <v>216</v>
      </c>
      <c r="J1889" s="3" t="s">
        <v>2131</v>
      </c>
      <c r="K1889" s="3" t="s">
        <v>216</v>
      </c>
    </row>
    <row r="1890" ht="15.6" spans="4:11">
      <c r="D1890" s="3">
        <v>5981</v>
      </c>
      <c r="E1890" s="3" t="s">
        <v>216</v>
      </c>
      <c r="J1890" s="3" t="s">
        <v>2132</v>
      </c>
      <c r="K1890" s="3" t="s">
        <v>216</v>
      </c>
    </row>
    <row r="1891" ht="15.6" spans="4:11">
      <c r="D1891" s="3">
        <v>5982</v>
      </c>
      <c r="E1891" s="3" t="s">
        <v>216</v>
      </c>
      <c r="J1891" s="3" t="s">
        <v>2133</v>
      </c>
      <c r="K1891" s="3" t="s">
        <v>216</v>
      </c>
    </row>
    <row r="1892" ht="15.6" spans="4:11">
      <c r="D1892" s="3">
        <v>5983</v>
      </c>
      <c r="E1892" s="3" t="s">
        <v>216</v>
      </c>
      <c r="J1892" s="3" t="s">
        <v>2134</v>
      </c>
      <c r="K1892" s="3" t="s">
        <v>216</v>
      </c>
    </row>
    <row r="1893" ht="15.6" spans="4:11">
      <c r="D1893" s="3">
        <v>5984</v>
      </c>
      <c r="E1893" s="3" t="s">
        <v>216</v>
      </c>
      <c r="J1893" s="3" t="s">
        <v>2135</v>
      </c>
      <c r="K1893" s="3" t="s">
        <v>216</v>
      </c>
    </row>
    <row r="1894" ht="15.6" spans="4:11">
      <c r="D1894" s="3">
        <v>5985</v>
      </c>
      <c r="E1894" s="3" t="s">
        <v>216</v>
      </c>
      <c r="J1894" s="3" t="s">
        <v>2136</v>
      </c>
      <c r="K1894" s="3" t="s">
        <v>216</v>
      </c>
    </row>
    <row r="1895" ht="15.6" spans="4:11">
      <c r="D1895" s="3">
        <v>5986</v>
      </c>
      <c r="E1895" s="3" t="s">
        <v>216</v>
      </c>
      <c r="J1895" s="3" t="s">
        <v>2137</v>
      </c>
      <c r="K1895" s="3" t="s">
        <v>216</v>
      </c>
    </row>
    <row r="1896" ht="15.6" spans="4:11">
      <c r="D1896" s="3">
        <v>5987</v>
      </c>
      <c r="E1896" s="3" t="s">
        <v>216</v>
      </c>
      <c r="J1896" s="3" t="s">
        <v>2138</v>
      </c>
      <c r="K1896" s="3" t="s">
        <v>216</v>
      </c>
    </row>
    <row r="1897" ht="15.6" spans="4:11">
      <c r="D1897" s="3">
        <v>5988</v>
      </c>
      <c r="E1897" s="3" t="s">
        <v>216</v>
      </c>
      <c r="J1897" s="3" t="s">
        <v>2139</v>
      </c>
      <c r="K1897" s="3" t="s">
        <v>216</v>
      </c>
    </row>
    <row r="1898" ht="15.6" spans="4:11">
      <c r="D1898" s="3">
        <v>5989</v>
      </c>
      <c r="E1898" s="3" t="s">
        <v>216</v>
      </c>
      <c r="J1898" s="3" t="s">
        <v>2140</v>
      </c>
      <c r="K1898" s="3" t="s">
        <v>216</v>
      </c>
    </row>
    <row r="1899" ht="15.6" spans="4:11">
      <c r="D1899" s="3">
        <v>5990</v>
      </c>
      <c r="E1899" s="3" t="s">
        <v>216</v>
      </c>
      <c r="J1899" s="3" t="s">
        <v>2141</v>
      </c>
      <c r="K1899" s="3" t="s">
        <v>216</v>
      </c>
    </row>
    <row r="1900" ht="15.6" spans="4:11">
      <c r="D1900" s="3">
        <v>5991</v>
      </c>
      <c r="E1900" s="3" t="s">
        <v>216</v>
      </c>
      <c r="J1900" s="3" t="s">
        <v>2142</v>
      </c>
      <c r="K1900" s="3" t="s">
        <v>216</v>
      </c>
    </row>
    <row r="1901" ht="15.6" spans="4:11">
      <c r="D1901" s="3">
        <v>5992</v>
      </c>
      <c r="E1901" s="3" t="s">
        <v>216</v>
      </c>
      <c r="J1901" s="3" t="s">
        <v>2143</v>
      </c>
      <c r="K1901" s="3" t="s">
        <v>216</v>
      </c>
    </row>
    <row r="1902" ht="15.6" spans="4:11">
      <c r="D1902" s="3">
        <v>5993</v>
      </c>
      <c r="E1902" s="3" t="s">
        <v>216</v>
      </c>
      <c r="J1902" s="3" t="s">
        <v>2144</v>
      </c>
      <c r="K1902" s="3" t="s">
        <v>216</v>
      </c>
    </row>
    <row r="1903" ht="15.6" spans="4:11">
      <c r="D1903" s="3">
        <v>5994</v>
      </c>
      <c r="E1903" s="3" t="s">
        <v>216</v>
      </c>
      <c r="J1903" s="3" t="s">
        <v>2145</v>
      </c>
      <c r="K1903" s="3" t="s">
        <v>216</v>
      </c>
    </row>
    <row r="1904" ht="15.6" spans="4:11">
      <c r="D1904" s="3">
        <v>5995</v>
      </c>
      <c r="E1904" s="3" t="s">
        <v>216</v>
      </c>
      <c r="J1904" s="3" t="s">
        <v>2146</v>
      </c>
      <c r="K1904" s="3" t="s">
        <v>216</v>
      </c>
    </row>
    <row r="1905" ht="15.6" spans="4:11">
      <c r="D1905" s="3">
        <v>5996</v>
      </c>
      <c r="E1905" s="3" t="s">
        <v>216</v>
      </c>
      <c r="J1905" s="3" t="s">
        <v>2147</v>
      </c>
      <c r="K1905" s="3" t="s">
        <v>216</v>
      </c>
    </row>
    <row r="1906" ht="15.6" spans="4:11">
      <c r="D1906" s="3">
        <v>5997</v>
      </c>
      <c r="E1906" s="3" t="s">
        <v>216</v>
      </c>
      <c r="J1906" s="3" t="s">
        <v>2148</v>
      </c>
      <c r="K1906" s="3" t="s">
        <v>216</v>
      </c>
    </row>
    <row r="1907" ht="15.6" spans="4:11">
      <c r="D1907" s="3">
        <v>5998</v>
      </c>
      <c r="E1907" s="3" t="s">
        <v>216</v>
      </c>
      <c r="J1907" s="3" t="s">
        <v>2149</v>
      </c>
      <c r="K1907" s="3" t="s">
        <v>216</v>
      </c>
    </row>
    <row r="1908" ht="15.6" spans="4:11">
      <c r="D1908" s="3">
        <v>5999</v>
      </c>
      <c r="E1908" s="3" t="s">
        <v>216</v>
      </c>
      <c r="J1908" s="3" t="s">
        <v>2150</v>
      </c>
      <c r="K1908" s="3" t="s">
        <v>216</v>
      </c>
    </row>
    <row r="1909" ht="15.6" spans="4:11">
      <c r="D1909" s="3">
        <v>6000</v>
      </c>
      <c r="E1909" s="3" t="s">
        <v>216</v>
      </c>
      <c r="J1909" s="3" t="s">
        <v>2151</v>
      </c>
      <c r="K1909" s="3" t="s">
        <v>216</v>
      </c>
    </row>
    <row r="1910" ht="15.6" spans="4:11">
      <c r="D1910" s="3">
        <v>6001</v>
      </c>
      <c r="E1910" s="3" t="s">
        <v>216</v>
      </c>
      <c r="J1910" s="3" t="s">
        <v>2152</v>
      </c>
      <c r="K1910" s="3" t="s">
        <v>216</v>
      </c>
    </row>
    <row r="1911" ht="15.6" spans="4:11">
      <c r="D1911" s="3">
        <v>6003</v>
      </c>
      <c r="E1911" s="3" t="s">
        <v>216</v>
      </c>
      <c r="J1911" s="3" t="s">
        <v>2153</v>
      </c>
      <c r="K1911" s="3" t="s">
        <v>216</v>
      </c>
    </row>
    <row r="1912" ht="15.6" spans="4:11">
      <c r="D1912" s="3">
        <v>6004</v>
      </c>
      <c r="E1912" s="3" t="s">
        <v>216</v>
      </c>
      <c r="J1912" s="3" t="s">
        <v>2154</v>
      </c>
      <c r="K1912" s="3" t="s">
        <v>216</v>
      </c>
    </row>
    <row r="1913" ht="15.6" spans="4:11">
      <c r="D1913" s="3">
        <v>6005</v>
      </c>
      <c r="E1913" s="3" t="s">
        <v>216</v>
      </c>
      <c r="J1913" s="3" t="s">
        <v>2155</v>
      </c>
      <c r="K1913" s="3" t="s">
        <v>216</v>
      </c>
    </row>
    <row r="1914" ht="15.6" spans="4:11">
      <c r="D1914" s="3">
        <v>6006</v>
      </c>
      <c r="E1914" s="3" t="s">
        <v>216</v>
      </c>
      <c r="J1914" s="3" t="s">
        <v>2156</v>
      </c>
      <c r="K1914" s="3" t="s">
        <v>216</v>
      </c>
    </row>
    <row r="1915" ht="15.6" spans="4:11">
      <c r="D1915" s="3">
        <v>6007</v>
      </c>
      <c r="E1915" s="3" t="s">
        <v>216</v>
      </c>
      <c r="J1915" s="3" t="s">
        <v>2157</v>
      </c>
      <c r="K1915" s="3" t="s">
        <v>216</v>
      </c>
    </row>
    <row r="1916" ht="15.6" spans="4:11">
      <c r="D1916" s="3">
        <v>6008</v>
      </c>
      <c r="E1916" s="3" t="s">
        <v>216</v>
      </c>
      <c r="J1916" s="3" t="s">
        <v>2158</v>
      </c>
      <c r="K1916" s="3" t="s">
        <v>216</v>
      </c>
    </row>
    <row r="1917" ht="15.6" spans="4:11">
      <c r="D1917" s="3">
        <v>6009</v>
      </c>
      <c r="E1917" s="3" t="s">
        <v>216</v>
      </c>
      <c r="J1917" s="3" t="s">
        <v>2159</v>
      </c>
      <c r="K1917" s="3" t="s">
        <v>216</v>
      </c>
    </row>
    <row r="1918" ht="15.6" spans="4:11">
      <c r="D1918" s="3">
        <v>6010</v>
      </c>
      <c r="E1918" s="3" t="s">
        <v>216</v>
      </c>
      <c r="J1918" s="3" t="s">
        <v>2160</v>
      </c>
      <c r="K1918" s="3" t="s">
        <v>216</v>
      </c>
    </row>
    <row r="1919" ht="15.6" spans="4:11">
      <c r="D1919" s="3">
        <v>6011</v>
      </c>
      <c r="E1919" s="3" t="s">
        <v>216</v>
      </c>
      <c r="J1919" s="3" t="s">
        <v>2161</v>
      </c>
      <c r="K1919" s="3" t="s">
        <v>216</v>
      </c>
    </row>
    <row r="1920" ht="15.6" spans="4:11">
      <c r="D1920" s="3">
        <v>6012</v>
      </c>
      <c r="E1920" s="3" t="s">
        <v>216</v>
      </c>
      <c r="J1920" s="3" t="s">
        <v>2162</v>
      </c>
      <c r="K1920" s="3" t="s">
        <v>216</v>
      </c>
    </row>
    <row r="1921" ht="15.6" spans="4:11">
      <c r="D1921" s="3">
        <v>6014</v>
      </c>
      <c r="E1921" s="3" t="s">
        <v>216</v>
      </c>
      <c r="J1921" s="3" t="s">
        <v>2163</v>
      </c>
      <c r="K1921" s="3" t="s">
        <v>216</v>
      </c>
    </row>
    <row r="1922" ht="15.6" spans="4:11">
      <c r="D1922" s="3">
        <v>6015</v>
      </c>
      <c r="E1922" s="3" t="s">
        <v>216</v>
      </c>
      <c r="J1922" s="3" t="s">
        <v>2164</v>
      </c>
      <c r="K1922" s="3" t="s">
        <v>216</v>
      </c>
    </row>
    <row r="1923" ht="15.6" spans="4:11">
      <c r="D1923" s="3">
        <v>6016</v>
      </c>
      <c r="E1923" s="3" t="s">
        <v>216</v>
      </c>
      <c r="J1923" s="3" t="s">
        <v>2165</v>
      </c>
      <c r="K1923" s="3" t="s">
        <v>216</v>
      </c>
    </row>
    <row r="1924" ht="15.6" spans="4:11">
      <c r="D1924" s="3">
        <v>6017</v>
      </c>
      <c r="E1924" s="3" t="s">
        <v>216</v>
      </c>
      <c r="J1924" s="3" t="s">
        <v>2166</v>
      </c>
      <c r="K1924" s="3" t="s">
        <v>216</v>
      </c>
    </row>
    <row r="1925" ht="15.6" spans="4:11">
      <c r="D1925" s="3">
        <v>6018</v>
      </c>
      <c r="E1925" s="3" t="s">
        <v>216</v>
      </c>
      <c r="J1925" s="3" t="s">
        <v>2167</v>
      </c>
      <c r="K1925" s="3" t="s">
        <v>216</v>
      </c>
    </row>
    <row r="1926" ht="15.6" spans="4:11">
      <c r="D1926" s="3">
        <v>6019</v>
      </c>
      <c r="E1926" s="3" t="s">
        <v>216</v>
      </c>
      <c r="J1926" s="3" t="s">
        <v>2168</v>
      </c>
      <c r="K1926" s="3" t="s">
        <v>216</v>
      </c>
    </row>
    <row r="1927" ht="15.6" spans="4:11">
      <c r="D1927" s="3">
        <v>6020</v>
      </c>
      <c r="E1927" s="3" t="s">
        <v>216</v>
      </c>
      <c r="J1927" s="3" t="s">
        <v>2169</v>
      </c>
      <c r="K1927" s="3" t="s">
        <v>216</v>
      </c>
    </row>
    <row r="1928" ht="15.6" spans="4:11">
      <c r="D1928" s="3">
        <v>6021</v>
      </c>
      <c r="E1928" s="3" t="s">
        <v>216</v>
      </c>
      <c r="J1928" s="3" t="s">
        <v>2170</v>
      </c>
      <c r="K1928" s="3" t="s">
        <v>216</v>
      </c>
    </row>
    <row r="1929" ht="15.6" spans="4:11">
      <c r="D1929" s="3">
        <v>6022</v>
      </c>
      <c r="E1929" s="3" t="s">
        <v>216</v>
      </c>
      <c r="J1929" s="3" t="s">
        <v>2171</v>
      </c>
      <c r="K1929" s="3" t="s">
        <v>216</v>
      </c>
    </row>
    <row r="1930" ht="15.6" spans="4:11">
      <c r="D1930" s="3">
        <v>6023</v>
      </c>
      <c r="E1930" s="3" t="s">
        <v>216</v>
      </c>
      <c r="J1930" s="3" t="s">
        <v>2172</v>
      </c>
      <c r="K1930" s="3" t="s">
        <v>216</v>
      </c>
    </row>
    <row r="1931" ht="15.6" spans="4:11">
      <c r="D1931" s="3">
        <v>6024</v>
      </c>
      <c r="E1931" s="3" t="s">
        <v>216</v>
      </c>
      <c r="J1931" s="3" t="s">
        <v>2173</v>
      </c>
      <c r="K1931" s="3" t="s">
        <v>216</v>
      </c>
    </row>
    <row r="1932" ht="15.6" spans="4:11">
      <c r="D1932" s="3">
        <v>6025</v>
      </c>
      <c r="E1932" s="3" t="s">
        <v>216</v>
      </c>
      <c r="J1932" s="3" t="s">
        <v>2174</v>
      </c>
      <c r="K1932" s="3" t="s">
        <v>216</v>
      </c>
    </row>
    <row r="1933" ht="15.6" spans="4:11">
      <c r="D1933" s="3">
        <v>6026</v>
      </c>
      <c r="E1933" s="3" t="s">
        <v>216</v>
      </c>
      <c r="J1933" s="3" t="s">
        <v>2175</v>
      </c>
      <c r="K1933" s="3" t="s">
        <v>216</v>
      </c>
    </row>
    <row r="1934" ht="15.6" spans="4:11">
      <c r="D1934" s="3">
        <v>6027</v>
      </c>
      <c r="E1934" s="3" t="s">
        <v>216</v>
      </c>
      <c r="J1934" s="3" t="s">
        <v>2176</v>
      </c>
      <c r="K1934" s="3" t="s">
        <v>216</v>
      </c>
    </row>
    <row r="1935" ht="15.6" spans="4:11">
      <c r="D1935" s="3">
        <v>6028</v>
      </c>
      <c r="E1935" s="3" t="s">
        <v>216</v>
      </c>
      <c r="J1935" s="3" t="s">
        <v>2177</v>
      </c>
      <c r="K1935" s="3" t="s">
        <v>216</v>
      </c>
    </row>
    <row r="1936" ht="15.6" spans="4:11">
      <c r="D1936" s="3">
        <v>6029</v>
      </c>
      <c r="E1936" s="3" t="s">
        <v>216</v>
      </c>
      <c r="J1936" s="3" t="s">
        <v>2178</v>
      </c>
      <c r="K1936" s="3" t="s">
        <v>216</v>
      </c>
    </row>
    <row r="1937" ht="15.6" spans="4:11">
      <c r="D1937" s="3">
        <v>6030</v>
      </c>
      <c r="E1937" s="3" t="s">
        <v>216</v>
      </c>
      <c r="J1937" s="3" t="s">
        <v>2179</v>
      </c>
      <c r="K1937" s="3" t="s">
        <v>216</v>
      </c>
    </row>
    <row r="1938" ht="15.6" spans="4:11">
      <c r="D1938" s="3">
        <v>6036</v>
      </c>
      <c r="E1938" s="3" t="s">
        <v>216</v>
      </c>
      <c r="J1938" s="3" t="s">
        <v>2180</v>
      </c>
      <c r="K1938" s="3" t="s">
        <v>216</v>
      </c>
    </row>
    <row r="1939" ht="15.6" spans="4:11">
      <c r="D1939" s="3">
        <v>6050</v>
      </c>
      <c r="E1939" s="3" t="s">
        <v>216</v>
      </c>
      <c r="J1939" s="3" t="s">
        <v>2181</v>
      </c>
      <c r="K1939" s="3" t="s">
        <v>216</v>
      </c>
    </row>
    <row r="1940" ht="15.6" spans="4:11">
      <c r="D1940" s="3">
        <v>6051</v>
      </c>
      <c r="E1940" s="3" t="s">
        <v>216</v>
      </c>
      <c r="J1940" s="3" t="s">
        <v>2182</v>
      </c>
      <c r="K1940" s="3" t="s">
        <v>216</v>
      </c>
    </row>
    <row r="1941" ht="15.6" spans="4:11">
      <c r="D1941" s="3">
        <v>6052</v>
      </c>
      <c r="E1941" s="3" t="s">
        <v>216</v>
      </c>
      <c r="J1941" s="3" t="s">
        <v>2183</v>
      </c>
      <c r="K1941" s="3" t="s">
        <v>216</v>
      </c>
    </row>
    <row r="1942" ht="15.6" spans="4:11">
      <c r="D1942" s="3">
        <v>6053</v>
      </c>
      <c r="E1942" s="3" t="s">
        <v>216</v>
      </c>
      <c r="J1942" s="3" t="s">
        <v>2184</v>
      </c>
      <c r="K1942" s="3" t="s">
        <v>216</v>
      </c>
    </row>
    <row r="1943" ht="15.6" spans="4:11">
      <c r="D1943" s="3">
        <v>6054</v>
      </c>
      <c r="E1943" s="3" t="s">
        <v>216</v>
      </c>
      <c r="J1943" s="3" t="s">
        <v>2185</v>
      </c>
      <c r="K1943" s="3" t="s">
        <v>216</v>
      </c>
    </row>
    <row r="1944" ht="15.6" spans="4:11">
      <c r="D1944" s="3">
        <v>6055</v>
      </c>
      <c r="E1944" s="3" t="s">
        <v>216</v>
      </c>
      <c r="J1944" s="3" t="s">
        <v>2186</v>
      </c>
      <c r="K1944" s="3" t="s">
        <v>216</v>
      </c>
    </row>
    <row r="1945" ht="15.6" spans="4:11">
      <c r="D1945" s="3">
        <v>6056</v>
      </c>
      <c r="E1945" s="3" t="s">
        <v>216</v>
      </c>
      <c r="J1945" s="3" t="s">
        <v>2187</v>
      </c>
      <c r="K1945" s="3" t="s">
        <v>216</v>
      </c>
    </row>
    <row r="1946" ht="15.6" spans="4:11">
      <c r="D1946" s="3">
        <v>6057</v>
      </c>
      <c r="E1946" s="3" t="s">
        <v>216</v>
      </c>
      <c r="J1946" s="3" t="s">
        <v>2188</v>
      </c>
      <c r="K1946" s="3" t="s">
        <v>216</v>
      </c>
    </row>
    <row r="1947" ht="15.6" spans="4:11">
      <c r="D1947" s="3">
        <v>6058</v>
      </c>
      <c r="E1947" s="3" t="s">
        <v>216</v>
      </c>
      <c r="J1947" s="3" t="s">
        <v>2189</v>
      </c>
      <c r="K1947" s="3" t="s">
        <v>216</v>
      </c>
    </row>
    <row r="1948" ht="15.6" spans="4:11">
      <c r="D1948" s="3">
        <v>6059</v>
      </c>
      <c r="E1948" s="3" t="s">
        <v>216</v>
      </c>
      <c r="J1948" s="3" t="s">
        <v>2190</v>
      </c>
      <c r="K1948" s="3" t="s">
        <v>216</v>
      </c>
    </row>
    <row r="1949" ht="15.6" spans="4:11">
      <c r="D1949" s="3">
        <v>6060</v>
      </c>
      <c r="E1949" s="3" t="s">
        <v>216</v>
      </c>
      <c r="J1949" s="3" t="s">
        <v>2191</v>
      </c>
      <c r="K1949" s="3" t="s">
        <v>216</v>
      </c>
    </row>
    <row r="1950" ht="15.6" spans="4:11">
      <c r="D1950" s="3">
        <v>6061</v>
      </c>
      <c r="E1950" s="3" t="s">
        <v>216</v>
      </c>
      <c r="J1950" s="3" t="s">
        <v>2192</v>
      </c>
      <c r="K1950" s="3" t="s">
        <v>216</v>
      </c>
    </row>
    <row r="1951" ht="15.6" spans="4:11">
      <c r="D1951" s="3">
        <v>6062</v>
      </c>
      <c r="E1951" s="3" t="s">
        <v>216</v>
      </c>
      <c r="J1951" s="3" t="s">
        <v>2193</v>
      </c>
      <c r="K1951" s="3" t="s">
        <v>216</v>
      </c>
    </row>
    <row r="1952" ht="15.6" spans="4:11">
      <c r="D1952" s="3">
        <v>6063</v>
      </c>
      <c r="E1952" s="3" t="s">
        <v>216</v>
      </c>
      <c r="J1952" s="3" t="s">
        <v>2194</v>
      </c>
      <c r="K1952" s="3" t="s">
        <v>216</v>
      </c>
    </row>
    <row r="1953" ht="15.6" spans="4:11">
      <c r="D1953" s="3">
        <v>6064</v>
      </c>
      <c r="E1953" s="3" t="s">
        <v>216</v>
      </c>
      <c r="J1953" s="3" t="s">
        <v>2195</v>
      </c>
      <c r="K1953" s="3" t="s">
        <v>216</v>
      </c>
    </row>
    <row r="1954" ht="15.6" spans="4:11">
      <c r="D1954" s="3">
        <v>6065</v>
      </c>
      <c r="E1954" s="3" t="s">
        <v>216</v>
      </c>
      <c r="J1954" s="3" t="s">
        <v>2196</v>
      </c>
      <c r="K1954" s="3" t="s">
        <v>216</v>
      </c>
    </row>
    <row r="1955" ht="15.6" spans="4:11">
      <c r="D1955" s="3">
        <v>6066</v>
      </c>
      <c r="E1955" s="3" t="s">
        <v>216</v>
      </c>
      <c r="J1955" s="3" t="s">
        <v>2197</v>
      </c>
      <c r="K1955" s="3" t="s">
        <v>216</v>
      </c>
    </row>
    <row r="1956" ht="15.6" spans="4:11">
      <c r="D1956" s="3">
        <v>6069</v>
      </c>
      <c r="E1956" s="3" t="s">
        <v>216</v>
      </c>
      <c r="J1956" s="3" t="s">
        <v>2198</v>
      </c>
      <c r="K1956" s="3" t="s">
        <v>216</v>
      </c>
    </row>
    <row r="1957" ht="15.6" spans="4:11">
      <c r="D1957" s="3">
        <v>6076</v>
      </c>
      <c r="E1957" s="3" t="s">
        <v>216</v>
      </c>
      <c r="J1957" s="3" t="s">
        <v>2199</v>
      </c>
      <c r="K1957" s="3" t="s">
        <v>216</v>
      </c>
    </row>
    <row r="1958" ht="15.6" spans="4:11">
      <c r="D1958" s="3">
        <v>6090</v>
      </c>
      <c r="E1958" s="3" t="s">
        <v>216</v>
      </c>
      <c r="J1958" s="3" t="s">
        <v>2200</v>
      </c>
      <c r="K1958" s="3" t="s">
        <v>216</v>
      </c>
    </row>
    <row r="1959" ht="15.6" spans="4:11">
      <c r="D1959" s="3">
        <v>6100</v>
      </c>
      <c r="E1959" s="3" t="s">
        <v>216</v>
      </c>
      <c r="J1959" s="3" t="s">
        <v>2201</v>
      </c>
      <c r="K1959" s="3" t="s">
        <v>216</v>
      </c>
    </row>
    <row r="1960" ht="15.6" spans="4:11">
      <c r="D1960" s="3">
        <v>6101</v>
      </c>
      <c r="E1960" s="3" t="s">
        <v>216</v>
      </c>
      <c r="J1960" s="3" t="s">
        <v>2202</v>
      </c>
      <c r="K1960" s="3" t="s">
        <v>216</v>
      </c>
    </row>
    <row r="1961" ht="15.6" spans="4:11">
      <c r="D1961" s="3">
        <v>6102</v>
      </c>
      <c r="E1961" s="3" t="s">
        <v>216</v>
      </c>
      <c r="J1961" s="3" t="s">
        <v>2203</v>
      </c>
      <c r="K1961" s="3" t="s">
        <v>216</v>
      </c>
    </row>
    <row r="1962" ht="15.6" spans="4:11">
      <c r="D1962" s="3">
        <v>6103</v>
      </c>
      <c r="E1962" s="3" t="s">
        <v>216</v>
      </c>
      <c r="J1962" s="3" t="s">
        <v>2204</v>
      </c>
      <c r="K1962" s="3" t="s">
        <v>216</v>
      </c>
    </row>
    <row r="1963" ht="15.6" spans="4:11">
      <c r="D1963" s="3">
        <v>6104</v>
      </c>
      <c r="E1963" s="3" t="s">
        <v>216</v>
      </c>
      <c r="J1963" s="3" t="s">
        <v>2205</v>
      </c>
      <c r="K1963" s="3" t="s">
        <v>216</v>
      </c>
    </row>
    <row r="1964" ht="15.6" spans="4:11">
      <c r="D1964" s="3">
        <v>6105</v>
      </c>
      <c r="E1964" s="3" t="s">
        <v>216</v>
      </c>
      <c r="J1964" s="3" t="s">
        <v>2206</v>
      </c>
      <c r="K1964" s="3" t="s">
        <v>216</v>
      </c>
    </row>
    <row r="1965" ht="15.6" spans="4:11">
      <c r="D1965" s="3">
        <v>6106</v>
      </c>
      <c r="E1965" s="3" t="s">
        <v>216</v>
      </c>
      <c r="J1965" s="3" t="s">
        <v>2207</v>
      </c>
      <c r="K1965" s="3" t="s">
        <v>216</v>
      </c>
    </row>
    <row r="1966" ht="15.6" spans="4:11">
      <c r="D1966" s="3">
        <v>6107</v>
      </c>
      <c r="E1966" s="3" t="s">
        <v>216</v>
      </c>
      <c r="J1966" s="3" t="s">
        <v>2208</v>
      </c>
      <c r="K1966" s="3" t="s">
        <v>216</v>
      </c>
    </row>
    <row r="1967" ht="15.6" spans="4:11">
      <c r="D1967" s="3">
        <v>6108</v>
      </c>
      <c r="E1967" s="3" t="s">
        <v>216</v>
      </c>
      <c r="J1967" s="3" t="s">
        <v>2209</v>
      </c>
      <c r="K1967" s="3" t="s">
        <v>216</v>
      </c>
    </row>
    <row r="1968" ht="15.6" spans="4:11">
      <c r="D1968" s="3">
        <v>6109</v>
      </c>
      <c r="E1968" s="3" t="s">
        <v>216</v>
      </c>
      <c r="J1968" s="3" t="s">
        <v>2210</v>
      </c>
      <c r="K1968" s="3" t="s">
        <v>216</v>
      </c>
    </row>
    <row r="1969" ht="15.6" spans="4:11">
      <c r="D1969" s="3">
        <v>6110</v>
      </c>
      <c r="E1969" s="3" t="s">
        <v>216</v>
      </c>
      <c r="J1969" s="3" t="s">
        <v>2211</v>
      </c>
      <c r="K1969" s="3" t="s">
        <v>216</v>
      </c>
    </row>
    <row r="1970" ht="15.6" spans="4:11">
      <c r="D1970" s="3">
        <v>6112</v>
      </c>
      <c r="E1970" s="3" t="s">
        <v>216</v>
      </c>
      <c r="J1970" s="3" t="s">
        <v>2212</v>
      </c>
      <c r="K1970" s="3" t="s">
        <v>216</v>
      </c>
    </row>
    <row r="1971" ht="15.6" spans="4:11">
      <c r="D1971" s="3">
        <v>6147</v>
      </c>
      <c r="E1971" s="3" t="s">
        <v>216</v>
      </c>
      <c r="J1971" s="3" t="s">
        <v>2213</v>
      </c>
      <c r="K1971" s="3" t="s">
        <v>216</v>
      </c>
    </row>
    <row r="1972" ht="15.6" spans="4:11">
      <c r="D1972" s="3">
        <v>6148</v>
      </c>
      <c r="E1972" s="3" t="s">
        <v>216</v>
      </c>
      <c r="J1972" s="3" t="s">
        <v>2214</v>
      </c>
      <c r="K1972" s="3" t="s">
        <v>216</v>
      </c>
    </row>
    <row r="1973" ht="15.6" spans="4:11">
      <c r="D1973" s="3">
        <v>6149</v>
      </c>
      <c r="E1973" s="3" t="s">
        <v>216</v>
      </c>
      <c r="J1973" s="3" t="s">
        <v>2215</v>
      </c>
      <c r="K1973" s="3" t="s">
        <v>216</v>
      </c>
    </row>
    <row r="1974" ht="15.6" spans="4:11">
      <c r="D1974" s="3">
        <v>6150</v>
      </c>
      <c r="E1974" s="3" t="s">
        <v>216</v>
      </c>
      <c r="J1974" s="3" t="s">
        <v>2216</v>
      </c>
      <c r="K1974" s="3" t="s">
        <v>216</v>
      </c>
    </row>
    <row r="1975" ht="15.6" spans="4:11">
      <c r="D1975" s="3">
        <v>6151</v>
      </c>
      <c r="E1975" s="3" t="s">
        <v>216</v>
      </c>
      <c r="J1975" s="3" t="s">
        <v>2217</v>
      </c>
      <c r="K1975" s="3" t="s">
        <v>216</v>
      </c>
    </row>
    <row r="1976" ht="15.6" spans="4:11">
      <c r="D1976" s="3">
        <v>6152</v>
      </c>
      <c r="E1976" s="3" t="s">
        <v>216</v>
      </c>
      <c r="J1976" s="3" t="s">
        <v>2218</v>
      </c>
      <c r="K1976" s="3" t="s">
        <v>216</v>
      </c>
    </row>
    <row r="1977" ht="15.6" spans="4:11">
      <c r="D1977" s="3">
        <v>6153</v>
      </c>
      <c r="E1977" s="3" t="s">
        <v>216</v>
      </c>
      <c r="J1977" s="3" t="s">
        <v>2219</v>
      </c>
      <c r="K1977" s="3" t="s">
        <v>216</v>
      </c>
    </row>
    <row r="1978" ht="15.6" spans="4:11">
      <c r="D1978" s="3">
        <v>6154</v>
      </c>
      <c r="E1978" s="3" t="s">
        <v>216</v>
      </c>
      <c r="J1978" s="3" t="s">
        <v>2220</v>
      </c>
      <c r="K1978" s="3" t="s">
        <v>216</v>
      </c>
    </row>
    <row r="1979" ht="15.6" spans="4:11">
      <c r="D1979" s="3">
        <v>6155</v>
      </c>
      <c r="E1979" s="3" t="s">
        <v>216</v>
      </c>
      <c r="J1979" s="3" t="s">
        <v>2221</v>
      </c>
      <c r="K1979" s="3" t="s">
        <v>216</v>
      </c>
    </row>
    <row r="1980" ht="15.6" spans="4:11">
      <c r="D1980" s="3">
        <v>6156</v>
      </c>
      <c r="E1980" s="3" t="s">
        <v>216</v>
      </c>
      <c r="J1980" s="3" t="s">
        <v>2222</v>
      </c>
      <c r="K1980" s="3" t="s">
        <v>216</v>
      </c>
    </row>
    <row r="1981" ht="15.6" spans="4:11">
      <c r="D1981" s="3">
        <v>6157</v>
      </c>
      <c r="E1981" s="3" t="s">
        <v>216</v>
      </c>
      <c r="J1981" s="3" t="s">
        <v>2223</v>
      </c>
      <c r="K1981" s="3" t="s">
        <v>216</v>
      </c>
    </row>
    <row r="1982" ht="15.6" spans="4:11">
      <c r="D1982" s="3">
        <v>6158</v>
      </c>
      <c r="E1982" s="3" t="s">
        <v>216</v>
      </c>
      <c r="J1982" s="3" t="s">
        <v>2224</v>
      </c>
      <c r="K1982" s="3" t="s">
        <v>216</v>
      </c>
    </row>
    <row r="1983" ht="15.6" spans="4:11">
      <c r="D1983" s="3">
        <v>6159</v>
      </c>
      <c r="E1983" s="3" t="s">
        <v>216</v>
      </c>
      <c r="J1983" s="3" t="s">
        <v>2225</v>
      </c>
      <c r="K1983" s="3" t="s">
        <v>216</v>
      </c>
    </row>
    <row r="1984" ht="15.6" spans="4:11">
      <c r="D1984" s="3">
        <v>6160</v>
      </c>
      <c r="E1984" s="3" t="s">
        <v>216</v>
      </c>
      <c r="J1984" s="3" t="s">
        <v>2226</v>
      </c>
      <c r="K1984" s="3" t="s">
        <v>216</v>
      </c>
    </row>
    <row r="1985" ht="15.6" spans="4:11">
      <c r="D1985" s="3">
        <v>6162</v>
      </c>
      <c r="E1985" s="3" t="s">
        <v>216</v>
      </c>
      <c r="J1985" s="3" t="s">
        <v>2227</v>
      </c>
      <c r="K1985" s="3" t="s">
        <v>216</v>
      </c>
    </row>
    <row r="1986" ht="15.6" spans="4:11">
      <c r="D1986" s="3">
        <v>6163</v>
      </c>
      <c r="E1986" s="3" t="s">
        <v>216</v>
      </c>
      <c r="J1986" s="3" t="s">
        <v>2228</v>
      </c>
      <c r="K1986" s="3" t="s">
        <v>216</v>
      </c>
    </row>
    <row r="1987" ht="15.6" spans="4:11">
      <c r="D1987" s="3">
        <v>6164</v>
      </c>
      <c r="E1987" s="3" t="s">
        <v>216</v>
      </c>
      <c r="J1987" s="3" t="s">
        <v>2229</v>
      </c>
      <c r="K1987" s="3" t="s">
        <v>216</v>
      </c>
    </row>
    <row r="1988" ht="15.6" spans="4:11">
      <c r="D1988" s="3">
        <v>6165</v>
      </c>
      <c r="E1988" s="3" t="s">
        <v>216</v>
      </c>
      <c r="J1988" s="3" t="s">
        <v>2230</v>
      </c>
      <c r="K1988" s="3" t="s">
        <v>216</v>
      </c>
    </row>
    <row r="1989" ht="15.6" spans="4:11">
      <c r="D1989" s="3">
        <v>6166</v>
      </c>
      <c r="E1989" s="3" t="s">
        <v>216</v>
      </c>
      <c r="J1989" s="3" t="s">
        <v>2231</v>
      </c>
      <c r="K1989" s="3" t="s">
        <v>216</v>
      </c>
    </row>
    <row r="1990" ht="15.6" spans="4:11">
      <c r="D1990" s="3">
        <v>6167</v>
      </c>
      <c r="E1990" s="3" t="s">
        <v>216</v>
      </c>
      <c r="J1990" s="3" t="s">
        <v>2232</v>
      </c>
      <c r="K1990" s="3" t="s">
        <v>216</v>
      </c>
    </row>
    <row r="1991" ht="15.6" spans="4:11">
      <c r="D1991" s="3">
        <v>6168</v>
      </c>
      <c r="E1991" s="3" t="s">
        <v>216</v>
      </c>
      <c r="J1991" s="3" t="s">
        <v>2233</v>
      </c>
      <c r="K1991" s="3" t="s">
        <v>216</v>
      </c>
    </row>
    <row r="1992" ht="15.6" spans="4:11">
      <c r="D1992" s="3">
        <v>6169</v>
      </c>
      <c r="E1992" s="3" t="s">
        <v>216</v>
      </c>
      <c r="J1992" s="3" t="s">
        <v>2234</v>
      </c>
      <c r="K1992" s="3" t="s">
        <v>216</v>
      </c>
    </row>
    <row r="1993" ht="15.6" spans="4:11">
      <c r="D1993" s="3">
        <v>6170</v>
      </c>
      <c r="E1993" s="3" t="s">
        <v>216</v>
      </c>
      <c r="J1993" s="3" t="s">
        <v>2235</v>
      </c>
      <c r="K1993" s="3" t="s">
        <v>216</v>
      </c>
    </row>
    <row r="1994" ht="15.6" spans="4:11">
      <c r="D1994" s="3">
        <v>6171</v>
      </c>
      <c r="E1994" s="3" t="s">
        <v>216</v>
      </c>
      <c r="J1994" s="3" t="s">
        <v>2236</v>
      </c>
      <c r="K1994" s="3" t="s">
        <v>216</v>
      </c>
    </row>
    <row r="1995" ht="15.6" spans="4:11">
      <c r="D1995" s="3">
        <v>6172</v>
      </c>
      <c r="E1995" s="3" t="s">
        <v>216</v>
      </c>
      <c r="J1995" s="3" t="s">
        <v>2237</v>
      </c>
      <c r="K1995" s="3" t="s">
        <v>216</v>
      </c>
    </row>
    <row r="1996" ht="15.6" spans="4:11">
      <c r="D1996" s="3">
        <v>6173</v>
      </c>
      <c r="E1996" s="3" t="s">
        <v>216</v>
      </c>
      <c r="J1996" s="3" t="s">
        <v>2238</v>
      </c>
      <c r="K1996" s="3" t="s">
        <v>216</v>
      </c>
    </row>
    <row r="1997" ht="15.6" spans="4:11">
      <c r="D1997" s="3">
        <v>6174</v>
      </c>
      <c r="E1997" s="3" t="s">
        <v>216</v>
      </c>
      <c r="J1997" s="3" t="s">
        <v>2239</v>
      </c>
      <c r="K1997" s="3" t="s">
        <v>216</v>
      </c>
    </row>
    <row r="1998" ht="15.6" spans="4:11">
      <c r="D1998" s="3">
        <v>6175</v>
      </c>
      <c r="E1998" s="3" t="s">
        <v>216</v>
      </c>
      <c r="J1998" s="3" t="s">
        <v>2240</v>
      </c>
      <c r="K1998" s="3" t="s">
        <v>216</v>
      </c>
    </row>
    <row r="1999" ht="15.6" spans="4:11">
      <c r="D1999" s="3">
        <v>6180</v>
      </c>
      <c r="E1999" s="3" t="s">
        <v>216</v>
      </c>
      <c r="J1999" s="3" t="s">
        <v>2241</v>
      </c>
      <c r="K1999" s="3" t="s">
        <v>216</v>
      </c>
    </row>
    <row r="2000" ht="15.6" spans="4:11">
      <c r="D2000" s="3">
        <v>6182</v>
      </c>
      <c r="E2000" s="3" t="s">
        <v>216</v>
      </c>
      <c r="J2000" s="3" t="s">
        <v>2242</v>
      </c>
      <c r="K2000" s="3" t="s">
        <v>216</v>
      </c>
    </row>
    <row r="2001" ht="15.6" spans="4:11">
      <c r="D2001" s="3">
        <v>6210</v>
      </c>
      <c r="E2001" s="3" t="s">
        <v>216</v>
      </c>
      <c r="J2001" s="3" t="s">
        <v>2243</v>
      </c>
      <c r="K2001" s="3" t="s">
        <v>216</v>
      </c>
    </row>
    <row r="2002" ht="15.6" spans="4:11">
      <c r="D2002" s="3">
        <v>6800</v>
      </c>
      <c r="E2002" s="3" t="s">
        <v>216</v>
      </c>
      <c r="J2002" s="3" t="s">
        <v>2244</v>
      </c>
      <c r="K2002" s="3" t="s">
        <v>216</v>
      </c>
    </row>
    <row r="2003" ht="15.6" spans="4:11">
      <c r="D2003" s="3">
        <v>6809</v>
      </c>
      <c r="E2003" s="3" t="s">
        <v>216</v>
      </c>
      <c r="J2003" s="3" t="s">
        <v>2245</v>
      </c>
      <c r="K2003" s="3" t="s">
        <v>216</v>
      </c>
    </row>
    <row r="2004" ht="15.6" spans="4:11">
      <c r="D2004" s="3">
        <v>6827</v>
      </c>
      <c r="E2004" s="3" t="s">
        <v>216</v>
      </c>
      <c r="J2004" s="3" t="s">
        <v>2246</v>
      </c>
      <c r="K2004" s="3" t="s">
        <v>216</v>
      </c>
    </row>
    <row r="2005" ht="15.6" spans="4:11">
      <c r="D2005" s="3">
        <v>6830</v>
      </c>
      <c r="E2005" s="3" t="s">
        <v>216</v>
      </c>
      <c r="J2005" s="3" t="s">
        <v>2247</v>
      </c>
      <c r="K2005" s="3" t="s">
        <v>216</v>
      </c>
    </row>
    <row r="2006" ht="15.6" spans="4:11">
      <c r="D2006" s="3">
        <v>6831</v>
      </c>
      <c r="E2006" s="3" t="s">
        <v>216</v>
      </c>
      <c r="J2006" s="3" t="s">
        <v>2248</v>
      </c>
      <c r="K2006" s="3" t="s">
        <v>216</v>
      </c>
    </row>
    <row r="2007" ht="15.6" spans="4:11">
      <c r="D2007" s="3">
        <v>6837</v>
      </c>
      <c r="E2007" s="3" t="s">
        <v>216</v>
      </c>
      <c r="J2007" s="3" t="s">
        <v>2249</v>
      </c>
      <c r="K2007" s="3" t="s">
        <v>216</v>
      </c>
    </row>
    <row r="2008" ht="15.6" spans="4:11">
      <c r="D2008" s="3">
        <v>6838</v>
      </c>
      <c r="E2008" s="3" t="s">
        <v>216</v>
      </c>
      <c r="J2008" s="3" t="s">
        <v>2250</v>
      </c>
      <c r="K2008" s="3" t="s">
        <v>216</v>
      </c>
    </row>
    <row r="2009" ht="15.6" spans="4:11">
      <c r="D2009" s="3">
        <v>6839</v>
      </c>
      <c r="E2009" s="3" t="s">
        <v>216</v>
      </c>
      <c r="J2009" s="3" t="s">
        <v>2251</v>
      </c>
      <c r="K2009" s="3" t="s">
        <v>216</v>
      </c>
    </row>
    <row r="2010" ht="15.6" spans="4:11">
      <c r="D2010" s="3">
        <v>6840</v>
      </c>
      <c r="E2010" s="3" t="s">
        <v>216</v>
      </c>
      <c r="J2010" s="3" t="s">
        <v>2252</v>
      </c>
      <c r="K2010" s="3" t="s">
        <v>216</v>
      </c>
    </row>
    <row r="2011" ht="15.6" spans="4:11">
      <c r="D2011" s="3">
        <v>6841</v>
      </c>
      <c r="E2011" s="3" t="s">
        <v>216</v>
      </c>
      <c r="J2011" s="3" t="s">
        <v>2253</v>
      </c>
      <c r="K2011" s="3" t="s">
        <v>216</v>
      </c>
    </row>
    <row r="2012" ht="15.6" spans="4:11">
      <c r="D2012" s="3">
        <v>6842</v>
      </c>
      <c r="E2012" s="3" t="s">
        <v>216</v>
      </c>
      <c r="J2012" s="3" t="s">
        <v>2254</v>
      </c>
      <c r="K2012" s="3" t="s">
        <v>216</v>
      </c>
    </row>
    <row r="2013" ht="15.6" spans="4:11">
      <c r="D2013" s="3">
        <v>6843</v>
      </c>
      <c r="E2013" s="3" t="s">
        <v>216</v>
      </c>
      <c r="J2013" s="3" t="s">
        <v>2255</v>
      </c>
      <c r="K2013" s="3" t="s">
        <v>216</v>
      </c>
    </row>
    <row r="2014" ht="15.6" spans="4:11">
      <c r="D2014" s="3">
        <v>6844</v>
      </c>
      <c r="E2014" s="3" t="s">
        <v>216</v>
      </c>
      <c r="J2014" s="3" t="s">
        <v>2256</v>
      </c>
      <c r="K2014" s="3" t="s">
        <v>216</v>
      </c>
    </row>
    <row r="2015" ht="15.6" spans="4:11">
      <c r="D2015" s="3">
        <v>6845</v>
      </c>
      <c r="E2015" s="3" t="s">
        <v>216</v>
      </c>
      <c r="J2015" s="3" t="s">
        <v>2257</v>
      </c>
      <c r="K2015" s="3" t="s">
        <v>216</v>
      </c>
    </row>
    <row r="2016" ht="15.6" spans="4:11">
      <c r="D2016" s="3">
        <v>6846</v>
      </c>
      <c r="E2016" s="3" t="s">
        <v>216</v>
      </c>
      <c r="J2016" s="3" t="s">
        <v>2258</v>
      </c>
      <c r="K2016" s="3" t="s">
        <v>216</v>
      </c>
    </row>
    <row r="2017" ht="15.6" spans="4:11">
      <c r="D2017" s="3">
        <v>6847</v>
      </c>
      <c r="E2017" s="3" t="s">
        <v>216</v>
      </c>
      <c r="J2017" s="3" t="s">
        <v>2259</v>
      </c>
      <c r="K2017" s="3" t="s">
        <v>216</v>
      </c>
    </row>
    <row r="2018" ht="15.6" spans="4:11">
      <c r="D2018" s="3">
        <v>6848</v>
      </c>
      <c r="E2018" s="3" t="s">
        <v>216</v>
      </c>
      <c r="J2018" s="3" t="s">
        <v>2260</v>
      </c>
      <c r="K2018" s="3" t="s">
        <v>216</v>
      </c>
    </row>
    <row r="2019" ht="15.6" spans="4:11">
      <c r="D2019" s="3">
        <v>6849</v>
      </c>
      <c r="E2019" s="3" t="s">
        <v>216</v>
      </c>
      <c r="J2019" s="3" t="s">
        <v>2261</v>
      </c>
      <c r="K2019" s="3" t="s">
        <v>216</v>
      </c>
    </row>
    <row r="2020" ht="15.6" spans="4:11">
      <c r="D2020" s="3">
        <v>6850</v>
      </c>
      <c r="E2020" s="3" t="s">
        <v>216</v>
      </c>
      <c r="J2020" s="3" t="s">
        <v>2262</v>
      </c>
      <c r="K2020" s="3" t="s">
        <v>216</v>
      </c>
    </row>
    <row r="2021" ht="15.6" spans="4:11">
      <c r="D2021" s="3">
        <v>6865</v>
      </c>
      <c r="E2021" s="3" t="s">
        <v>216</v>
      </c>
      <c r="J2021" s="3" t="s">
        <v>2263</v>
      </c>
      <c r="K2021" s="3" t="s">
        <v>216</v>
      </c>
    </row>
    <row r="2022" ht="15.6" spans="4:11">
      <c r="D2022" s="3">
        <v>6872</v>
      </c>
      <c r="E2022" s="3" t="s">
        <v>216</v>
      </c>
      <c r="J2022" s="3" t="s">
        <v>2264</v>
      </c>
      <c r="K2022" s="3" t="s">
        <v>216</v>
      </c>
    </row>
    <row r="2023" ht="15.6" spans="4:11">
      <c r="D2023" s="3">
        <v>6892</v>
      </c>
      <c r="E2023" s="3" t="s">
        <v>216</v>
      </c>
      <c r="J2023" s="3" t="s">
        <v>2265</v>
      </c>
      <c r="K2023" s="3" t="s">
        <v>216</v>
      </c>
    </row>
    <row r="2024" ht="15.6" spans="4:11">
      <c r="D2024" s="3">
        <v>6900</v>
      </c>
      <c r="E2024" s="3" t="s">
        <v>216</v>
      </c>
      <c r="J2024" s="3" t="s">
        <v>2266</v>
      </c>
      <c r="K2024" s="3" t="s">
        <v>216</v>
      </c>
    </row>
    <row r="2025" ht="15.6" spans="4:11">
      <c r="D2025" s="3">
        <v>6901</v>
      </c>
      <c r="E2025" s="3" t="s">
        <v>216</v>
      </c>
      <c r="J2025" s="3" t="s">
        <v>2267</v>
      </c>
      <c r="K2025" s="3" t="s">
        <v>216</v>
      </c>
    </row>
    <row r="2026" ht="15.6" spans="4:11">
      <c r="D2026" s="3">
        <v>6902</v>
      </c>
      <c r="E2026" s="3" t="s">
        <v>216</v>
      </c>
      <c r="J2026" s="3" t="s">
        <v>2268</v>
      </c>
      <c r="K2026" s="3" t="s">
        <v>216</v>
      </c>
    </row>
    <row r="2027" ht="15.6" spans="4:11">
      <c r="D2027" s="3">
        <v>6903</v>
      </c>
      <c r="E2027" s="3" t="s">
        <v>216</v>
      </c>
      <c r="J2027" s="3" t="s">
        <v>2269</v>
      </c>
      <c r="K2027" s="3" t="s">
        <v>216</v>
      </c>
    </row>
    <row r="2028" ht="15.6" spans="4:11">
      <c r="D2028" s="3">
        <v>6904</v>
      </c>
      <c r="E2028" s="3" t="s">
        <v>216</v>
      </c>
      <c r="J2028" s="3" t="s">
        <v>2270</v>
      </c>
      <c r="K2028" s="3" t="s">
        <v>216</v>
      </c>
    </row>
    <row r="2029" ht="15.6" spans="4:11">
      <c r="D2029" s="3">
        <v>6905</v>
      </c>
      <c r="E2029" s="3" t="s">
        <v>216</v>
      </c>
      <c r="J2029" s="3" t="s">
        <v>2271</v>
      </c>
      <c r="K2029" s="3" t="s">
        <v>216</v>
      </c>
    </row>
    <row r="2030" ht="15.6" spans="4:11">
      <c r="D2030" s="3">
        <v>6906</v>
      </c>
      <c r="E2030" s="3" t="s">
        <v>216</v>
      </c>
      <c r="J2030" s="3" t="s">
        <v>2272</v>
      </c>
      <c r="K2030" s="3" t="s">
        <v>216</v>
      </c>
    </row>
    <row r="2031" ht="15.6" spans="4:11">
      <c r="D2031" s="3">
        <v>6907</v>
      </c>
      <c r="E2031" s="3" t="s">
        <v>216</v>
      </c>
      <c r="J2031" s="3" t="s">
        <v>2273</v>
      </c>
      <c r="K2031" s="3" t="s">
        <v>216</v>
      </c>
    </row>
    <row r="2032" ht="15.6" spans="4:11">
      <c r="D2032" s="3">
        <v>6909</v>
      </c>
      <c r="E2032" s="3" t="s">
        <v>216</v>
      </c>
      <c r="J2032" s="3" t="s">
        <v>2274</v>
      </c>
      <c r="K2032" s="3" t="s">
        <v>216</v>
      </c>
    </row>
    <row r="2033" ht="15.6" spans="4:11">
      <c r="D2033" s="3">
        <v>6910</v>
      </c>
      <c r="E2033" s="3" t="s">
        <v>216</v>
      </c>
      <c r="J2033" s="3" t="s">
        <v>2275</v>
      </c>
      <c r="K2033" s="3" t="s">
        <v>216</v>
      </c>
    </row>
    <row r="2034" ht="15.6" spans="4:11">
      <c r="D2034" s="3">
        <v>6911</v>
      </c>
      <c r="E2034" s="3" t="s">
        <v>216</v>
      </c>
      <c r="J2034" s="3" t="s">
        <v>2276</v>
      </c>
      <c r="K2034" s="3" t="s">
        <v>216</v>
      </c>
    </row>
    <row r="2035" ht="15.6" spans="4:11">
      <c r="D2035" s="3">
        <v>6912</v>
      </c>
      <c r="E2035" s="3" t="s">
        <v>216</v>
      </c>
      <c r="J2035" s="3" t="s">
        <v>2277</v>
      </c>
      <c r="K2035" s="3" t="s">
        <v>216</v>
      </c>
    </row>
    <row r="2036" ht="15.6" spans="4:11">
      <c r="D2036" s="3">
        <v>6913</v>
      </c>
      <c r="E2036" s="3" t="s">
        <v>216</v>
      </c>
      <c r="J2036" s="3" t="s">
        <v>2278</v>
      </c>
      <c r="K2036" s="3" t="s">
        <v>216</v>
      </c>
    </row>
    <row r="2037" ht="15.6" spans="4:11">
      <c r="D2037" s="3">
        <v>6914</v>
      </c>
      <c r="E2037" s="3" t="s">
        <v>216</v>
      </c>
      <c r="J2037" s="3" t="s">
        <v>2279</v>
      </c>
      <c r="K2037" s="3" t="s">
        <v>216</v>
      </c>
    </row>
    <row r="2038" ht="15.6" spans="4:11">
      <c r="D2038" s="3">
        <v>6915</v>
      </c>
      <c r="E2038" s="3" t="s">
        <v>216</v>
      </c>
      <c r="J2038" s="3" t="s">
        <v>2280</v>
      </c>
      <c r="K2038" s="3" t="s">
        <v>216</v>
      </c>
    </row>
    <row r="2039" ht="15.6" spans="4:11">
      <c r="D2039" s="3">
        <v>6916</v>
      </c>
      <c r="E2039" s="3" t="s">
        <v>216</v>
      </c>
      <c r="J2039" s="3" t="s">
        <v>2281</v>
      </c>
      <c r="K2039" s="3" t="s">
        <v>216</v>
      </c>
    </row>
    <row r="2040" ht="15.6" spans="4:11">
      <c r="D2040" s="3">
        <v>6917</v>
      </c>
      <c r="E2040" s="3" t="s">
        <v>216</v>
      </c>
      <c r="J2040" s="3" t="s">
        <v>2282</v>
      </c>
      <c r="K2040" s="3" t="s">
        <v>216</v>
      </c>
    </row>
    <row r="2041" ht="15.6" spans="4:11">
      <c r="D2041" s="3">
        <v>6918</v>
      </c>
      <c r="E2041" s="3" t="s">
        <v>216</v>
      </c>
      <c r="J2041" s="3" t="s">
        <v>2283</v>
      </c>
      <c r="K2041" s="3" t="s">
        <v>216</v>
      </c>
    </row>
    <row r="2042" ht="15.6" spans="4:11">
      <c r="D2042" s="3">
        <v>6919</v>
      </c>
      <c r="E2042" s="3" t="s">
        <v>216</v>
      </c>
      <c r="J2042" s="3" t="s">
        <v>2284</v>
      </c>
      <c r="K2042" s="3" t="s">
        <v>216</v>
      </c>
    </row>
    <row r="2043" ht="15.6" spans="4:11">
      <c r="D2043" s="3">
        <v>6920</v>
      </c>
      <c r="E2043" s="3" t="s">
        <v>216</v>
      </c>
      <c r="J2043" s="3" t="s">
        <v>2285</v>
      </c>
      <c r="K2043" s="3" t="s">
        <v>216</v>
      </c>
    </row>
    <row r="2044" ht="15.6" spans="4:11">
      <c r="D2044" s="3">
        <v>6921</v>
      </c>
      <c r="E2044" s="3" t="s">
        <v>216</v>
      </c>
      <c r="J2044" s="3" t="s">
        <v>2286</v>
      </c>
      <c r="K2044" s="3" t="s">
        <v>216</v>
      </c>
    </row>
    <row r="2045" ht="15.6" spans="4:11">
      <c r="D2045" s="3">
        <v>6922</v>
      </c>
      <c r="E2045" s="3" t="s">
        <v>216</v>
      </c>
      <c r="J2045" s="3" t="s">
        <v>2287</v>
      </c>
      <c r="K2045" s="3" t="s">
        <v>216</v>
      </c>
    </row>
    <row r="2046" ht="15.6" spans="4:11">
      <c r="D2046" s="3">
        <v>6923</v>
      </c>
      <c r="E2046" s="3" t="s">
        <v>216</v>
      </c>
      <c r="J2046" s="3" t="s">
        <v>2288</v>
      </c>
      <c r="K2046" s="3" t="s">
        <v>216</v>
      </c>
    </row>
    <row r="2047" ht="15.6" spans="4:11">
      <c r="D2047" s="3">
        <v>6924</v>
      </c>
      <c r="E2047" s="3" t="s">
        <v>216</v>
      </c>
      <c r="J2047" s="3" t="s">
        <v>2289</v>
      </c>
      <c r="K2047" s="3" t="s">
        <v>216</v>
      </c>
    </row>
    <row r="2048" ht="15.6" spans="4:11">
      <c r="D2048" s="3">
        <v>6925</v>
      </c>
      <c r="E2048" s="3" t="s">
        <v>216</v>
      </c>
      <c r="J2048" s="3" t="s">
        <v>2290</v>
      </c>
      <c r="K2048" s="3" t="s">
        <v>216</v>
      </c>
    </row>
    <row r="2049" ht="15.6" spans="4:11">
      <c r="D2049" s="3">
        <v>6926</v>
      </c>
      <c r="E2049" s="3" t="s">
        <v>216</v>
      </c>
      <c r="J2049" s="3" t="s">
        <v>2291</v>
      </c>
      <c r="K2049" s="3" t="s">
        <v>216</v>
      </c>
    </row>
    <row r="2050" ht="15.6" spans="4:11">
      <c r="D2050" s="3">
        <v>6929</v>
      </c>
      <c r="E2050" s="3" t="s">
        <v>216</v>
      </c>
      <c r="J2050" s="3" t="s">
        <v>2292</v>
      </c>
      <c r="K2050" s="3" t="s">
        <v>216</v>
      </c>
    </row>
    <row r="2051" ht="15.6" spans="4:11">
      <c r="D2051" s="3">
        <v>6931</v>
      </c>
      <c r="E2051" s="3" t="s">
        <v>216</v>
      </c>
      <c r="J2051" s="3" t="s">
        <v>2293</v>
      </c>
      <c r="K2051" s="3" t="s">
        <v>216</v>
      </c>
    </row>
    <row r="2052" ht="15.6" spans="4:11">
      <c r="D2052" s="3">
        <v>6932</v>
      </c>
      <c r="E2052" s="3" t="s">
        <v>216</v>
      </c>
      <c r="J2052" s="3" t="s">
        <v>2294</v>
      </c>
      <c r="K2052" s="3" t="s">
        <v>216</v>
      </c>
    </row>
    <row r="2053" ht="15.6" spans="4:11">
      <c r="D2053" s="3">
        <v>6933</v>
      </c>
      <c r="E2053" s="3" t="s">
        <v>216</v>
      </c>
      <c r="J2053" s="3" t="s">
        <v>2295</v>
      </c>
      <c r="K2053" s="3" t="s">
        <v>216</v>
      </c>
    </row>
    <row r="2054" ht="15.6" spans="4:11">
      <c r="D2054" s="3">
        <v>6934</v>
      </c>
      <c r="E2054" s="3" t="s">
        <v>216</v>
      </c>
      <c r="J2054" s="3" t="s">
        <v>2296</v>
      </c>
      <c r="K2054" s="3" t="s">
        <v>216</v>
      </c>
    </row>
    <row r="2055" ht="15.6" spans="4:11">
      <c r="D2055" s="3">
        <v>6935</v>
      </c>
      <c r="E2055" s="3" t="s">
        <v>216</v>
      </c>
      <c r="J2055" s="3" t="s">
        <v>2297</v>
      </c>
      <c r="K2055" s="3" t="s">
        <v>216</v>
      </c>
    </row>
    <row r="2056" ht="15.6" spans="4:11">
      <c r="D2056" s="3">
        <v>6936</v>
      </c>
      <c r="E2056" s="3" t="s">
        <v>216</v>
      </c>
      <c r="J2056" s="3" t="s">
        <v>2298</v>
      </c>
      <c r="K2056" s="3" t="s">
        <v>216</v>
      </c>
    </row>
    <row r="2057" ht="15.6" spans="4:11">
      <c r="D2057" s="3">
        <v>6939</v>
      </c>
      <c r="E2057" s="3" t="s">
        <v>216</v>
      </c>
      <c r="J2057" s="3" t="s">
        <v>2299</v>
      </c>
      <c r="K2057" s="3" t="s">
        <v>216</v>
      </c>
    </row>
    <row r="2058" ht="15.6" spans="4:11">
      <c r="D2058" s="3">
        <v>6941</v>
      </c>
      <c r="E2058" s="3" t="s">
        <v>216</v>
      </c>
      <c r="J2058" s="3" t="s">
        <v>2300</v>
      </c>
      <c r="K2058" s="3" t="s">
        <v>216</v>
      </c>
    </row>
    <row r="2059" ht="15.6" spans="4:11">
      <c r="D2059" s="3">
        <v>6942</v>
      </c>
      <c r="E2059" s="3" t="s">
        <v>216</v>
      </c>
      <c r="J2059" s="3" t="s">
        <v>2301</v>
      </c>
      <c r="K2059" s="3" t="s">
        <v>216</v>
      </c>
    </row>
    <row r="2060" ht="15.6" spans="4:11">
      <c r="D2060" s="3">
        <v>6943</v>
      </c>
      <c r="E2060" s="3" t="s">
        <v>216</v>
      </c>
      <c r="J2060" s="3" t="s">
        <v>2302</v>
      </c>
      <c r="K2060" s="3" t="s">
        <v>216</v>
      </c>
    </row>
    <row r="2061" ht="15.6" spans="4:11">
      <c r="D2061" s="3">
        <v>6944</v>
      </c>
      <c r="E2061" s="3" t="s">
        <v>216</v>
      </c>
      <c r="J2061" s="3" t="s">
        <v>2303</v>
      </c>
      <c r="K2061" s="3" t="s">
        <v>216</v>
      </c>
    </row>
    <row r="2062" ht="15.6" spans="4:11">
      <c r="D2062" s="3">
        <v>6945</v>
      </c>
      <c r="E2062" s="3" t="s">
        <v>216</v>
      </c>
      <c r="J2062" s="3" t="s">
        <v>2304</v>
      </c>
      <c r="K2062" s="3" t="s">
        <v>216</v>
      </c>
    </row>
    <row r="2063" ht="15.6" spans="4:11">
      <c r="D2063" s="3">
        <v>6946</v>
      </c>
      <c r="E2063" s="3" t="s">
        <v>216</v>
      </c>
      <c r="J2063" s="3" t="s">
        <v>2305</v>
      </c>
      <c r="K2063" s="3" t="s">
        <v>216</v>
      </c>
    </row>
    <row r="2064" ht="15.6" spans="4:11">
      <c r="D2064" s="3">
        <v>6947</v>
      </c>
      <c r="E2064" s="3" t="s">
        <v>216</v>
      </c>
      <c r="J2064" s="3" t="s">
        <v>2306</v>
      </c>
      <c r="K2064" s="3" t="s">
        <v>216</v>
      </c>
    </row>
    <row r="2065" ht="15.6" spans="4:11">
      <c r="D2065" s="3">
        <v>6951</v>
      </c>
      <c r="E2065" s="3" t="s">
        <v>216</v>
      </c>
      <c r="J2065" s="3" t="s">
        <v>2307</v>
      </c>
      <c r="K2065" s="3" t="s">
        <v>216</v>
      </c>
    </row>
    <row r="2066" ht="15.6" spans="4:11">
      <c r="D2066" s="3">
        <v>6952</v>
      </c>
      <c r="E2066" s="3" t="s">
        <v>216</v>
      </c>
      <c r="J2066" s="3" t="s">
        <v>2308</v>
      </c>
      <c r="K2066" s="3" t="s">
        <v>216</v>
      </c>
    </row>
    <row r="2067" ht="15.6" spans="4:11">
      <c r="D2067" s="3">
        <v>6953</v>
      </c>
      <c r="E2067" s="3" t="s">
        <v>216</v>
      </c>
      <c r="J2067" s="3" t="s">
        <v>2309</v>
      </c>
      <c r="K2067" s="3" t="s">
        <v>216</v>
      </c>
    </row>
    <row r="2068" ht="15.6" spans="4:11">
      <c r="D2068" s="3">
        <v>6954</v>
      </c>
      <c r="E2068" s="3" t="s">
        <v>216</v>
      </c>
      <c r="J2068" s="3" t="s">
        <v>2310</v>
      </c>
      <c r="K2068" s="3" t="s">
        <v>216</v>
      </c>
    </row>
    <row r="2069" ht="15.6" spans="4:11">
      <c r="D2069" s="3">
        <v>6955</v>
      </c>
      <c r="E2069" s="3" t="s">
        <v>216</v>
      </c>
      <c r="J2069" s="3" t="s">
        <v>2311</v>
      </c>
      <c r="K2069" s="3" t="s">
        <v>216</v>
      </c>
    </row>
    <row r="2070" ht="15.6" spans="4:11">
      <c r="D2070" s="3">
        <v>6956</v>
      </c>
      <c r="E2070" s="3" t="s">
        <v>216</v>
      </c>
      <c r="J2070" s="3" t="s">
        <v>2312</v>
      </c>
      <c r="K2070" s="3" t="s">
        <v>216</v>
      </c>
    </row>
    <row r="2071" ht="15.6" spans="4:11">
      <c r="D2071" s="3">
        <v>6957</v>
      </c>
      <c r="E2071" s="3" t="s">
        <v>216</v>
      </c>
      <c r="J2071" s="3" t="s">
        <v>2313</v>
      </c>
      <c r="K2071" s="3" t="s">
        <v>216</v>
      </c>
    </row>
    <row r="2072" ht="15.6" spans="4:11">
      <c r="D2072" s="3">
        <v>6958</v>
      </c>
      <c r="E2072" s="3" t="s">
        <v>216</v>
      </c>
      <c r="J2072" s="3" t="s">
        <v>2314</v>
      </c>
      <c r="K2072" s="3" t="s">
        <v>216</v>
      </c>
    </row>
    <row r="2073" ht="15.6" spans="4:11">
      <c r="D2073" s="3">
        <v>6959</v>
      </c>
      <c r="E2073" s="3" t="s">
        <v>216</v>
      </c>
      <c r="J2073" s="3" t="s">
        <v>2315</v>
      </c>
      <c r="K2073" s="3" t="s">
        <v>216</v>
      </c>
    </row>
    <row r="2074" ht="15.6" spans="4:11">
      <c r="D2074" s="3">
        <v>6960</v>
      </c>
      <c r="E2074" s="3" t="s">
        <v>216</v>
      </c>
      <c r="J2074" s="3" t="s">
        <v>2316</v>
      </c>
      <c r="K2074" s="3" t="s">
        <v>216</v>
      </c>
    </row>
    <row r="2075" ht="15.6" spans="4:11">
      <c r="D2075" s="3">
        <v>6961</v>
      </c>
      <c r="E2075" s="3" t="s">
        <v>216</v>
      </c>
      <c r="J2075" s="3" t="s">
        <v>2317</v>
      </c>
      <c r="K2075" s="3" t="s">
        <v>216</v>
      </c>
    </row>
    <row r="2076" ht="15.6" spans="4:11">
      <c r="D2076" s="3">
        <v>6963</v>
      </c>
      <c r="E2076" s="3" t="s">
        <v>216</v>
      </c>
      <c r="J2076" s="3" t="s">
        <v>2318</v>
      </c>
      <c r="K2076" s="3" t="s">
        <v>216</v>
      </c>
    </row>
    <row r="2077" ht="15.6" spans="4:11">
      <c r="D2077" s="3">
        <v>6964</v>
      </c>
      <c r="E2077" s="3" t="s">
        <v>216</v>
      </c>
      <c r="J2077" s="3" t="s">
        <v>2319</v>
      </c>
      <c r="K2077" s="3" t="s">
        <v>216</v>
      </c>
    </row>
    <row r="2078" ht="15.6" spans="4:11">
      <c r="D2078" s="3">
        <v>6965</v>
      </c>
      <c r="E2078" s="3" t="s">
        <v>216</v>
      </c>
      <c r="J2078" s="3" t="s">
        <v>2320</v>
      </c>
      <c r="K2078" s="3" t="s">
        <v>216</v>
      </c>
    </row>
    <row r="2079" ht="15.6" spans="4:11">
      <c r="D2079" s="3">
        <v>6966</v>
      </c>
      <c r="E2079" s="3" t="s">
        <v>216</v>
      </c>
      <c r="J2079" s="3" t="s">
        <v>2321</v>
      </c>
      <c r="K2079" s="3" t="s">
        <v>216</v>
      </c>
    </row>
    <row r="2080" ht="15.6" spans="4:11">
      <c r="D2080" s="3">
        <v>6967</v>
      </c>
      <c r="E2080" s="3" t="s">
        <v>216</v>
      </c>
      <c r="J2080" s="3" t="s">
        <v>2322</v>
      </c>
      <c r="K2080" s="3" t="s">
        <v>216</v>
      </c>
    </row>
    <row r="2081" ht="15.6" spans="4:11">
      <c r="D2081" s="3">
        <v>6968</v>
      </c>
      <c r="E2081" s="3" t="s">
        <v>216</v>
      </c>
      <c r="J2081" s="3" t="s">
        <v>2323</v>
      </c>
      <c r="K2081" s="3" t="s">
        <v>216</v>
      </c>
    </row>
    <row r="2082" ht="15.6" spans="4:11">
      <c r="D2082" s="3">
        <v>6969</v>
      </c>
      <c r="E2082" s="3" t="s">
        <v>216</v>
      </c>
      <c r="J2082" s="3" t="s">
        <v>2324</v>
      </c>
      <c r="K2082" s="3" t="s">
        <v>216</v>
      </c>
    </row>
    <row r="2083" ht="15.6" spans="4:11">
      <c r="D2083" s="3">
        <v>6970</v>
      </c>
      <c r="E2083" s="3" t="s">
        <v>216</v>
      </c>
      <c r="J2083" s="3" t="s">
        <v>2325</v>
      </c>
      <c r="K2083" s="3" t="s">
        <v>216</v>
      </c>
    </row>
    <row r="2084" ht="15.6" spans="4:11">
      <c r="D2084" s="3">
        <v>6979</v>
      </c>
      <c r="E2084" s="3" t="s">
        <v>216</v>
      </c>
      <c r="J2084" s="3" t="s">
        <v>2326</v>
      </c>
      <c r="K2084" s="3" t="s">
        <v>216</v>
      </c>
    </row>
    <row r="2085" ht="15.6" spans="4:11">
      <c r="D2085" s="3">
        <v>6981</v>
      </c>
      <c r="E2085" s="3" t="s">
        <v>216</v>
      </c>
      <c r="J2085" s="3" t="s">
        <v>2327</v>
      </c>
      <c r="K2085" s="3" t="s">
        <v>216</v>
      </c>
    </row>
    <row r="2086" ht="15.6" spans="4:11">
      <c r="D2086" s="3">
        <v>6982</v>
      </c>
      <c r="E2086" s="3" t="s">
        <v>216</v>
      </c>
      <c r="J2086" s="3" t="s">
        <v>2328</v>
      </c>
      <c r="K2086" s="3" t="s">
        <v>216</v>
      </c>
    </row>
    <row r="2087" ht="15.6" spans="4:11">
      <c r="D2087" s="3">
        <v>6983</v>
      </c>
      <c r="E2087" s="3" t="s">
        <v>216</v>
      </c>
      <c r="J2087" s="3" t="s">
        <v>2329</v>
      </c>
      <c r="K2087" s="3" t="s">
        <v>216</v>
      </c>
    </row>
    <row r="2088" ht="15.6" spans="4:11">
      <c r="D2088" s="3">
        <v>6984</v>
      </c>
      <c r="E2088" s="3" t="s">
        <v>216</v>
      </c>
      <c r="J2088" s="3" t="s">
        <v>2330</v>
      </c>
      <c r="K2088" s="3" t="s">
        <v>216</v>
      </c>
    </row>
    <row r="2089" ht="15.6" spans="4:11">
      <c r="D2089" s="3">
        <v>6985</v>
      </c>
      <c r="E2089" s="3" t="s">
        <v>216</v>
      </c>
      <c r="J2089" s="3" t="s">
        <v>2331</v>
      </c>
      <c r="K2089" s="3" t="s">
        <v>216</v>
      </c>
    </row>
    <row r="2090" ht="15.6" spans="4:11">
      <c r="D2090" s="3">
        <v>6986</v>
      </c>
      <c r="E2090" s="3" t="s">
        <v>216</v>
      </c>
      <c r="J2090" s="3" t="s">
        <v>2332</v>
      </c>
      <c r="K2090" s="3" t="s">
        <v>216</v>
      </c>
    </row>
    <row r="2091" ht="15.6" spans="4:11">
      <c r="D2091" s="3">
        <v>6987</v>
      </c>
      <c r="E2091" s="3" t="s">
        <v>216</v>
      </c>
      <c r="J2091" s="3" t="s">
        <v>2333</v>
      </c>
      <c r="K2091" s="3" t="s">
        <v>216</v>
      </c>
    </row>
    <row r="2092" ht="15.6" spans="4:11">
      <c r="D2092" s="3">
        <v>6988</v>
      </c>
      <c r="E2092" s="3" t="s">
        <v>216</v>
      </c>
      <c r="J2092" s="3" t="s">
        <v>2334</v>
      </c>
      <c r="K2092" s="3" t="s">
        <v>216</v>
      </c>
    </row>
    <row r="2093" ht="15.6" spans="4:11">
      <c r="D2093" s="3">
        <v>6989</v>
      </c>
      <c r="E2093" s="3" t="s">
        <v>216</v>
      </c>
      <c r="J2093" s="3" t="s">
        <v>2335</v>
      </c>
      <c r="K2093" s="3" t="s">
        <v>216</v>
      </c>
    </row>
    <row r="2094" ht="15.6" spans="4:11">
      <c r="D2094" s="3">
        <v>6990</v>
      </c>
      <c r="E2094" s="3" t="s">
        <v>216</v>
      </c>
      <c r="J2094" s="3" t="s">
        <v>2336</v>
      </c>
      <c r="K2094" s="3" t="s">
        <v>216</v>
      </c>
    </row>
    <row r="2095" ht="15.6" spans="4:11">
      <c r="D2095" s="3">
        <v>6992</v>
      </c>
      <c r="E2095" s="3" t="s">
        <v>216</v>
      </c>
      <c r="J2095" s="3" t="s">
        <v>2337</v>
      </c>
      <c r="K2095" s="3" t="s">
        <v>216</v>
      </c>
    </row>
    <row r="2096" ht="15.6" spans="4:11">
      <c r="D2096" s="3">
        <v>8000</v>
      </c>
      <c r="E2096" s="3" t="s">
        <v>216</v>
      </c>
      <c r="J2096" s="3" t="s">
        <v>2338</v>
      </c>
      <c r="K2096" s="3" t="s">
        <v>216</v>
      </c>
    </row>
    <row r="2097" ht="15.6" spans="4:11">
      <c r="D2097" s="3">
        <v>8001</v>
      </c>
      <c r="E2097" s="3" t="s">
        <v>216</v>
      </c>
      <c r="J2097" s="3" t="s">
        <v>2339</v>
      </c>
      <c r="K2097" s="3" t="s">
        <v>216</v>
      </c>
    </row>
    <row r="2098" ht="15.6" spans="4:11">
      <c r="D2098" s="3">
        <v>8002</v>
      </c>
      <c r="E2098" s="3" t="s">
        <v>216</v>
      </c>
      <c r="J2098" s="3" t="s">
        <v>2340</v>
      </c>
      <c r="K2098" s="3" t="s">
        <v>216</v>
      </c>
    </row>
    <row r="2099" ht="15.6" spans="4:11">
      <c r="D2099" s="3">
        <v>8003</v>
      </c>
      <c r="E2099" s="3" t="s">
        <v>216</v>
      </c>
      <c r="J2099" s="3" t="s">
        <v>2341</v>
      </c>
      <c r="K2099" s="3" t="s">
        <v>216</v>
      </c>
    </row>
    <row r="2100" ht="15.6" spans="4:11">
      <c r="D2100" s="3">
        <v>8004</v>
      </c>
      <c r="E2100" s="3" t="s">
        <v>216</v>
      </c>
      <c r="J2100" s="3" t="s">
        <v>2342</v>
      </c>
      <c r="K2100" s="3" t="s">
        <v>216</v>
      </c>
    </row>
    <row r="2101" ht="15.6" spans="4:11">
      <c r="D2101" s="3">
        <v>8005</v>
      </c>
      <c r="E2101" s="3" t="s">
        <v>216</v>
      </c>
      <c r="J2101" s="3" t="s">
        <v>2343</v>
      </c>
      <c r="K2101" s="3" t="s">
        <v>216</v>
      </c>
    </row>
    <row r="2102" ht="15.6" spans="4:11">
      <c r="D2102" s="3">
        <v>8006</v>
      </c>
      <c r="E2102" s="3" t="s">
        <v>216</v>
      </c>
      <c r="J2102" s="3" t="s">
        <v>2344</v>
      </c>
      <c r="K2102" s="3" t="s">
        <v>216</v>
      </c>
    </row>
    <row r="2103" ht="15.6" spans="4:11">
      <c r="D2103" s="3">
        <v>8007</v>
      </c>
      <c r="E2103" s="3" t="s">
        <v>216</v>
      </c>
      <c r="J2103" s="3" t="s">
        <v>2345</v>
      </c>
      <c r="K2103" s="3" t="s">
        <v>216</v>
      </c>
    </row>
    <row r="2104" ht="15.6" spans="4:11">
      <c r="D2104" s="3">
        <v>8008</v>
      </c>
      <c r="E2104" s="3" t="s">
        <v>216</v>
      </c>
      <c r="J2104" s="3" t="s">
        <v>2346</v>
      </c>
      <c r="K2104" s="3" t="s">
        <v>216</v>
      </c>
    </row>
    <row r="2105" ht="15.6" spans="4:11">
      <c r="D2105" s="3">
        <v>8009</v>
      </c>
      <c r="E2105" s="3" t="s">
        <v>216</v>
      </c>
      <c r="J2105" s="3" t="s">
        <v>2347</v>
      </c>
      <c r="K2105" s="3" t="s">
        <v>216</v>
      </c>
    </row>
    <row r="2106" ht="15.6" spans="4:11">
      <c r="D2106" s="3">
        <v>8010</v>
      </c>
      <c r="E2106" s="3" t="s">
        <v>216</v>
      </c>
      <c r="J2106" s="3" t="s">
        <v>2348</v>
      </c>
      <c r="K2106" s="3" t="s">
        <v>216</v>
      </c>
    </row>
    <row r="2107" ht="15.6" spans="4:11">
      <c r="D2107" s="3">
        <v>8011</v>
      </c>
      <c r="E2107" s="3" t="s">
        <v>216</v>
      </c>
      <c r="J2107" s="3" t="s">
        <v>2349</v>
      </c>
      <c r="K2107" s="3" t="s">
        <v>216</v>
      </c>
    </row>
    <row r="2108" ht="15.6" spans="4:11">
      <c r="D2108" s="3">
        <v>8012</v>
      </c>
      <c r="E2108" s="3" t="s">
        <v>216</v>
      </c>
      <c r="J2108" s="3" t="s">
        <v>2350</v>
      </c>
      <c r="K2108" s="3" t="s">
        <v>216</v>
      </c>
    </row>
    <row r="2109" ht="15.6" spans="4:11">
      <c r="D2109" s="3">
        <v>8013</v>
      </c>
      <c r="E2109" s="3" t="s">
        <v>216</v>
      </c>
      <c r="J2109" s="3" t="s">
        <v>2351</v>
      </c>
      <c r="K2109" s="3" t="s">
        <v>216</v>
      </c>
    </row>
    <row r="2110" ht="15.6" spans="4:11">
      <c r="D2110" s="3">
        <v>8014</v>
      </c>
      <c r="E2110" s="3" t="s">
        <v>216</v>
      </c>
      <c r="J2110" s="3" t="s">
        <v>2352</v>
      </c>
      <c r="K2110" s="3" t="s">
        <v>216</v>
      </c>
    </row>
    <row r="2111" ht="15.6" spans="4:11">
      <c r="D2111" s="3">
        <v>8015</v>
      </c>
      <c r="E2111" s="3" t="s">
        <v>216</v>
      </c>
      <c r="J2111" s="3" t="s">
        <v>2353</v>
      </c>
      <c r="K2111" s="3" t="s">
        <v>216</v>
      </c>
    </row>
    <row r="2112" ht="15.6" spans="4:11">
      <c r="D2112" s="3">
        <v>8016</v>
      </c>
      <c r="E2112" s="3" t="s">
        <v>216</v>
      </c>
      <c r="J2112" s="3" t="s">
        <v>2354</v>
      </c>
      <c r="K2112" s="3" t="s">
        <v>216</v>
      </c>
    </row>
    <row r="2113" ht="15.6" spans="4:11">
      <c r="D2113" s="3">
        <v>8017</v>
      </c>
      <c r="E2113" s="3" t="s">
        <v>216</v>
      </c>
      <c r="J2113" s="3" t="s">
        <v>2355</v>
      </c>
      <c r="K2113" s="3" t="s">
        <v>216</v>
      </c>
    </row>
    <row r="2114" ht="15.6" spans="4:11">
      <c r="D2114" s="3">
        <v>8018</v>
      </c>
      <c r="E2114" s="3" t="s">
        <v>216</v>
      </c>
      <c r="J2114" s="3" t="s">
        <v>2356</v>
      </c>
      <c r="K2114" s="3" t="s">
        <v>216</v>
      </c>
    </row>
    <row r="2115" ht="15.6" spans="4:11">
      <c r="D2115" s="3">
        <v>8019</v>
      </c>
      <c r="E2115" s="3" t="s">
        <v>216</v>
      </c>
      <c r="J2115" s="3" t="s">
        <v>2357</v>
      </c>
      <c r="K2115" s="3" t="s">
        <v>216</v>
      </c>
    </row>
    <row r="2116" ht="15.6" spans="4:11">
      <c r="D2116" s="3">
        <v>8020</v>
      </c>
      <c r="E2116" s="3" t="s">
        <v>216</v>
      </c>
      <c r="J2116" s="3" t="s">
        <v>2358</v>
      </c>
      <c r="K2116" s="3" t="s">
        <v>216</v>
      </c>
    </row>
    <row r="2117" ht="15.6" spans="4:11">
      <c r="D2117" s="3">
        <v>8021</v>
      </c>
      <c r="E2117" s="3" t="s">
        <v>216</v>
      </c>
      <c r="J2117" s="3" t="s">
        <v>2359</v>
      </c>
      <c r="K2117" s="3" t="s">
        <v>216</v>
      </c>
    </row>
    <row r="2118" ht="15.6" spans="4:11">
      <c r="D2118" s="3">
        <v>8022</v>
      </c>
      <c r="E2118" s="3" t="s">
        <v>216</v>
      </c>
      <c r="J2118" s="3" t="s">
        <v>2360</v>
      </c>
      <c r="K2118" s="3" t="s">
        <v>216</v>
      </c>
    </row>
    <row r="2119" ht="15.6" spans="4:11">
      <c r="D2119" s="3">
        <v>8023</v>
      </c>
      <c r="E2119" s="3" t="s">
        <v>216</v>
      </c>
      <c r="J2119" s="3" t="s">
        <v>2361</v>
      </c>
      <c r="K2119" s="3" t="s">
        <v>216</v>
      </c>
    </row>
    <row r="2120" ht="15.6" spans="4:11">
      <c r="D2120" s="3">
        <v>8024</v>
      </c>
      <c r="E2120" s="3" t="s">
        <v>216</v>
      </c>
      <c r="J2120" s="3" t="s">
        <v>2362</v>
      </c>
      <c r="K2120" s="3" t="s">
        <v>216</v>
      </c>
    </row>
    <row r="2121" ht="15.6" spans="4:11">
      <c r="D2121" s="3">
        <v>8025</v>
      </c>
      <c r="E2121" s="3" t="s">
        <v>216</v>
      </c>
      <c r="J2121" s="3" t="s">
        <v>2363</v>
      </c>
      <c r="K2121" s="3" t="s">
        <v>216</v>
      </c>
    </row>
    <row r="2122" ht="15.6" spans="4:11">
      <c r="D2122" s="3">
        <v>8026</v>
      </c>
      <c r="E2122" s="3" t="s">
        <v>216</v>
      </c>
      <c r="J2122" s="3" t="s">
        <v>2364</v>
      </c>
      <c r="K2122" s="3" t="s">
        <v>216</v>
      </c>
    </row>
    <row r="2123" ht="15.6" spans="4:11">
      <c r="D2123" s="3">
        <v>8027</v>
      </c>
      <c r="E2123" s="3" t="s">
        <v>216</v>
      </c>
      <c r="J2123" s="3" t="s">
        <v>2365</v>
      </c>
      <c r="K2123" s="3" t="s">
        <v>216</v>
      </c>
    </row>
    <row r="2124" ht="15.6" spans="4:11">
      <c r="D2124" s="3">
        <v>8028</v>
      </c>
      <c r="E2124" s="3" t="s">
        <v>216</v>
      </c>
      <c r="J2124" s="3" t="s">
        <v>2366</v>
      </c>
      <c r="K2124" s="3" t="s">
        <v>216</v>
      </c>
    </row>
    <row r="2125" ht="15.6" spans="4:11">
      <c r="D2125" s="3">
        <v>8029</v>
      </c>
      <c r="E2125" s="3" t="s">
        <v>216</v>
      </c>
      <c r="J2125" s="3" t="s">
        <v>2367</v>
      </c>
      <c r="K2125" s="3" t="s">
        <v>216</v>
      </c>
    </row>
    <row r="2126" ht="15.6" spans="4:11">
      <c r="D2126" s="3">
        <v>8030</v>
      </c>
      <c r="E2126" s="3" t="s">
        <v>216</v>
      </c>
      <c r="J2126" s="3" t="s">
        <v>2368</v>
      </c>
      <c r="K2126" s="3" t="s">
        <v>216</v>
      </c>
    </row>
    <row r="2127" ht="15.6" spans="4:11">
      <c r="D2127" s="3">
        <v>8031</v>
      </c>
      <c r="E2127" s="3" t="s">
        <v>216</v>
      </c>
      <c r="J2127" s="3" t="s">
        <v>2369</v>
      </c>
      <c r="K2127" s="3" t="s">
        <v>216</v>
      </c>
    </row>
    <row r="2128" ht="15.6" spans="4:11">
      <c r="D2128" s="3">
        <v>8032</v>
      </c>
      <c r="E2128" s="3" t="s">
        <v>216</v>
      </c>
      <c r="J2128" s="3" t="s">
        <v>2370</v>
      </c>
      <c r="K2128" s="3" t="s">
        <v>216</v>
      </c>
    </row>
    <row r="2129" ht="15.6" spans="4:11">
      <c r="D2129" s="3">
        <v>8033</v>
      </c>
      <c r="E2129" s="3" t="s">
        <v>216</v>
      </c>
      <c r="J2129" s="3" t="s">
        <v>2371</v>
      </c>
      <c r="K2129" s="3" t="s">
        <v>216</v>
      </c>
    </row>
    <row r="2130" ht="15.6" spans="4:11">
      <c r="D2130" s="3">
        <v>8034</v>
      </c>
      <c r="E2130" s="3" t="s">
        <v>216</v>
      </c>
      <c r="J2130" s="3" t="s">
        <v>2372</v>
      </c>
      <c r="K2130" s="3" t="s">
        <v>216</v>
      </c>
    </row>
    <row r="2131" ht="15.6" spans="4:11">
      <c r="D2131" s="3">
        <v>8035</v>
      </c>
      <c r="E2131" s="3" t="s">
        <v>216</v>
      </c>
      <c r="J2131" s="3" t="s">
        <v>2373</v>
      </c>
      <c r="K2131" s="3" t="s">
        <v>216</v>
      </c>
    </row>
    <row r="2132" ht="15.6" spans="4:11">
      <c r="D2132" s="3">
        <v>8036</v>
      </c>
      <c r="E2132" s="3" t="s">
        <v>216</v>
      </c>
      <c r="J2132" s="3" t="s">
        <v>2374</v>
      </c>
      <c r="K2132" s="3" t="s">
        <v>216</v>
      </c>
    </row>
    <row r="2133" ht="15.6" spans="4:11">
      <c r="D2133" s="3">
        <v>8037</v>
      </c>
      <c r="E2133" s="3" t="s">
        <v>216</v>
      </c>
      <c r="J2133" s="3" t="s">
        <v>2375</v>
      </c>
      <c r="K2133" s="3" t="s">
        <v>216</v>
      </c>
    </row>
    <row r="2134" ht="15.6" spans="4:11">
      <c r="D2134" s="3">
        <v>8038</v>
      </c>
      <c r="E2134" s="3" t="s">
        <v>216</v>
      </c>
      <c r="J2134" s="3" t="s">
        <v>2376</v>
      </c>
      <c r="K2134" s="3" t="s">
        <v>216</v>
      </c>
    </row>
    <row r="2135" ht="15.6" spans="4:11">
      <c r="D2135" s="3">
        <v>8039</v>
      </c>
      <c r="E2135" s="3" t="s">
        <v>216</v>
      </c>
      <c r="J2135" s="3" t="s">
        <v>2377</v>
      </c>
      <c r="K2135" s="3" t="s">
        <v>216</v>
      </c>
    </row>
    <row r="2136" ht="15.6" spans="4:11">
      <c r="D2136" s="3">
        <v>8040</v>
      </c>
      <c r="E2136" s="3" t="s">
        <v>216</v>
      </c>
      <c r="J2136" s="3" t="s">
        <v>2378</v>
      </c>
      <c r="K2136" s="3" t="s">
        <v>216</v>
      </c>
    </row>
    <row r="2137" ht="15.6" spans="4:11">
      <c r="D2137" s="3">
        <v>8041</v>
      </c>
      <c r="E2137" s="3" t="s">
        <v>216</v>
      </c>
      <c r="J2137" s="3" t="s">
        <v>2379</v>
      </c>
      <c r="K2137" s="3" t="s">
        <v>216</v>
      </c>
    </row>
    <row r="2138" ht="15.6" spans="4:11">
      <c r="D2138" s="3">
        <v>8042</v>
      </c>
      <c r="E2138" s="3" t="s">
        <v>216</v>
      </c>
      <c r="J2138" s="3" t="s">
        <v>2380</v>
      </c>
      <c r="K2138" s="3" t="s">
        <v>216</v>
      </c>
    </row>
    <row r="2139" ht="15.6" spans="4:11">
      <c r="D2139" s="3">
        <v>8043</v>
      </c>
      <c r="E2139" s="3" t="s">
        <v>216</v>
      </c>
      <c r="J2139" s="3" t="s">
        <v>2381</v>
      </c>
      <c r="K2139" s="3" t="s">
        <v>216</v>
      </c>
    </row>
    <row r="2140" ht="15.6" spans="4:11">
      <c r="D2140" s="3">
        <v>8044</v>
      </c>
      <c r="E2140" s="3" t="s">
        <v>216</v>
      </c>
      <c r="J2140" s="3" t="s">
        <v>2382</v>
      </c>
      <c r="K2140" s="3" t="s">
        <v>216</v>
      </c>
    </row>
    <row r="2141" ht="15.6" spans="4:11">
      <c r="D2141" s="3">
        <v>8045</v>
      </c>
      <c r="E2141" s="3" t="s">
        <v>216</v>
      </c>
      <c r="J2141" s="3" t="s">
        <v>2383</v>
      </c>
      <c r="K2141" s="3" t="s">
        <v>216</v>
      </c>
    </row>
    <row r="2142" ht="15.6" spans="4:11">
      <c r="D2142" s="3">
        <v>8046</v>
      </c>
      <c r="E2142" s="3" t="s">
        <v>216</v>
      </c>
      <c r="J2142" s="3" t="s">
        <v>2384</v>
      </c>
      <c r="K2142" s="3" t="s">
        <v>216</v>
      </c>
    </row>
    <row r="2143" ht="15.6" spans="4:11">
      <c r="D2143" s="3">
        <v>8047</v>
      </c>
      <c r="E2143" s="3" t="s">
        <v>216</v>
      </c>
      <c r="J2143" s="3" t="s">
        <v>2385</v>
      </c>
      <c r="K2143" s="3" t="s">
        <v>216</v>
      </c>
    </row>
    <row r="2144" ht="15.6" spans="4:11">
      <c r="D2144" s="3">
        <v>8048</v>
      </c>
      <c r="E2144" s="3" t="s">
        <v>216</v>
      </c>
      <c r="J2144" s="3" t="s">
        <v>2386</v>
      </c>
      <c r="K2144" s="3" t="s">
        <v>216</v>
      </c>
    </row>
    <row r="2145" ht="15.6" spans="4:11">
      <c r="D2145" s="3">
        <v>8049</v>
      </c>
      <c r="E2145" s="3" t="s">
        <v>216</v>
      </c>
      <c r="J2145" s="3" t="s">
        <v>2387</v>
      </c>
      <c r="K2145" s="3" t="s">
        <v>216</v>
      </c>
    </row>
    <row r="2146" ht="15.6" spans="4:11">
      <c r="D2146" s="3">
        <v>8050</v>
      </c>
      <c r="E2146" s="3" t="s">
        <v>216</v>
      </c>
      <c r="J2146" s="3" t="s">
        <v>2388</v>
      </c>
      <c r="K2146" s="3" t="s">
        <v>216</v>
      </c>
    </row>
    <row r="2147" ht="15.6" spans="4:11">
      <c r="D2147" s="3">
        <v>8051</v>
      </c>
      <c r="E2147" s="3" t="s">
        <v>216</v>
      </c>
      <c r="J2147" s="3" t="s">
        <v>2389</v>
      </c>
      <c r="K2147" s="3" t="s">
        <v>216</v>
      </c>
    </row>
    <row r="2148" ht="15.6" spans="4:11">
      <c r="D2148" s="3">
        <v>8052</v>
      </c>
      <c r="E2148" s="3" t="s">
        <v>216</v>
      </c>
      <c r="J2148" s="3" t="s">
        <v>2390</v>
      </c>
      <c r="K2148" s="3" t="s">
        <v>216</v>
      </c>
    </row>
    <row r="2149" ht="15.6" spans="4:11">
      <c r="D2149" s="3">
        <v>8053</v>
      </c>
      <c r="E2149" s="3" t="s">
        <v>216</v>
      </c>
      <c r="J2149" s="3" t="s">
        <v>2391</v>
      </c>
      <c r="K2149" s="3" t="s">
        <v>216</v>
      </c>
    </row>
    <row r="2150" ht="15.6" spans="4:11">
      <c r="D2150" s="3">
        <v>8054</v>
      </c>
      <c r="E2150" s="3" t="s">
        <v>216</v>
      </c>
      <c r="J2150" s="3" t="s">
        <v>2392</v>
      </c>
      <c r="K2150" s="3" t="s">
        <v>216</v>
      </c>
    </row>
    <row r="2151" ht="15.6" spans="4:11">
      <c r="D2151" s="3">
        <v>8055</v>
      </c>
      <c r="E2151" s="3" t="s">
        <v>216</v>
      </c>
      <c r="J2151" s="3" t="s">
        <v>2393</v>
      </c>
      <c r="K2151" s="3" t="s">
        <v>216</v>
      </c>
    </row>
    <row r="2152" ht="15.6" spans="4:11">
      <c r="D2152" s="3">
        <v>8056</v>
      </c>
      <c r="E2152" s="3" t="s">
        <v>216</v>
      </c>
      <c r="J2152" s="3" t="s">
        <v>2394</v>
      </c>
      <c r="K2152" s="3" t="s">
        <v>216</v>
      </c>
    </row>
    <row r="2153" ht="15.6" spans="4:11">
      <c r="D2153" s="3">
        <v>8057</v>
      </c>
      <c r="E2153" s="3" t="s">
        <v>216</v>
      </c>
      <c r="J2153" s="3" t="s">
        <v>2395</v>
      </c>
      <c r="K2153" s="3" t="s">
        <v>216</v>
      </c>
    </row>
    <row r="2154" ht="15.6" spans="4:11">
      <c r="D2154" s="3">
        <v>8058</v>
      </c>
      <c r="E2154" s="3" t="s">
        <v>216</v>
      </c>
      <c r="J2154" s="3" t="s">
        <v>2396</v>
      </c>
      <c r="K2154" s="3" t="s">
        <v>216</v>
      </c>
    </row>
    <row r="2155" ht="15.6" spans="4:11">
      <c r="D2155" s="3">
        <v>8059</v>
      </c>
      <c r="E2155" s="3" t="s">
        <v>216</v>
      </c>
      <c r="J2155" s="3" t="s">
        <v>2397</v>
      </c>
      <c r="K2155" s="3" t="s">
        <v>216</v>
      </c>
    </row>
    <row r="2156" ht="15.6" spans="4:11">
      <c r="D2156" s="3">
        <v>8060</v>
      </c>
      <c r="E2156" s="3" t="s">
        <v>216</v>
      </c>
      <c r="J2156" s="3" t="s">
        <v>2398</v>
      </c>
      <c r="K2156" s="3" t="s">
        <v>216</v>
      </c>
    </row>
    <row r="2157" ht="15.6" spans="4:11">
      <c r="D2157" s="3">
        <v>8061</v>
      </c>
      <c r="E2157" s="3" t="s">
        <v>216</v>
      </c>
      <c r="J2157" s="3" t="s">
        <v>2399</v>
      </c>
      <c r="K2157" s="3" t="s">
        <v>216</v>
      </c>
    </row>
    <row r="2158" ht="15.6" spans="4:11">
      <c r="D2158" s="3">
        <v>8062</v>
      </c>
      <c r="E2158" s="3" t="s">
        <v>216</v>
      </c>
      <c r="J2158" s="3" t="s">
        <v>2400</v>
      </c>
      <c r="K2158" s="3" t="s">
        <v>216</v>
      </c>
    </row>
    <row r="2159" ht="15.6" spans="4:11">
      <c r="D2159" s="3">
        <v>8063</v>
      </c>
      <c r="E2159" s="3" t="s">
        <v>216</v>
      </c>
      <c r="J2159" s="3" t="s">
        <v>2401</v>
      </c>
      <c r="K2159" s="3" t="s">
        <v>216</v>
      </c>
    </row>
    <row r="2160" ht="15.6" spans="4:11">
      <c r="D2160" s="3">
        <v>8064</v>
      </c>
      <c r="E2160" s="3" t="s">
        <v>216</v>
      </c>
      <c r="J2160" s="3" t="s">
        <v>2402</v>
      </c>
      <c r="K2160" s="3" t="s">
        <v>216</v>
      </c>
    </row>
    <row r="2161" ht="15.6" spans="4:11">
      <c r="D2161" s="3">
        <v>8065</v>
      </c>
      <c r="E2161" s="3" t="s">
        <v>216</v>
      </c>
      <c r="J2161" s="3" t="s">
        <v>2403</v>
      </c>
      <c r="K2161" s="3" t="s">
        <v>216</v>
      </c>
    </row>
    <row r="2162" ht="15.6" spans="4:11">
      <c r="D2162" s="3">
        <v>8066</v>
      </c>
      <c r="E2162" s="3" t="s">
        <v>216</v>
      </c>
      <c r="J2162" s="3" t="s">
        <v>2404</v>
      </c>
      <c r="K2162" s="3" t="s">
        <v>216</v>
      </c>
    </row>
    <row r="2163" ht="15.6" spans="4:11">
      <c r="D2163" s="3">
        <v>8067</v>
      </c>
      <c r="E2163" s="3" t="s">
        <v>216</v>
      </c>
      <c r="J2163" s="3" t="s">
        <v>2405</v>
      </c>
      <c r="K2163" s="3" t="s">
        <v>216</v>
      </c>
    </row>
    <row r="2164" ht="15.6" spans="4:11">
      <c r="D2164" s="3">
        <v>8068</v>
      </c>
      <c r="E2164" s="3" t="s">
        <v>216</v>
      </c>
      <c r="J2164" s="3" t="s">
        <v>2406</v>
      </c>
      <c r="K2164" s="3" t="s">
        <v>216</v>
      </c>
    </row>
    <row r="2165" ht="15.6" spans="4:11">
      <c r="D2165" s="3">
        <v>8069</v>
      </c>
      <c r="E2165" s="3" t="s">
        <v>216</v>
      </c>
      <c r="J2165" s="3" t="s">
        <v>2407</v>
      </c>
      <c r="K2165" s="3" t="s">
        <v>216</v>
      </c>
    </row>
    <row r="2166" ht="15.6" spans="4:11">
      <c r="D2166" s="3">
        <v>8070</v>
      </c>
      <c r="E2166" s="3" t="s">
        <v>216</v>
      </c>
      <c r="J2166" s="3" t="s">
        <v>2408</v>
      </c>
      <c r="K2166" s="3" t="s">
        <v>216</v>
      </c>
    </row>
    <row r="2167" ht="15.6" spans="4:11">
      <c r="D2167" s="3">
        <v>8071</v>
      </c>
      <c r="E2167" s="3" t="s">
        <v>216</v>
      </c>
      <c r="J2167" s="3" t="s">
        <v>2409</v>
      </c>
      <c r="K2167" s="3" t="s">
        <v>216</v>
      </c>
    </row>
    <row r="2168" ht="15.6" spans="4:11">
      <c r="D2168" s="3">
        <v>8072</v>
      </c>
      <c r="E2168" s="3" t="s">
        <v>216</v>
      </c>
      <c r="J2168" s="3" t="s">
        <v>2410</v>
      </c>
      <c r="K2168" s="3" t="s">
        <v>216</v>
      </c>
    </row>
    <row r="2169" ht="15.6" spans="4:11">
      <c r="D2169" s="3">
        <v>8073</v>
      </c>
      <c r="E2169" s="3" t="s">
        <v>216</v>
      </c>
      <c r="J2169" s="3" t="s">
        <v>2411</v>
      </c>
      <c r="K2169" s="3" t="s">
        <v>216</v>
      </c>
    </row>
    <row r="2170" ht="15.6" spans="4:11">
      <c r="D2170" s="3">
        <v>8074</v>
      </c>
      <c r="E2170" s="3" t="s">
        <v>216</v>
      </c>
      <c r="J2170" s="3" t="s">
        <v>2412</v>
      </c>
      <c r="K2170" s="3" t="s">
        <v>216</v>
      </c>
    </row>
    <row r="2171" ht="15.6" spans="4:11">
      <c r="D2171" s="3">
        <v>8075</v>
      </c>
      <c r="E2171" s="3" t="s">
        <v>216</v>
      </c>
      <c r="J2171" s="3" t="s">
        <v>2413</v>
      </c>
      <c r="K2171" s="3" t="s">
        <v>216</v>
      </c>
    </row>
    <row r="2172" ht="15.6" spans="4:11">
      <c r="D2172" s="3">
        <v>8076</v>
      </c>
      <c r="E2172" s="3" t="s">
        <v>216</v>
      </c>
      <c r="J2172" s="3" t="s">
        <v>2414</v>
      </c>
      <c r="K2172" s="3" t="s">
        <v>216</v>
      </c>
    </row>
    <row r="2173" ht="15.6" spans="4:11">
      <c r="D2173" s="3">
        <v>8077</v>
      </c>
      <c r="E2173" s="3" t="s">
        <v>216</v>
      </c>
      <c r="J2173" s="3" t="s">
        <v>2415</v>
      </c>
      <c r="K2173" s="3" t="s">
        <v>216</v>
      </c>
    </row>
    <row r="2174" ht="15.6" spans="4:11">
      <c r="D2174" s="3">
        <v>8078</v>
      </c>
      <c r="E2174" s="3" t="s">
        <v>216</v>
      </c>
      <c r="J2174" s="3" t="s">
        <v>2416</v>
      </c>
      <c r="K2174" s="3" t="s">
        <v>216</v>
      </c>
    </row>
    <row r="2175" ht="15.6" spans="4:11">
      <c r="D2175" s="3">
        <v>8079</v>
      </c>
      <c r="E2175" s="3" t="s">
        <v>216</v>
      </c>
      <c r="J2175" s="3" t="s">
        <v>2417</v>
      </c>
      <c r="K2175" s="3" t="s">
        <v>216</v>
      </c>
    </row>
    <row r="2176" ht="15.6" spans="4:11">
      <c r="D2176" s="3">
        <v>8080</v>
      </c>
      <c r="E2176" s="3" t="s">
        <v>216</v>
      </c>
      <c r="J2176" s="3" t="s">
        <v>2418</v>
      </c>
      <c r="K2176" s="3" t="s">
        <v>216</v>
      </c>
    </row>
    <row r="2177" ht="15.6" spans="4:11">
      <c r="D2177" s="3">
        <v>8081</v>
      </c>
      <c r="E2177" s="3" t="s">
        <v>216</v>
      </c>
      <c r="J2177" s="3" t="s">
        <v>2419</v>
      </c>
      <c r="K2177" s="3" t="s">
        <v>216</v>
      </c>
    </row>
    <row r="2178" ht="15.6" spans="4:11">
      <c r="D2178" s="3">
        <v>8082</v>
      </c>
      <c r="E2178" s="3" t="s">
        <v>216</v>
      </c>
      <c r="J2178" s="3" t="s">
        <v>2420</v>
      </c>
      <c r="K2178" s="3" t="s">
        <v>216</v>
      </c>
    </row>
    <row r="2179" ht="15.6" spans="4:11">
      <c r="D2179" s="3">
        <v>8083</v>
      </c>
      <c r="E2179" s="3" t="s">
        <v>216</v>
      </c>
      <c r="J2179" s="3" t="s">
        <v>2421</v>
      </c>
      <c r="K2179" s="3" t="s">
        <v>216</v>
      </c>
    </row>
    <row r="2180" ht="15.6" spans="4:11">
      <c r="D2180" s="3">
        <v>8084</v>
      </c>
      <c r="E2180" s="3" t="s">
        <v>216</v>
      </c>
      <c r="J2180" s="3" t="s">
        <v>2422</v>
      </c>
      <c r="K2180" s="3" t="s">
        <v>216</v>
      </c>
    </row>
    <row r="2181" ht="15.6" spans="4:11">
      <c r="D2181" s="3">
        <v>8085</v>
      </c>
      <c r="E2181" s="3" t="s">
        <v>216</v>
      </c>
      <c r="J2181" s="3" t="s">
        <v>2423</v>
      </c>
      <c r="K2181" s="3" t="s">
        <v>216</v>
      </c>
    </row>
    <row r="2182" ht="15.6" spans="4:11">
      <c r="D2182" s="3">
        <v>8086</v>
      </c>
      <c r="E2182" s="3" t="s">
        <v>216</v>
      </c>
      <c r="J2182" s="3" t="s">
        <v>2424</v>
      </c>
      <c r="K2182" s="3" t="s">
        <v>216</v>
      </c>
    </row>
    <row r="2183" ht="15.6" spans="4:11">
      <c r="D2183" s="3">
        <v>8087</v>
      </c>
      <c r="E2183" s="3" t="s">
        <v>216</v>
      </c>
      <c r="J2183" s="3" t="s">
        <v>2425</v>
      </c>
      <c r="K2183" s="3" t="s">
        <v>216</v>
      </c>
    </row>
    <row r="2184" ht="15.6" spans="4:11">
      <c r="D2184" s="3">
        <v>8088</v>
      </c>
      <c r="E2184" s="3" t="s">
        <v>216</v>
      </c>
      <c r="J2184" s="3" t="s">
        <v>2426</v>
      </c>
      <c r="K2184" s="3" t="s">
        <v>216</v>
      </c>
    </row>
    <row r="2185" ht="15.6" spans="4:11">
      <c r="D2185" s="3">
        <v>8089</v>
      </c>
      <c r="E2185" s="3" t="s">
        <v>216</v>
      </c>
      <c r="J2185" s="3" t="s">
        <v>2427</v>
      </c>
      <c r="K2185" s="3" t="s">
        <v>216</v>
      </c>
    </row>
    <row r="2186" ht="15.6" spans="4:11">
      <c r="D2186" s="3">
        <v>8090</v>
      </c>
      <c r="E2186" s="3" t="s">
        <v>216</v>
      </c>
      <c r="J2186" s="3" t="s">
        <v>2428</v>
      </c>
      <c r="K2186" s="3" t="s">
        <v>216</v>
      </c>
    </row>
    <row r="2187" ht="15.6" spans="4:11">
      <c r="D2187" s="3">
        <v>8091</v>
      </c>
      <c r="E2187" s="3" t="s">
        <v>216</v>
      </c>
      <c r="J2187" s="3" t="s">
        <v>2429</v>
      </c>
      <c r="K2187" s="3" t="s">
        <v>216</v>
      </c>
    </row>
    <row r="2188" ht="15.6" spans="4:11">
      <c r="D2188" s="3">
        <v>8092</v>
      </c>
      <c r="E2188" s="3" t="s">
        <v>216</v>
      </c>
      <c r="J2188" s="3" t="s">
        <v>2430</v>
      </c>
      <c r="K2188" s="3" t="s">
        <v>216</v>
      </c>
    </row>
    <row r="2189" ht="15.6" spans="4:11">
      <c r="D2189" s="3">
        <v>8093</v>
      </c>
      <c r="E2189" s="3" t="s">
        <v>216</v>
      </c>
      <c r="J2189" s="3" t="s">
        <v>2431</v>
      </c>
      <c r="K2189" s="3" t="s">
        <v>216</v>
      </c>
    </row>
    <row r="2190" ht="15.6" spans="4:11">
      <c r="D2190" s="3">
        <v>8094</v>
      </c>
      <c r="E2190" s="3" t="s">
        <v>216</v>
      </c>
      <c r="J2190" s="3" t="s">
        <v>2432</v>
      </c>
      <c r="K2190" s="3" t="s">
        <v>216</v>
      </c>
    </row>
    <row r="2191" ht="15.6" spans="4:11">
      <c r="D2191" s="3">
        <v>8095</v>
      </c>
      <c r="E2191" s="3" t="s">
        <v>216</v>
      </c>
      <c r="J2191" s="3" t="s">
        <v>2433</v>
      </c>
      <c r="K2191" s="3" t="s">
        <v>216</v>
      </c>
    </row>
    <row r="2192" ht="15.6" spans="4:11">
      <c r="D2192" s="3">
        <v>8096</v>
      </c>
      <c r="E2192" s="3" t="s">
        <v>216</v>
      </c>
      <c r="J2192" s="3" t="s">
        <v>2434</v>
      </c>
      <c r="K2192" s="3" t="s">
        <v>216</v>
      </c>
    </row>
    <row r="2193" ht="15.6" spans="4:11">
      <c r="D2193" s="3">
        <v>8097</v>
      </c>
      <c r="E2193" s="3" t="s">
        <v>216</v>
      </c>
      <c r="J2193" s="3" t="s">
        <v>2435</v>
      </c>
      <c r="K2193" s="3" t="s">
        <v>216</v>
      </c>
    </row>
    <row r="2194" ht="15.6" spans="4:11">
      <c r="D2194" s="3">
        <v>8098</v>
      </c>
      <c r="E2194" s="3" t="s">
        <v>216</v>
      </c>
      <c r="J2194" s="3" t="s">
        <v>2436</v>
      </c>
      <c r="K2194" s="3" t="s">
        <v>216</v>
      </c>
    </row>
    <row r="2195" ht="15.6" spans="4:11">
      <c r="D2195" s="3">
        <v>8099</v>
      </c>
      <c r="E2195" s="3" t="s">
        <v>216</v>
      </c>
      <c r="J2195" s="3" t="s">
        <v>2437</v>
      </c>
      <c r="K2195" s="3" t="s">
        <v>216</v>
      </c>
    </row>
    <row r="2196" ht="15.6" spans="4:11">
      <c r="D2196" s="3">
        <v>8100</v>
      </c>
      <c r="E2196" s="3" t="s">
        <v>216</v>
      </c>
      <c r="J2196" s="3" t="s">
        <v>2438</v>
      </c>
      <c r="K2196" s="3" t="s">
        <v>216</v>
      </c>
    </row>
    <row r="2197" ht="15.6" spans="4:11">
      <c r="D2197" s="3">
        <v>8101</v>
      </c>
      <c r="E2197" s="3" t="s">
        <v>216</v>
      </c>
      <c r="J2197" s="3" t="s">
        <v>2439</v>
      </c>
      <c r="K2197" s="3" t="s">
        <v>216</v>
      </c>
    </row>
    <row r="2198" ht="15.6" spans="4:11">
      <c r="D2198" s="3">
        <v>8102</v>
      </c>
      <c r="E2198" s="3" t="s">
        <v>216</v>
      </c>
      <c r="J2198" s="3" t="s">
        <v>2440</v>
      </c>
      <c r="K2198" s="3" t="s">
        <v>216</v>
      </c>
    </row>
    <row r="2199" ht="15.6" spans="4:11">
      <c r="D2199" s="3">
        <v>8103</v>
      </c>
      <c r="E2199" s="3" t="s">
        <v>216</v>
      </c>
      <c r="J2199" s="3" t="s">
        <v>2441</v>
      </c>
      <c r="K2199" s="3" t="s">
        <v>216</v>
      </c>
    </row>
    <row r="2200" ht="15.6" spans="4:11">
      <c r="D2200" s="3">
        <v>8104</v>
      </c>
      <c r="E2200" s="3" t="s">
        <v>216</v>
      </c>
      <c r="J2200" s="3" t="s">
        <v>2442</v>
      </c>
      <c r="K2200" s="3" t="s">
        <v>216</v>
      </c>
    </row>
    <row r="2201" ht="15.6" spans="4:11">
      <c r="D2201" s="3">
        <v>8105</v>
      </c>
      <c r="E2201" s="3" t="s">
        <v>216</v>
      </c>
      <c r="J2201" s="3" t="s">
        <v>2443</v>
      </c>
      <c r="K2201" s="3" t="s">
        <v>216</v>
      </c>
    </row>
    <row r="2202" ht="15.6" spans="4:11">
      <c r="D2202" s="3">
        <v>8106</v>
      </c>
      <c r="E2202" s="3" t="s">
        <v>216</v>
      </c>
      <c r="J2202" s="3" t="s">
        <v>2444</v>
      </c>
      <c r="K2202" s="3" t="s">
        <v>216</v>
      </c>
    </row>
    <row r="2203" ht="15.6" spans="4:11">
      <c r="D2203" s="3">
        <v>8107</v>
      </c>
      <c r="E2203" s="3" t="s">
        <v>216</v>
      </c>
      <c r="J2203" s="3" t="s">
        <v>2445</v>
      </c>
      <c r="K2203" s="3" t="s">
        <v>216</v>
      </c>
    </row>
    <row r="2204" ht="15.6" spans="4:11">
      <c r="D2204" s="3">
        <v>8108</v>
      </c>
      <c r="E2204" s="3" t="s">
        <v>216</v>
      </c>
      <c r="J2204" s="3" t="s">
        <v>2446</v>
      </c>
      <c r="K2204" s="3" t="s">
        <v>216</v>
      </c>
    </row>
    <row r="2205" ht="15.6" spans="4:11">
      <c r="D2205" s="3">
        <v>8109</v>
      </c>
      <c r="E2205" s="3" t="s">
        <v>216</v>
      </c>
      <c r="J2205" s="3" t="s">
        <v>2447</v>
      </c>
      <c r="K2205" s="3" t="s">
        <v>216</v>
      </c>
    </row>
    <row r="2206" ht="15.6" spans="4:11">
      <c r="D2206" s="3">
        <v>8110</v>
      </c>
      <c r="E2206" s="3" t="s">
        <v>216</v>
      </c>
      <c r="J2206" s="3" t="s">
        <v>2448</v>
      </c>
      <c r="K2206" s="3" t="s">
        <v>216</v>
      </c>
    </row>
    <row r="2207" ht="15.6" spans="4:11">
      <c r="D2207" s="3">
        <v>8111</v>
      </c>
      <c r="E2207" s="3" t="s">
        <v>216</v>
      </c>
      <c r="J2207" s="3" t="s">
        <v>2449</v>
      </c>
      <c r="K2207" s="3" t="s">
        <v>216</v>
      </c>
    </row>
    <row r="2208" ht="15.6" spans="4:11">
      <c r="D2208" s="3">
        <v>8112</v>
      </c>
      <c r="E2208" s="3" t="s">
        <v>216</v>
      </c>
      <c r="J2208" s="3" t="s">
        <v>2450</v>
      </c>
      <c r="K2208" s="3" t="s">
        <v>216</v>
      </c>
    </row>
    <row r="2209" ht="15.6" spans="4:11">
      <c r="D2209" s="3">
        <v>8113</v>
      </c>
      <c r="E2209" s="3" t="s">
        <v>216</v>
      </c>
      <c r="J2209" s="3" t="s">
        <v>2451</v>
      </c>
      <c r="K2209" s="3" t="s">
        <v>216</v>
      </c>
    </row>
    <row r="2210" ht="15.6" spans="4:11">
      <c r="D2210" s="3">
        <v>8114</v>
      </c>
      <c r="E2210" s="3" t="s">
        <v>216</v>
      </c>
      <c r="J2210" s="3" t="s">
        <v>2452</v>
      </c>
      <c r="K2210" s="3" t="s">
        <v>216</v>
      </c>
    </row>
    <row r="2211" ht="15.6" spans="4:11">
      <c r="D2211" s="3">
        <v>8115</v>
      </c>
      <c r="E2211" s="3" t="s">
        <v>216</v>
      </c>
      <c r="J2211" s="3" t="s">
        <v>2453</v>
      </c>
      <c r="K2211" s="3" t="s">
        <v>216</v>
      </c>
    </row>
    <row r="2212" ht="15.6" spans="4:11">
      <c r="D2212" s="3">
        <v>8116</v>
      </c>
      <c r="E2212" s="3" t="s">
        <v>216</v>
      </c>
      <c r="J2212" s="3" t="s">
        <v>2454</v>
      </c>
      <c r="K2212" s="3" t="s">
        <v>216</v>
      </c>
    </row>
    <row r="2213" ht="15.6" spans="4:11">
      <c r="D2213" s="3">
        <v>8117</v>
      </c>
      <c r="E2213" s="3" t="s">
        <v>216</v>
      </c>
      <c r="J2213" s="3" t="s">
        <v>2455</v>
      </c>
      <c r="K2213" s="3" t="s">
        <v>216</v>
      </c>
    </row>
    <row r="2214" ht="15.6" spans="4:11">
      <c r="D2214" s="3">
        <v>8118</v>
      </c>
      <c r="E2214" s="3" t="s">
        <v>216</v>
      </c>
      <c r="J2214" s="3" t="s">
        <v>2456</v>
      </c>
      <c r="K2214" s="3" t="s">
        <v>216</v>
      </c>
    </row>
    <row r="2215" ht="15.6" spans="4:11">
      <c r="D2215" s="3">
        <v>8119</v>
      </c>
      <c r="E2215" s="3" t="s">
        <v>216</v>
      </c>
      <c r="J2215" s="3" t="s">
        <v>2457</v>
      </c>
      <c r="K2215" s="3" t="s">
        <v>216</v>
      </c>
    </row>
    <row r="2216" ht="15.6" spans="4:11">
      <c r="D2216" s="3">
        <v>8120</v>
      </c>
      <c r="E2216" s="3" t="s">
        <v>216</v>
      </c>
      <c r="J2216" s="3" t="s">
        <v>2458</v>
      </c>
      <c r="K2216" s="3" t="s">
        <v>216</v>
      </c>
    </row>
    <row r="2217" ht="15.6" spans="4:11">
      <c r="D2217" s="3">
        <v>8121</v>
      </c>
      <c r="E2217" s="3" t="s">
        <v>216</v>
      </c>
      <c r="J2217" s="3" t="s">
        <v>2459</v>
      </c>
      <c r="K2217" s="3" t="s">
        <v>216</v>
      </c>
    </row>
    <row r="2218" ht="15.6" spans="4:11">
      <c r="D2218" s="3">
        <v>8122</v>
      </c>
      <c r="E2218" s="3" t="s">
        <v>216</v>
      </c>
      <c r="J2218" s="3" t="s">
        <v>2460</v>
      </c>
      <c r="K2218" s="3" t="s">
        <v>216</v>
      </c>
    </row>
    <row r="2219" ht="15.6" spans="4:11">
      <c r="D2219" s="3">
        <v>8123</v>
      </c>
      <c r="E2219" s="3" t="s">
        <v>216</v>
      </c>
      <c r="J2219" s="3" t="s">
        <v>2461</v>
      </c>
      <c r="K2219" s="3" t="s">
        <v>216</v>
      </c>
    </row>
    <row r="2220" ht="15.6" spans="4:11">
      <c r="D2220" s="3">
        <v>8124</v>
      </c>
      <c r="E2220" s="3" t="s">
        <v>216</v>
      </c>
      <c r="J2220" s="3" t="s">
        <v>2462</v>
      </c>
      <c r="K2220" s="3" t="s">
        <v>216</v>
      </c>
    </row>
    <row r="2221" ht="15.6" spans="4:11">
      <c r="D2221" s="3">
        <v>8125</v>
      </c>
      <c r="E2221" s="3" t="s">
        <v>216</v>
      </c>
      <c r="J2221" s="3" t="s">
        <v>2463</v>
      </c>
      <c r="K2221" s="3" t="s">
        <v>216</v>
      </c>
    </row>
    <row r="2222" ht="15.6" spans="4:11">
      <c r="D2222" s="3">
        <v>8126</v>
      </c>
      <c r="E2222" s="3" t="s">
        <v>216</v>
      </c>
      <c r="J2222" s="3" t="s">
        <v>2464</v>
      </c>
      <c r="K2222" s="3" t="s">
        <v>216</v>
      </c>
    </row>
    <row r="2223" ht="15.6" spans="4:11">
      <c r="D2223" s="3">
        <v>8127</v>
      </c>
      <c r="E2223" s="3" t="s">
        <v>216</v>
      </c>
      <c r="J2223" s="3" t="s">
        <v>2465</v>
      </c>
      <c r="K2223" s="3" t="s">
        <v>216</v>
      </c>
    </row>
    <row r="2224" ht="15.6" spans="4:11">
      <c r="D2224" s="3">
        <v>8128</v>
      </c>
      <c r="E2224" s="3" t="s">
        <v>216</v>
      </c>
      <c r="J2224" s="3" t="s">
        <v>2466</v>
      </c>
      <c r="K2224" s="3" t="s">
        <v>216</v>
      </c>
    </row>
    <row r="2225" ht="15.6" spans="4:11">
      <c r="D2225" s="3">
        <v>8129</v>
      </c>
      <c r="E2225" s="3" t="s">
        <v>216</v>
      </c>
      <c r="J2225" s="3" t="s">
        <v>2467</v>
      </c>
      <c r="K2225" s="3" t="s">
        <v>216</v>
      </c>
    </row>
    <row r="2226" ht="15.6" spans="4:11">
      <c r="D2226" s="3">
        <v>8130</v>
      </c>
      <c r="E2226" s="3" t="s">
        <v>216</v>
      </c>
      <c r="J2226" s="3" t="s">
        <v>2468</v>
      </c>
      <c r="K2226" s="3" t="s">
        <v>216</v>
      </c>
    </row>
    <row r="2227" ht="15.6" spans="4:11">
      <c r="D2227" s="3">
        <v>8131</v>
      </c>
      <c r="E2227" s="3" t="s">
        <v>216</v>
      </c>
      <c r="J2227" s="3" t="s">
        <v>2469</v>
      </c>
      <c r="K2227" s="3" t="s">
        <v>216</v>
      </c>
    </row>
    <row r="2228" ht="15.6" spans="4:11">
      <c r="D2228" s="3">
        <v>8132</v>
      </c>
      <c r="E2228" s="3" t="s">
        <v>216</v>
      </c>
      <c r="J2228" s="3" t="s">
        <v>2470</v>
      </c>
      <c r="K2228" s="3" t="s">
        <v>216</v>
      </c>
    </row>
    <row r="2229" ht="15.6" spans="4:11">
      <c r="D2229" s="3">
        <v>8133</v>
      </c>
      <c r="E2229" s="3" t="s">
        <v>216</v>
      </c>
      <c r="J2229" s="3" t="s">
        <v>2471</v>
      </c>
      <c r="K2229" s="3" t="s">
        <v>216</v>
      </c>
    </row>
    <row r="2230" ht="15.6" spans="4:11">
      <c r="D2230" s="3">
        <v>8134</v>
      </c>
      <c r="E2230" s="3" t="s">
        <v>216</v>
      </c>
      <c r="J2230" s="3" t="s">
        <v>2472</v>
      </c>
      <c r="K2230" s="3" t="s">
        <v>216</v>
      </c>
    </row>
    <row r="2231" ht="15.6" spans="4:11">
      <c r="D2231" s="3">
        <v>8135</v>
      </c>
      <c r="E2231" s="3" t="s">
        <v>216</v>
      </c>
      <c r="J2231" s="3" t="s">
        <v>2473</v>
      </c>
      <c r="K2231" s="3" t="s">
        <v>216</v>
      </c>
    </row>
    <row r="2232" ht="15.6" spans="4:11">
      <c r="D2232" s="3">
        <v>8136</v>
      </c>
      <c r="E2232" s="3" t="s">
        <v>216</v>
      </c>
      <c r="J2232" s="3" t="s">
        <v>2474</v>
      </c>
      <c r="K2232" s="3" t="s">
        <v>216</v>
      </c>
    </row>
    <row r="2233" ht="15.6" spans="4:11">
      <c r="D2233" s="3">
        <v>8137</v>
      </c>
      <c r="E2233" s="3" t="s">
        <v>216</v>
      </c>
      <c r="J2233" s="3" t="s">
        <v>2475</v>
      </c>
      <c r="K2233" s="3" t="s">
        <v>216</v>
      </c>
    </row>
    <row r="2234" ht="15.6" spans="4:11">
      <c r="D2234" s="3">
        <v>8138</v>
      </c>
      <c r="E2234" s="3" t="s">
        <v>216</v>
      </c>
      <c r="J2234" s="3" t="s">
        <v>2476</v>
      </c>
      <c r="K2234" s="3" t="s">
        <v>216</v>
      </c>
    </row>
    <row r="2235" ht="15.6" spans="4:11">
      <c r="D2235" s="3">
        <v>8139</v>
      </c>
      <c r="E2235" s="3" t="s">
        <v>216</v>
      </c>
      <c r="J2235" s="3" t="s">
        <v>2477</v>
      </c>
      <c r="K2235" s="3" t="s">
        <v>216</v>
      </c>
    </row>
    <row r="2236" ht="15.6" spans="4:11">
      <c r="D2236" s="3">
        <v>8140</v>
      </c>
      <c r="E2236" s="3" t="s">
        <v>216</v>
      </c>
      <c r="J2236" s="3" t="s">
        <v>2478</v>
      </c>
      <c r="K2236" s="3" t="s">
        <v>216</v>
      </c>
    </row>
    <row r="2237" ht="15.6" spans="4:11">
      <c r="D2237" s="3">
        <v>8141</v>
      </c>
      <c r="E2237" s="3" t="s">
        <v>216</v>
      </c>
      <c r="J2237" s="3" t="s">
        <v>2479</v>
      </c>
      <c r="K2237" s="3" t="s">
        <v>216</v>
      </c>
    </row>
    <row r="2238" ht="15.6" spans="4:11">
      <c r="D2238" s="3">
        <v>8142</v>
      </c>
      <c r="E2238" s="3" t="s">
        <v>216</v>
      </c>
      <c r="J2238" s="3" t="s">
        <v>2480</v>
      </c>
      <c r="K2238" s="3" t="s">
        <v>216</v>
      </c>
    </row>
    <row r="2239" ht="15.6" spans="4:11">
      <c r="D2239" s="3">
        <v>8143</v>
      </c>
      <c r="E2239" s="3" t="s">
        <v>216</v>
      </c>
      <c r="J2239" s="3" t="s">
        <v>2481</v>
      </c>
      <c r="K2239" s="3" t="s">
        <v>216</v>
      </c>
    </row>
    <row r="2240" ht="15.6" spans="4:11">
      <c r="D2240" s="3">
        <v>8144</v>
      </c>
      <c r="E2240" s="3" t="s">
        <v>216</v>
      </c>
      <c r="J2240" s="3" t="s">
        <v>2482</v>
      </c>
      <c r="K2240" s="3" t="s">
        <v>216</v>
      </c>
    </row>
    <row r="2241" ht="15.6" spans="4:11">
      <c r="D2241" s="3">
        <v>8145</v>
      </c>
      <c r="E2241" s="3" t="s">
        <v>216</v>
      </c>
      <c r="J2241" s="3" t="s">
        <v>2483</v>
      </c>
      <c r="K2241" s="3" t="s">
        <v>216</v>
      </c>
    </row>
    <row r="2242" ht="15.6" spans="4:11">
      <c r="D2242" s="3">
        <v>8146</v>
      </c>
      <c r="E2242" s="3" t="s">
        <v>216</v>
      </c>
      <c r="J2242" s="3" t="s">
        <v>2484</v>
      </c>
      <c r="K2242" s="3" t="s">
        <v>216</v>
      </c>
    </row>
    <row r="2243" ht="15.6" spans="4:11">
      <c r="D2243" s="3">
        <v>8147</v>
      </c>
      <c r="E2243" s="3" t="s">
        <v>216</v>
      </c>
      <c r="J2243" s="3" t="s">
        <v>2485</v>
      </c>
      <c r="K2243" s="3" t="s">
        <v>216</v>
      </c>
    </row>
    <row r="2244" ht="15.6" spans="4:11">
      <c r="D2244" s="3">
        <v>8148</v>
      </c>
      <c r="E2244" s="3" t="s">
        <v>216</v>
      </c>
      <c r="J2244" s="3" t="s">
        <v>2486</v>
      </c>
      <c r="K2244" s="3" t="s">
        <v>216</v>
      </c>
    </row>
    <row r="2245" ht="15.6" spans="4:11">
      <c r="D2245" s="3">
        <v>8149</v>
      </c>
      <c r="E2245" s="3" t="s">
        <v>216</v>
      </c>
      <c r="J2245" s="3" t="s">
        <v>2487</v>
      </c>
      <c r="K2245" s="3" t="s">
        <v>216</v>
      </c>
    </row>
    <row r="2246" ht="15.6" spans="4:11">
      <c r="D2246" s="3">
        <v>8150</v>
      </c>
      <c r="E2246" s="3" t="s">
        <v>216</v>
      </c>
      <c r="J2246" s="3" t="s">
        <v>2488</v>
      </c>
      <c r="K2246" s="3" t="s">
        <v>216</v>
      </c>
    </row>
    <row r="2247" ht="15.6" spans="4:11">
      <c r="D2247" s="3">
        <v>8151</v>
      </c>
      <c r="E2247" s="3" t="s">
        <v>216</v>
      </c>
      <c r="J2247" s="3" t="s">
        <v>2489</v>
      </c>
      <c r="K2247" s="3" t="s">
        <v>216</v>
      </c>
    </row>
    <row r="2248" ht="15.6" spans="4:11">
      <c r="D2248" s="3">
        <v>8152</v>
      </c>
      <c r="E2248" s="3" t="s">
        <v>216</v>
      </c>
      <c r="J2248" s="3" t="s">
        <v>2490</v>
      </c>
      <c r="K2248" s="3" t="s">
        <v>216</v>
      </c>
    </row>
    <row r="2249" ht="15.6" spans="4:11">
      <c r="D2249" s="3">
        <v>8153</v>
      </c>
      <c r="E2249" s="3" t="s">
        <v>216</v>
      </c>
      <c r="J2249" s="3" t="s">
        <v>2491</v>
      </c>
      <c r="K2249" s="3" t="s">
        <v>216</v>
      </c>
    </row>
    <row r="2250" ht="15.6" spans="4:11">
      <c r="D2250" s="3">
        <v>8154</v>
      </c>
      <c r="E2250" s="3" t="s">
        <v>216</v>
      </c>
      <c r="J2250" s="3" t="s">
        <v>2492</v>
      </c>
      <c r="K2250" s="3" t="s">
        <v>216</v>
      </c>
    </row>
    <row r="2251" ht="15.6" spans="4:11">
      <c r="D2251" s="3">
        <v>8155</v>
      </c>
      <c r="E2251" s="3" t="s">
        <v>216</v>
      </c>
      <c r="J2251" s="3" t="s">
        <v>2493</v>
      </c>
      <c r="K2251" s="3" t="s">
        <v>216</v>
      </c>
    </row>
    <row r="2252" ht="15.6" spans="4:11">
      <c r="D2252" s="3">
        <v>8156</v>
      </c>
      <c r="E2252" s="3" t="s">
        <v>216</v>
      </c>
      <c r="J2252" s="3" t="s">
        <v>2494</v>
      </c>
      <c r="K2252" s="3" t="s">
        <v>216</v>
      </c>
    </row>
    <row r="2253" ht="15.6" spans="4:11">
      <c r="D2253" s="3">
        <v>8157</v>
      </c>
      <c r="E2253" s="3" t="s">
        <v>216</v>
      </c>
      <c r="J2253" s="3" t="s">
        <v>2495</v>
      </c>
      <c r="K2253" s="3" t="s">
        <v>216</v>
      </c>
    </row>
    <row r="2254" ht="15.6" spans="4:11">
      <c r="D2254" s="3">
        <v>8158</v>
      </c>
      <c r="E2254" s="3" t="s">
        <v>216</v>
      </c>
      <c r="J2254" s="3" t="s">
        <v>2496</v>
      </c>
      <c r="K2254" s="3" t="s">
        <v>216</v>
      </c>
    </row>
    <row r="2255" ht="15.6" spans="4:11">
      <c r="D2255" s="3">
        <v>8159</v>
      </c>
      <c r="E2255" s="3" t="s">
        <v>216</v>
      </c>
      <c r="J2255" s="3" t="s">
        <v>2497</v>
      </c>
      <c r="K2255" s="3" t="s">
        <v>216</v>
      </c>
    </row>
    <row r="2256" ht="15.6" spans="4:11">
      <c r="D2256" s="3">
        <v>8160</v>
      </c>
      <c r="E2256" s="3" t="s">
        <v>216</v>
      </c>
      <c r="J2256" s="3" t="s">
        <v>2498</v>
      </c>
      <c r="K2256" s="3" t="s">
        <v>216</v>
      </c>
    </row>
    <row r="2257" ht="15.6" spans="4:11">
      <c r="D2257" s="3">
        <v>8161</v>
      </c>
      <c r="E2257" s="3" t="s">
        <v>216</v>
      </c>
      <c r="J2257" s="3" t="s">
        <v>2499</v>
      </c>
      <c r="K2257" s="3" t="s">
        <v>216</v>
      </c>
    </row>
    <row r="2258" ht="15.6" spans="4:11">
      <c r="D2258" s="3">
        <v>8162</v>
      </c>
      <c r="E2258" s="3" t="s">
        <v>216</v>
      </c>
      <c r="J2258" s="3" t="s">
        <v>2500</v>
      </c>
      <c r="K2258" s="3" t="s">
        <v>216</v>
      </c>
    </row>
    <row r="2259" ht="15.6" spans="4:11">
      <c r="D2259" s="3">
        <v>8163</v>
      </c>
      <c r="E2259" s="3" t="s">
        <v>216</v>
      </c>
      <c r="J2259" s="3" t="s">
        <v>2501</v>
      </c>
      <c r="K2259" s="3" t="s">
        <v>216</v>
      </c>
    </row>
    <row r="2260" ht="15.6" spans="4:11">
      <c r="D2260" s="3">
        <v>8164</v>
      </c>
      <c r="E2260" s="3" t="s">
        <v>216</v>
      </c>
      <c r="J2260" s="3" t="s">
        <v>2502</v>
      </c>
      <c r="K2260" s="3" t="s">
        <v>216</v>
      </c>
    </row>
    <row r="2261" ht="15.6" spans="4:11">
      <c r="D2261" s="3">
        <v>8165</v>
      </c>
      <c r="E2261" s="3" t="s">
        <v>216</v>
      </c>
      <c r="J2261" s="3" t="s">
        <v>2503</v>
      </c>
      <c r="K2261" s="3" t="s">
        <v>216</v>
      </c>
    </row>
    <row r="2262" ht="15.6" spans="4:11">
      <c r="D2262" s="3">
        <v>8166</v>
      </c>
      <c r="E2262" s="3" t="s">
        <v>216</v>
      </c>
      <c r="J2262" s="3" t="s">
        <v>2504</v>
      </c>
      <c r="K2262" s="3" t="s">
        <v>216</v>
      </c>
    </row>
    <row r="2263" ht="15.6" spans="4:11">
      <c r="D2263" s="3">
        <v>8167</v>
      </c>
      <c r="E2263" s="3" t="s">
        <v>216</v>
      </c>
      <c r="J2263" s="3" t="s">
        <v>2505</v>
      </c>
      <c r="K2263" s="3" t="s">
        <v>216</v>
      </c>
    </row>
    <row r="2264" ht="15.6" spans="4:11">
      <c r="D2264" s="3">
        <v>8168</v>
      </c>
      <c r="E2264" s="3" t="s">
        <v>216</v>
      </c>
      <c r="J2264" s="3" t="s">
        <v>2506</v>
      </c>
      <c r="K2264" s="3" t="s">
        <v>216</v>
      </c>
    </row>
    <row r="2265" ht="15.6" spans="4:11">
      <c r="D2265" s="3">
        <v>8169</v>
      </c>
      <c r="E2265" s="3" t="s">
        <v>216</v>
      </c>
      <c r="J2265" s="3" t="s">
        <v>2507</v>
      </c>
      <c r="K2265" s="3" t="s">
        <v>216</v>
      </c>
    </row>
    <row r="2266" ht="15.6" spans="4:11">
      <c r="D2266" s="3">
        <v>8170</v>
      </c>
      <c r="E2266" s="3" t="s">
        <v>216</v>
      </c>
      <c r="J2266" s="3" t="s">
        <v>2508</v>
      </c>
      <c r="K2266" s="3" t="s">
        <v>216</v>
      </c>
    </row>
    <row r="2267" ht="15.6" spans="4:11">
      <c r="D2267" s="3">
        <v>8171</v>
      </c>
      <c r="E2267" s="3" t="s">
        <v>216</v>
      </c>
      <c r="J2267" s="3" t="s">
        <v>2509</v>
      </c>
      <c r="K2267" s="3" t="s">
        <v>216</v>
      </c>
    </row>
    <row r="2268" ht="15.6" spans="4:11">
      <c r="D2268" s="3">
        <v>8172</v>
      </c>
      <c r="E2268" s="3" t="s">
        <v>216</v>
      </c>
      <c r="J2268" s="3" t="s">
        <v>2510</v>
      </c>
      <c r="K2268" s="3" t="s">
        <v>216</v>
      </c>
    </row>
    <row r="2269" ht="15.6" spans="4:11">
      <c r="D2269" s="3">
        <v>8173</v>
      </c>
      <c r="E2269" s="3" t="s">
        <v>216</v>
      </c>
      <c r="J2269" s="3" t="s">
        <v>2511</v>
      </c>
      <c r="K2269" s="3" t="s">
        <v>216</v>
      </c>
    </row>
    <row r="2270" ht="15.6" spans="4:11">
      <c r="D2270" s="3">
        <v>8174</v>
      </c>
      <c r="E2270" s="3" t="s">
        <v>216</v>
      </c>
      <c r="J2270" s="3" t="s">
        <v>2512</v>
      </c>
      <c r="K2270" s="3" t="s">
        <v>216</v>
      </c>
    </row>
    <row r="2271" ht="15.6" spans="4:11">
      <c r="D2271" s="3">
        <v>8175</v>
      </c>
      <c r="E2271" s="3" t="s">
        <v>216</v>
      </c>
      <c r="J2271" s="3" t="s">
        <v>2513</v>
      </c>
      <c r="K2271" s="3" t="s">
        <v>216</v>
      </c>
    </row>
    <row r="2272" ht="15.6" spans="4:11">
      <c r="D2272" s="3">
        <v>8176</v>
      </c>
      <c r="E2272" s="3" t="s">
        <v>216</v>
      </c>
      <c r="J2272" s="3" t="s">
        <v>2514</v>
      </c>
      <c r="K2272" s="3" t="s">
        <v>216</v>
      </c>
    </row>
    <row r="2273" ht="15.6" spans="4:11">
      <c r="D2273" s="3">
        <v>8177</v>
      </c>
      <c r="E2273" s="3" t="s">
        <v>216</v>
      </c>
      <c r="J2273" s="3" t="s">
        <v>2515</v>
      </c>
      <c r="K2273" s="3" t="s">
        <v>216</v>
      </c>
    </row>
    <row r="2274" ht="15.6" spans="4:11">
      <c r="D2274" s="3">
        <v>8178</v>
      </c>
      <c r="E2274" s="3" t="s">
        <v>216</v>
      </c>
      <c r="J2274" s="3" t="s">
        <v>2516</v>
      </c>
      <c r="K2274" s="3" t="s">
        <v>216</v>
      </c>
    </row>
    <row r="2275" ht="15.6" spans="4:11">
      <c r="D2275" s="3">
        <v>8179</v>
      </c>
      <c r="E2275" s="3" t="s">
        <v>216</v>
      </c>
      <c r="J2275" s="3" t="s">
        <v>2517</v>
      </c>
      <c r="K2275" s="3" t="s">
        <v>216</v>
      </c>
    </row>
    <row r="2276" ht="15.6" spans="4:11">
      <c r="D2276" s="3">
        <v>8180</v>
      </c>
      <c r="E2276" s="3" t="s">
        <v>216</v>
      </c>
      <c r="J2276" s="3" t="s">
        <v>2518</v>
      </c>
      <c r="K2276" s="3" t="s">
        <v>216</v>
      </c>
    </row>
    <row r="2277" ht="15.6" spans="4:11">
      <c r="D2277" s="3">
        <v>8181</v>
      </c>
      <c r="E2277" s="3" t="s">
        <v>216</v>
      </c>
      <c r="J2277" s="3" t="s">
        <v>2519</v>
      </c>
      <c r="K2277" s="3" t="s">
        <v>216</v>
      </c>
    </row>
    <row r="2278" ht="15.6" spans="4:11">
      <c r="D2278" s="3">
        <v>8182</v>
      </c>
      <c r="E2278" s="3" t="s">
        <v>216</v>
      </c>
      <c r="J2278" s="3" t="s">
        <v>2520</v>
      </c>
      <c r="K2278" s="3" t="s">
        <v>216</v>
      </c>
    </row>
    <row r="2279" ht="15.6" spans="4:11">
      <c r="D2279" s="3">
        <v>8183</v>
      </c>
      <c r="E2279" s="3" t="s">
        <v>216</v>
      </c>
      <c r="J2279" s="3" t="s">
        <v>2521</v>
      </c>
      <c r="K2279" s="3" t="s">
        <v>216</v>
      </c>
    </row>
    <row r="2280" ht="15.6" spans="4:11">
      <c r="D2280" s="3">
        <v>8184</v>
      </c>
      <c r="E2280" s="3" t="s">
        <v>216</v>
      </c>
      <c r="J2280" s="3" t="s">
        <v>2522</v>
      </c>
      <c r="K2280" s="3" t="s">
        <v>216</v>
      </c>
    </row>
    <row r="2281" ht="15.6" spans="4:11">
      <c r="D2281" s="3">
        <v>8185</v>
      </c>
      <c r="E2281" s="3" t="s">
        <v>216</v>
      </c>
      <c r="J2281" s="3" t="s">
        <v>2523</v>
      </c>
      <c r="K2281" s="3" t="s">
        <v>216</v>
      </c>
    </row>
    <row r="2282" ht="15.6" spans="4:11">
      <c r="D2282" s="3">
        <v>8186</v>
      </c>
      <c r="E2282" s="3" t="s">
        <v>216</v>
      </c>
      <c r="J2282" s="3" t="s">
        <v>2524</v>
      </c>
      <c r="K2282" s="3" t="s">
        <v>216</v>
      </c>
    </row>
    <row r="2283" ht="15.6" spans="4:11">
      <c r="D2283" s="3">
        <v>8187</v>
      </c>
      <c r="E2283" s="3" t="s">
        <v>216</v>
      </c>
      <c r="J2283" s="3" t="s">
        <v>2525</v>
      </c>
      <c r="K2283" s="3" t="s">
        <v>216</v>
      </c>
    </row>
    <row r="2284" ht="15.6" spans="4:11">
      <c r="D2284" s="3">
        <v>8188</v>
      </c>
      <c r="E2284" s="3" t="s">
        <v>216</v>
      </c>
      <c r="J2284" s="3" t="s">
        <v>2526</v>
      </c>
      <c r="K2284" s="3" t="s">
        <v>216</v>
      </c>
    </row>
    <row r="2285" ht="15.6" spans="4:11">
      <c r="D2285" s="3">
        <v>8189</v>
      </c>
      <c r="E2285" s="3" t="s">
        <v>216</v>
      </c>
      <c r="J2285" s="3" t="s">
        <v>2527</v>
      </c>
      <c r="K2285" s="3" t="s">
        <v>216</v>
      </c>
    </row>
    <row r="2286" ht="15.6" spans="4:11">
      <c r="D2286" s="3">
        <v>8190</v>
      </c>
      <c r="E2286" s="3" t="s">
        <v>216</v>
      </c>
      <c r="J2286" s="3" t="s">
        <v>2528</v>
      </c>
      <c r="K2286" s="3" t="s">
        <v>216</v>
      </c>
    </row>
    <row r="2287" ht="15.6" spans="4:11">
      <c r="D2287" s="3">
        <v>8191</v>
      </c>
      <c r="E2287" s="3" t="s">
        <v>216</v>
      </c>
      <c r="J2287" s="3" t="s">
        <v>2529</v>
      </c>
      <c r="K2287" s="3" t="s">
        <v>216</v>
      </c>
    </row>
    <row r="2288" ht="15.6" spans="4:11">
      <c r="D2288" s="3">
        <v>8192</v>
      </c>
      <c r="E2288" s="3" t="s">
        <v>216</v>
      </c>
      <c r="J2288" s="3" t="s">
        <v>2530</v>
      </c>
      <c r="K2288" s="3" t="s">
        <v>216</v>
      </c>
    </row>
    <row r="2289" ht="15.6" spans="4:11">
      <c r="D2289" s="3">
        <v>8193</v>
      </c>
      <c r="E2289" s="3" t="s">
        <v>216</v>
      </c>
      <c r="J2289" s="3" t="s">
        <v>2531</v>
      </c>
      <c r="K2289" s="3" t="s">
        <v>216</v>
      </c>
    </row>
    <row r="2290" ht="15.6" spans="4:11">
      <c r="D2290" s="3">
        <v>8194</v>
      </c>
      <c r="E2290" s="3" t="s">
        <v>216</v>
      </c>
      <c r="J2290" s="3" t="s">
        <v>2532</v>
      </c>
      <c r="K2290" s="3" t="s">
        <v>216</v>
      </c>
    </row>
    <row r="2291" ht="15.6" spans="4:11">
      <c r="D2291" s="3">
        <v>8195</v>
      </c>
      <c r="E2291" s="3" t="s">
        <v>216</v>
      </c>
      <c r="J2291" s="3" t="s">
        <v>2533</v>
      </c>
      <c r="K2291" s="3" t="s">
        <v>216</v>
      </c>
    </row>
    <row r="2292" ht="15.6" spans="4:11">
      <c r="D2292" s="3">
        <v>8196</v>
      </c>
      <c r="E2292" s="3" t="s">
        <v>216</v>
      </c>
      <c r="J2292" s="3" t="s">
        <v>2534</v>
      </c>
      <c r="K2292" s="3" t="s">
        <v>216</v>
      </c>
    </row>
    <row r="2293" ht="15.6" spans="4:11">
      <c r="D2293" s="3">
        <v>8197</v>
      </c>
      <c r="E2293" s="3" t="s">
        <v>216</v>
      </c>
      <c r="J2293" s="3" t="s">
        <v>2535</v>
      </c>
      <c r="K2293" s="3" t="s">
        <v>216</v>
      </c>
    </row>
    <row r="2294" ht="15.6" spans="4:11">
      <c r="D2294" s="3">
        <v>8198</v>
      </c>
      <c r="E2294" s="3" t="s">
        <v>216</v>
      </c>
      <c r="J2294" s="3" t="s">
        <v>2536</v>
      </c>
      <c r="K2294" s="3" t="s">
        <v>216</v>
      </c>
    </row>
    <row r="2295" ht="15.6" spans="4:11">
      <c r="D2295" s="3">
        <v>8199</v>
      </c>
      <c r="E2295" s="3" t="s">
        <v>216</v>
      </c>
      <c r="J2295" s="3" t="s">
        <v>2537</v>
      </c>
      <c r="K2295" s="3" t="s">
        <v>216</v>
      </c>
    </row>
    <row r="2296" ht="15.6" spans="4:11">
      <c r="D2296" s="3">
        <v>8200</v>
      </c>
      <c r="E2296" s="3" t="s">
        <v>216</v>
      </c>
      <c r="J2296" s="3" t="s">
        <v>2538</v>
      </c>
      <c r="K2296" s="3" t="s">
        <v>216</v>
      </c>
    </row>
    <row r="2297" ht="15.6" spans="4:11">
      <c r="D2297" s="3">
        <v>8201</v>
      </c>
      <c r="E2297" s="3" t="s">
        <v>216</v>
      </c>
      <c r="J2297" s="3" t="s">
        <v>2539</v>
      </c>
      <c r="K2297" s="3" t="s">
        <v>216</v>
      </c>
    </row>
    <row r="2298" ht="15.6" spans="4:11">
      <c r="D2298" s="3">
        <v>8202</v>
      </c>
      <c r="E2298" s="3" t="s">
        <v>216</v>
      </c>
      <c r="J2298" s="3" t="s">
        <v>2540</v>
      </c>
      <c r="K2298" s="3" t="s">
        <v>216</v>
      </c>
    </row>
    <row r="2299" ht="15.6" spans="4:11">
      <c r="D2299" s="3">
        <v>8203</v>
      </c>
      <c r="E2299" s="3" t="s">
        <v>216</v>
      </c>
      <c r="J2299" s="3" t="s">
        <v>2541</v>
      </c>
      <c r="K2299" s="3" t="s">
        <v>216</v>
      </c>
    </row>
    <row r="2300" ht="15.6" spans="4:11">
      <c r="D2300" s="3">
        <v>8204</v>
      </c>
      <c r="E2300" s="3" t="s">
        <v>216</v>
      </c>
      <c r="J2300" s="3" t="s">
        <v>2542</v>
      </c>
      <c r="K2300" s="3" t="s">
        <v>216</v>
      </c>
    </row>
    <row r="2301" ht="15.6" spans="4:11">
      <c r="D2301" s="3">
        <v>8205</v>
      </c>
      <c r="E2301" s="3" t="s">
        <v>216</v>
      </c>
      <c r="J2301" s="3" t="s">
        <v>2543</v>
      </c>
      <c r="K2301" s="3" t="s">
        <v>216</v>
      </c>
    </row>
    <row r="2302" ht="15.6" spans="4:11">
      <c r="D2302" s="3">
        <v>8206</v>
      </c>
      <c r="E2302" s="3" t="s">
        <v>216</v>
      </c>
      <c r="J2302" s="3" t="s">
        <v>2544</v>
      </c>
      <c r="K2302" s="3" t="s">
        <v>216</v>
      </c>
    </row>
    <row r="2303" ht="15.6" spans="4:11">
      <c r="D2303" s="3">
        <v>8207</v>
      </c>
      <c r="E2303" s="3" t="s">
        <v>216</v>
      </c>
      <c r="J2303" s="3" t="s">
        <v>2545</v>
      </c>
      <c r="K2303" s="3" t="s">
        <v>216</v>
      </c>
    </row>
    <row r="2304" ht="15.6" spans="4:11">
      <c r="D2304" s="3">
        <v>8208</v>
      </c>
      <c r="E2304" s="3" t="s">
        <v>216</v>
      </c>
      <c r="J2304" s="3" t="s">
        <v>2546</v>
      </c>
      <c r="K2304" s="3" t="s">
        <v>216</v>
      </c>
    </row>
    <row r="2305" ht="15.6" spans="4:11">
      <c r="D2305" s="3">
        <v>8209</v>
      </c>
      <c r="E2305" s="3" t="s">
        <v>216</v>
      </c>
      <c r="J2305" s="3" t="s">
        <v>2547</v>
      </c>
      <c r="K2305" s="3" t="s">
        <v>216</v>
      </c>
    </row>
    <row r="2306" ht="15.6" spans="4:11">
      <c r="D2306" s="3">
        <v>8210</v>
      </c>
      <c r="E2306" s="3" t="s">
        <v>216</v>
      </c>
      <c r="J2306" s="3" t="s">
        <v>2548</v>
      </c>
      <c r="K2306" s="3" t="s">
        <v>216</v>
      </c>
    </row>
    <row r="2307" ht="15.6" spans="4:11">
      <c r="D2307" s="3">
        <v>8211</v>
      </c>
      <c r="E2307" s="3" t="s">
        <v>216</v>
      </c>
      <c r="J2307" s="3" t="s">
        <v>2549</v>
      </c>
      <c r="K2307" s="3" t="s">
        <v>216</v>
      </c>
    </row>
    <row r="2308" ht="15.6" spans="4:11">
      <c r="D2308" s="3">
        <v>8212</v>
      </c>
      <c r="E2308" s="3" t="s">
        <v>216</v>
      </c>
      <c r="J2308" s="3" t="s">
        <v>2550</v>
      </c>
      <c r="K2308" s="3" t="s">
        <v>216</v>
      </c>
    </row>
    <row r="2309" ht="15.6" spans="4:11">
      <c r="D2309" s="3">
        <v>8213</v>
      </c>
      <c r="E2309" s="3" t="s">
        <v>216</v>
      </c>
      <c r="J2309" s="3" t="s">
        <v>2551</v>
      </c>
      <c r="K2309" s="3" t="s">
        <v>216</v>
      </c>
    </row>
    <row r="2310" ht="15.6" spans="4:11">
      <c r="D2310" s="3">
        <v>8214</v>
      </c>
      <c r="E2310" s="3" t="s">
        <v>216</v>
      </c>
      <c r="J2310" s="3" t="s">
        <v>2552</v>
      </c>
      <c r="K2310" s="3" t="s">
        <v>216</v>
      </c>
    </row>
    <row r="2311" ht="15.6" spans="4:11">
      <c r="D2311" s="3">
        <v>8215</v>
      </c>
      <c r="E2311" s="3" t="s">
        <v>216</v>
      </c>
      <c r="J2311" s="3" t="s">
        <v>2553</v>
      </c>
      <c r="K2311" s="3" t="s">
        <v>216</v>
      </c>
    </row>
    <row r="2312" ht="15.6" spans="4:11">
      <c r="D2312" s="3">
        <v>8216</v>
      </c>
      <c r="E2312" s="3" t="s">
        <v>216</v>
      </c>
      <c r="J2312" s="3" t="s">
        <v>2554</v>
      </c>
      <c r="K2312" s="3" t="s">
        <v>216</v>
      </c>
    </row>
    <row r="2313" ht="15.6" spans="4:11">
      <c r="D2313" s="3">
        <v>8217</v>
      </c>
      <c r="E2313" s="3" t="s">
        <v>216</v>
      </c>
      <c r="J2313" s="3" t="s">
        <v>2555</v>
      </c>
      <c r="K2313" s="3" t="s">
        <v>216</v>
      </c>
    </row>
    <row r="2314" ht="15.6" spans="4:11">
      <c r="D2314" s="3">
        <v>8218</v>
      </c>
      <c r="E2314" s="3" t="s">
        <v>216</v>
      </c>
      <c r="J2314" s="3" t="s">
        <v>2556</v>
      </c>
      <c r="K2314" s="3" t="s">
        <v>216</v>
      </c>
    </row>
    <row r="2315" ht="15.6" spans="4:11">
      <c r="D2315" s="3">
        <v>8219</v>
      </c>
      <c r="E2315" s="3" t="s">
        <v>216</v>
      </c>
      <c r="J2315" s="3" t="s">
        <v>2557</v>
      </c>
      <c r="K2315" s="3" t="s">
        <v>216</v>
      </c>
    </row>
    <row r="2316" ht="15.6" spans="4:11">
      <c r="D2316" s="3">
        <v>8220</v>
      </c>
      <c r="E2316" s="3" t="s">
        <v>216</v>
      </c>
      <c r="J2316" s="3" t="s">
        <v>2558</v>
      </c>
      <c r="K2316" s="3" t="s">
        <v>216</v>
      </c>
    </row>
    <row r="2317" ht="15.6" spans="4:11">
      <c r="D2317" s="3">
        <v>8221</v>
      </c>
      <c r="E2317" s="3" t="s">
        <v>216</v>
      </c>
      <c r="J2317" s="3" t="s">
        <v>2559</v>
      </c>
      <c r="K2317" s="3" t="s">
        <v>216</v>
      </c>
    </row>
    <row r="2318" ht="15.6" spans="4:11">
      <c r="D2318" s="3">
        <v>8222</v>
      </c>
      <c r="E2318" s="3" t="s">
        <v>216</v>
      </c>
      <c r="J2318" s="3" t="s">
        <v>2560</v>
      </c>
      <c r="K2318" s="3" t="s">
        <v>216</v>
      </c>
    </row>
    <row r="2319" ht="15.6" spans="4:11">
      <c r="D2319" s="3">
        <v>8223</v>
      </c>
      <c r="E2319" s="3" t="s">
        <v>216</v>
      </c>
      <c r="J2319" s="3" t="s">
        <v>2561</v>
      </c>
      <c r="K2319" s="3" t="s">
        <v>216</v>
      </c>
    </row>
    <row r="2320" ht="15.6" spans="4:11">
      <c r="D2320" s="3">
        <v>8224</v>
      </c>
      <c r="E2320" s="3" t="s">
        <v>216</v>
      </c>
      <c r="J2320" s="3" t="s">
        <v>2562</v>
      </c>
      <c r="K2320" s="3" t="s">
        <v>216</v>
      </c>
    </row>
    <row r="2321" ht="15.6" spans="4:11">
      <c r="D2321" s="3">
        <v>8225</v>
      </c>
      <c r="E2321" s="3" t="s">
        <v>216</v>
      </c>
      <c r="J2321" s="3" t="s">
        <v>2563</v>
      </c>
      <c r="K2321" s="3" t="s">
        <v>216</v>
      </c>
    </row>
    <row r="2322" ht="15.6" spans="4:11">
      <c r="D2322" s="3">
        <v>8226</v>
      </c>
      <c r="E2322" s="3" t="s">
        <v>216</v>
      </c>
      <c r="J2322" s="3" t="s">
        <v>2564</v>
      </c>
      <c r="K2322" s="3" t="s">
        <v>216</v>
      </c>
    </row>
    <row r="2323" ht="15.6" spans="4:11">
      <c r="D2323" s="3">
        <v>8227</v>
      </c>
      <c r="E2323" s="3" t="s">
        <v>216</v>
      </c>
      <c r="J2323" s="3" t="s">
        <v>2565</v>
      </c>
      <c r="K2323" s="3" t="s">
        <v>216</v>
      </c>
    </row>
    <row r="2324" ht="15.6" spans="4:11">
      <c r="D2324" s="3">
        <v>8228</v>
      </c>
      <c r="E2324" s="3" t="s">
        <v>216</v>
      </c>
      <c r="J2324" s="3" t="s">
        <v>2566</v>
      </c>
      <c r="K2324" s="3" t="s">
        <v>216</v>
      </c>
    </row>
    <row r="2325" ht="15.6" spans="4:11">
      <c r="D2325" s="3">
        <v>8229</v>
      </c>
      <c r="E2325" s="3" t="s">
        <v>216</v>
      </c>
      <c r="J2325" s="3" t="s">
        <v>2567</v>
      </c>
      <c r="K2325" s="3" t="s">
        <v>216</v>
      </c>
    </row>
    <row r="2326" ht="15.6" spans="4:11">
      <c r="D2326" s="3">
        <v>8230</v>
      </c>
      <c r="E2326" s="3" t="s">
        <v>216</v>
      </c>
      <c r="J2326" s="3" t="s">
        <v>2568</v>
      </c>
      <c r="K2326" s="3" t="s">
        <v>216</v>
      </c>
    </row>
    <row r="2327" ht="15.6" spans="4:11">
      <c r="D2327" s="3">
        <v>8231</v>
      </c>
      <c r="E2327" s="3" t="s">
        <v>216</v>
      </c>
      <c r="J2327" s="3" t="s">
        <v>2569</v>
      </c>
      <c r="K2327" s="3" t="s">
        <v>216</v>
      </c>
    </row>
    <row r="2328" ht="15.6" spans="4:11">
      <c r="D2328" s="3">
        <v>8232</v>
      </c>
      <c r="E2328" s="3" t="s">
        <v>216</v>
      </c>
      <c r="J2328" s="3" t="s">
        <v>2570</v>
      </c>
      <c r="K2328" s="3" t="s">
        <v>216</v>
      </c>
    </row>
    <row r="2329" ht="15.6" spans="4:11">
      <c r="D2329" s="3">
        <v>8233</v>
      </c>
      <c r="E2329" s="3" t="s">
        <v>216</v>
      </c>
      <c r="J2329" s="3" t="s">
        <v>2571</v>
      </c>
      <c r="K2329" s="3" t="s">
        <v>216</v>
      </c>
    </row>
    <row r="2330" ht="15.6" spans="4:11">
      <c r="D2330" s="3">
        <v>8234</v>
      </c>
      <c r="E2330" s="3" t="s">
        <v>216</v>
      </c>
      <c r="J2330" s="3" t="s">
        <v>2572</v>
      </c>
      <c r="K2330" s="3" t="s">
        <v>216</v>
      </c>
    </row>
    <row r="2331" ht="15.6" spans="4:11">
      <c r="D2331" s="3">
        <v>8235</v>
      </c>
      <c r="E2331" s="3" t="s">
        <v>216</v>
      </c>
      <c r="J2331" s="3" t="s">
        <v>2573</v>
      </c>
      <c r="K2331" s="3" t="s">
        <v>216</v>
      </c>
    </row>
    <row r="2332" ht="15.6" spans="4:11">
      <c r="D2332" s="3">
        <v>8236</v>
      </c>
      <c r="E2332" s="3" t="s">
        <v>216</v>
      </c>
      <c r="J2332" s="3" t="s">
        <v>2574</v>
      </c>
      <c r="K2332" s="3" t="s">
        <v>216</v>
      </c>
    </row>
    <row r="2333" ht="15.6" spans="4:11">
      <c r="D2333" s="3">
        <v>8237</v>
      </c>
      <c r="E2333" s="3" t="s">
        <v>216</v>
      </c>
      <c r="J2333" s="3" t="s">
        <v>2575</v>
      </c>
      <c r="K2333" s="3" t="s">
        <v>216</v>
      </c>
    </row>
    <row r="2334" ht="15.6" spans="4:11">
      <c r="D2334" s="3">
        <v>8238</v>
      </c>
      <c r="E2334" s="3" t="s">
        <v>216</v>
      </c>
      <c r="J2334" s="3" t="s">
        <v>2576</v>
      </c>
      <c r="K2334" s="3" t="s">
        <v>216</v>
      </c>
    </row>
    <row r="2335" ht="15.6" spans="4:11">
      <c r="D2335" s="3">
        <v>8239</v>
      </c>
      <c r="E2335" s="3" t="s">
        <v>216</v>
      </c>
      <c r="J2335" s="3" t="s">
        <v>2577</v>
      </c>
      <c r="K2335" s="3" t="s">
        <v>216</v>
      </c>
    </row>
    <row r="2336" ht="15.6" spans="4:11">
      <c r="D2336" s="3">
        <v>8240</v>
      </c>
      <c r="E2336" s="3" t="s">
        <v>216</v>
      </c>
      <c r="J2336" s="3" t="s">
        <v>2578</v>
      </c>
      <c r="K2336" s="3" t="s">
        <v>216</v>
      </c>
    </row>
    <row r="2337" ht="15.6" spans="4:11">
      <c r="D2337" s="3">
        <v>8241</v>
      </c>
      <c r="E2337" s="3" t="s">
        <v>216</v>
      </c>
      <c r="J2337" s="3" t="s">
        <v>2579</v>
      </c>
      <c r="K2337" s="3" t="s">
        <v>216</v>
      </c>
    </row>
    <row r="2338" ht="15.6" spans="4:11">
      <c r="D2338" s="3">
        <v>8242</v>
      </c>
      <c r="E2338" s="3" t="s">
        <v>216</v>
      </c>
      <c r="J2338" s="3" t="s">
        <v>2580</v>
      </c>
      <c r="K2338" s="3" t="s">
        <v>216</v>
      </c>
    </row>
    <row r="2339" ht="15.6" spans="4:11">
      <c r="D2339" s="3">
        <v>8243</v>
      </c>
      <c r="E2339" s="3" t="s">
        <v>216</v>
      </c>
      <c r="J2339" s="3" t="s">
        <v>2581</v>
      </c>
      <c r="K2339" s="3" t="s">
        <v>216</v>
      </c>
    </row>
    <row r="2340" ht="15.6" spans="4:11">
      <c r="D2340" s="3">
        <v>8244</v>
      </c>
      <c r="E2340" s="3" t="s">
        <v>216</v>
      </c>
      <c r="J2340" s="3" t="s">
        <v>2582</v>
      </c>
      <c r="K2340" s="3" t="s">
        <v>216</v>
      </c>
    </row>
    <row r="2341" ht="15.6" spans="4:11">
      <c r="D2341" s="3">
        <v>8245</v>
      </c>
      <c r="E2341" s="3" t="s">
        <v>216</v>
      </c>
      <c r="J2341" s="3" t="s">
        <v>2583</v>
      </c>
      <c r="K2341" s="3" t="s">
        <v>216</v>
      </c>
    </row>
    <row r="2342" ht="15.6" spans="4:11">
      <c r="D2342" s="3">
        <v>8246</v>
      </c>
      <c r="E2342" s="3" t="s">
        <v>216</v>
      </c>
      <c r="J2342" s="3" t="s">
        <v>2584</v>
      </c>
      <c r="K2342" s="3" t="s">
        <v>216</v>
      </c>
    </row>
    <row r="2343" ht="15.6" spans="4:11">
      <c r="D2343" s="3">
        <v>8247</v>
      </c>
      <c r="E2343" s="3" t="s">
        <v>216</v>
      </c>
      <c r="J2343" s="3" t="s">
        <v>2585</v>
      </c>
      <c r="K2343" s="3" t="s">
        <v>216</v>
      </c>
    </row>
    <row r="2344" ht="15.6" spans="4:11">
      <c r="D2344" s="3">
        <v>8248</v>
      </c>
      <c r="E2344" s="3" t="s">
        <v>216</v>
      </c>
      <c r="J2344" s="3" t="s">
        <v>2586</v>
      </c>
      <c r="K2344" s="3" t="s">
        <v>216</v>
      </c>
    </row>
    <row r="2345" ht="15.6" spans="4:11">
      <c r="D2345" s="3">
        <v>8249</v>
      </c>
      <c r="E2345" s="3" t="s">
        <v>216</v>
      </c>
      <c r="J2345" s="3" t="s">
        <v>2587</v>
      </c>
      <c r="K2345" s="3" t="s">
        <v>216</v>
      </c>
    </row>
    <row r="2346" ht="15.6" spans="4:11">
      <c r="D2346" s="3">
        <v>8250</v>
      </c>
      <c r="E2346" s="3" t="s">
        <v>216</v>
      </c>
      <c r="J2346" s="3" t="s">
        <v>2588</v>
      </c>
      <c r="K2346" s="3" t="s">
        <v>216</v>
      </c>
    </row>
    <row r="2347" ht="15.6" spans="4:11">
      <c r="D2347" s="3">
        <v>8251</v>
      </c>
      <c r="E2347" s="3" t="s">
        <v>216</v>
      </c>
      <c r="J2347" s="3" t="s">
        <v>2589</v>
      </c>
      <c r="K2347" s="3" t="s">
        <v>216</v>
      </c>
    </row>
    <row r="2348" ht="15.6" spans="4:11">
      <c r="D2348" s="3">
        <v>8252</v>
      </c>
      <c r="E2348" s="3" t="s">
        <v>216</v>
      </c>
      <c r="J2348" s="3" t="s">
        <v>2590</v>
      </c>
      <c r="K2348" s="3" t="s">
        <v>216</v>
      </c>
    </row>
    <row r="2349" ht="15.6" spans="4:11">
      <c r="D2349" s="3">
        <v>8253</v>
      </c>
      <c r="E2349" s="3" t="s">
        <v>216</v>
      </c>
      <c r="J2349" s="3" t="s">
        <v>2591</v>
      </c>
      <c r="K2349" s="3" t="s">
        <v>216</v>
      </c>
    </row>
    <row r="2350" ht="15.6" spans="4:11">
      <c r="D2350" s="3">
        <v>8254</v>
      </c>
      <c r="E2350" s="3" t="s">
        <v>216</v>
      </c>
      <c r="J2350" s="3" t="s">
        <v>2592</v>
      </c>
      <c r="K2350" s="3" t="s">
        <v>216</v>
      </c>
    </row>
    <row r="2351" ht="15.6" spans="4:11">
      <c r="D2351" s="3">
        <v>8255</v>
      </c>
      <c r="E2351" s="3" t="s">
        <v>216</v>
      </c>
      <c r="J2351" s="3" t="s">
        <v>2593</v>
      </c>
      <c r="K2351" s="3" t="s">
        <v>216</v>
      </c>
    </row>
    <row r="2352" ht="15.6" spans="4:11">
      <c r="D2352" s="3">
        <v>8256</v>
      </c>
      <c r="E2352" s="3" t="s">
        <v>216</v>
      </c>
      <c r="J2352" s="3" t="s">
        <v>2594</v>
      </c>
      <c r="K2352" s="3" t="s">
        <v>216</v>
      </c>
    </row>
    <row r="2353" ht="15.6" spans="4:11">
      <c r="D2353" s="3">
        <v>8257</v>
      </c>
      <c r="E2353" s="3" t="s">
        <v>216</v>
      </c>
      <c r="J2353" s="3" t="s">
        <v>2595</v>
      </c>
      <c r="K2353" s="3" t="s">
        <v>216</v>
      </c>
    </row>
    <row r="2354" ht="15.6" spans="4:11">
      <c r="D2354" s="3">
        <v>8258</v>
      </c>
      <c r="E2354" s="3" t="s">
        <v>216</v>
      </c>
      <c r="J2354" s="3" t="s">
        <v>2596</v>
      </c>
      <c r="K2354" s="3" t="s">
        <v>216</v>
      </c>
    </row>
    <row r="2355" ht="15.6" spans="4:11">
      <c r="D2355" s="3">
        <v>8259</v>
      </c>
      <c r="E2355" s="3" t="s">
        <v>216</v>
      </c>
      <c r="J2355" s="3" t="s">
        <v>2597</v>
      </c>
      <c r="K2355" s="3" t="s">
        <v>216</v>
      </c>
    </row>
    <row r="2356" ht="15.6" spans="4:11">
      <c r="D2356" s="3">
        <v>8260</v>
      </c>
      <c r="E2356" s="3" t="s">
        <v>216</v>
      </c>
      <c r="J2356" s="3" t="s">
        <v>2598</v>
      </c>
      <c r="K2356" s="3" t="s">
        <v>216</v>
      </c>
    </row>
    <row r="2357" ht="15.6" spans="4:11">
      <c r="D2357" s="3">
        <v>8261</v>
      </c>
      <c r="E2357" s="3" t="s">
        <v>216</v>
      </c>
      <c r="J2357" s="3" t="s">
        <v>2599</v>
      </c>
      <c r="K2357" s="3" t="s">
        <v>216</v>
      </c>
    </row>
    <row r="2358" ht="15.6" spans="4:11">
      <c r="D2358" s="3">
        <v>8262</v>
      </c>
      <c r="E2358" s="3" t="s">
        <v>216</v>
      </c>
      <c r="J2358" s="3" t="s">
        <v>2600</v>
      </c>
      <c r="K2358" s="3" t="s">
        <v>216</v>
      </c>
    </row>
    <row r="2359" ht="15.6" spans="4:11">
      <c r="D2359" s="3">
        <v>8263</v>
      </c>
      <c r="E2359" s="3" t="s">
        <v>216</v>
      </c>
      <c r="J2359" s="3" t="s">
        <v>2601</v>
      </c>
      <c r="K2359" s="3" t="s">
        <v>216</v>
      </c>
    </row>
    <row r="2360" ht="15.6" spans="4:11">
      <c r="D2360" s="3">
        <v>8264</v>
      </c>
      <c r="E2360" s="3" t="s">
        <v>216</v>
      </c>
      <c r="J2360" s="3" t="s">
        <v>2602</v>
      </c>
      <c r="K2360" s="3" t="s">
        <v>216</v>
      </c>
    </row>
    <row r="2361" ht="15.6" spans="4:11">
      <c r="D2361" s="3">
        <v>8265</v>
      </c>
      <c r="E2361" s="3" t="s">
        <v>216</v>
      </c>
      <c r="J2361" s="3" t="s">
        <v>2603</v>
      </c>
      <c r="K2361" s="3" t="s">
        <v>216</v>
      </c>
    </row>
    <row r="2362" ht="15.6" spans="4:11">
      <c r="D2362" s="3">
        <v>8266</v>
      </c>
      <c r="E2362" s="3" t="s">
        <v>216</v>
      </c>
      <c r="J2362" s="3" t="s">
        <v>2604</v>
      </c>
      <c r="K2362" s="3" t="s">
        <v>216</v>
      </c>
    </row>
    <row r="2363" ht="15.6" spans="4:11">
      <c r="D2363" s="3">
        <v>8267</v>
      </c>
      <c r="E2363" s="3" t="s">
        <v>216</v>
      </c>
      <c r="J2363" s="3" t="s">
        <v>2605</v>
      </c>
      <c r="K2363" s="3" t="s">
        <v>216</v>
      </c>
    </row>
    <row r="2364" ht="15.6" spans="4:11">
      <c r="D2364" s="3">
        <v>8268</v>
      </c>
      <c r="E2364" s="3" t="s">
        <v>216</v>
      </c>
      <c r="J2364" s="3" t="s">
        <v>2606</v>
      </c>
      <c r="K2364" s="3" t="s">
        <v>216</v>
      </c>
    </row>
    <row r="2365" ht="15.6" spans="4:11">
      <c r="D2365" s="3">
        <v>8269</v>
      </c>
      <c r="E2365" s="3" t="s">
        <v>216</v>
      </c>
      <c r="J2365" s="3" t="s">
        <v>2607</v>
      </c>
      <c r="K2365" s="3" t="s">
        <v>216</v>
      </c>
    </row>
    <row r="2366" ht="15.6" spans="4:11">
      <c r="D2366" s="3">
        <v>8270</v>
      </c>
      <c r="E2366" s="3" t="s">
        <v>216</v>
      </c>
      <c r="J2366" s="3" t="s">
        <v>2608</v>
      </c>
      <c r="K2366" s="3" t="s">
        <v>216</v>
      </c>
    </row>
    <row r="2367" ht="15.6" spans="4:11">
      <c r="D2367" s="3">
        <v>8271</v>
      </c>
      <c r="E2367" s="3" t="s">
        <v>216</v>
      </c>
      <c r="J2367" s="3" t="s">
        <v>2609</v>
      </c>
      <c r="K2367" s="3" t="s">
        <v>216</v>
      </c>
    </row>
    <row r="2368" ht="15.6" spans="4:11">
      <c r="D2368" s="3">
        <v>8272</v>
      </c>
      <c r="E2368" s="3" t="s">
        <v>216</v>
      </c>
      <c r="J2368" s="3" t="s">
        <v>2610</v>
      </c>
      <c r="K2368" s="3" t="s">
        <v>216</v>
      </c>
    </row>
    <row r="2369" ht="15.6" spans="4:11">
      <c r="D2369" s="3">
        <v>8273</v>
      </c>
      <c r="E2369" s="3" t="s">
        <v>216</v>
      </c>
      <c r="J2369" s="3" t="s">
        <v>2611</v>
      </c>
      <c r="K2369" s="3" t="s">
        <v>216</v>
      </c>
    </row>
    <row r="2370" ht="15.6" spans="4:11">
      <c r="D2370" s="3">
        <v>8274</v>
      </c>
      <c r="E2370" s="3" t="s">
        <v>216</v>
      </c>
      <c r="J2370" s="3" t="s">
        <v>2612</v>
      </c>
      <c r="K2370" s="3" t="s">
        <v>216</v>
      </c>
    </row>
    <row r="2371" ht="15.6" spans="4:11">
      <c r="D2371" s="3">
        <v>8275</v>
      </c>
      <c r="E2371" s="3" t="s">
        <v>216</v>
      </c>
      <c r="J2371" s="3" t="s">
        <v>2613</v>
      </c>
      <c r="K2371" s="3" t="s">
        <v>216</v>
      </c>
    </row>
    <row r="2372" ht="15.6" spans="4:11">
      <c r="D2372" s="3">
        <v>8276</v>
      </c>
      <c r="E2372" s="3" t="s">
        <v>216</v>
      </c>
      <c r="J2372" s="3" t="s">
        <v>2614</v>
      </c>
      <c r="K2372" s="3" t="s">
        <v>216</v>
      </c>
    </row>
    <row r="2373" ht="15.6" spans="4:11">
      <c r="D2373" s="3">
        <v>8277</v>
      </c>
      <c r="E2373" s="3" t="s">
        <v>216</v>
      </c>
      <c r="J2373" s="3" t="s">
        <v>2615</v>
      </c>
      <c r="K2373" s="3" t="s">
        <v>216</v>
      </c>
    </row>
    <row r="2374" ht="15.6" spans="4:11">
      <c r="D2374" s="3">
        <v>8278</v>
      </c>
      <c r="E2374" s="3" t="s">
        <v>216</v>
      </c>
      <c r="J2374" s="3" t="s">
        <v>2616</v>
      </c>
      <c r="K2374" s="3" t="s">
        <v>216</v>
      </c>
    </row>
    <row r="2375" ht="15.6" spans="4:11">
      <c r="D2375" s="3">
        <v>8279</v>
      </c>
      <c r="E2375" s="3" t="s">
        <v>216</v>
      </c>
      <c r="J2375" s="3" t="s">
        <v>2617</v>
      </c>
      <c r="K2375" s="3" t="s">
        <v>216</v>
      </c>
    </row>
    <row r="2376" ht="15.6" spans="4:11">
      <c r="D2376" s="3">
        <v>8280</v>
      </c>
      <c r="E2376" s="3" t="s">
        <v>216</v>
      </c>
      <c r="J2376" s="3" t="s">
        <v>2618</v>
      </c>
      <c r="K2376" s="3" t="s">
        <v>216</v>
      </c>
    </row>
    <row r="2377" ht="15.6" spans="4:11">
      <c r="D2377" s="3">
        <v>8281</v>
      </c>
      <c r="E2377" s="3" t="s">
        <v>216</v>
      </c>
      <c r="J2377" s="3" t="s">
        <v>2619</v>
      </c>
      <c r="K2377" s="3" t="s">
        <v>216</v>
      </c>
    </row>
    <row r="2378" ht="15.6" spans="4:11">
      <c r="D2378" s="3">
        <v>8282</v>
      </c>
      <c r="E2378" s="3" t="s">
        <v>216</v>
      </c>
      <c r="J2378" s="3" t="s">
        <v>2620</v>
      </c>
      <c r="K2378" s="3" t="s">
        <v>216</v>
      </c>
    </row>
    <row r="2379" ht="15.6" spans="4:11">
      <c r="D2379" s="3">
        <v>8283</v>
      </c>
      <c r="E2379" s="3" t="s">
        <v>216</v>
      </c>
      <c r="J2379" s="3" t="s">
        <v>2621</v>
      </c>
      <c r="K2379" s="3" t="s">
        <v>216</v>
      </c>
    </row>
    <row r="2380" ht="15.6" spans="4:11">
      <c r="D2380" s="3">
        <v>8284</v>
      </c>
      <c r="E2380" s="3" t="s">
        <v>216</v>
      </c>
      <c r="J2380" s="3" t="s">
        <v>2622</v>
      </c>
      <c r="K2380" s="3" t="s">
        <v>216</v>
      </c>
    </row>
    <row r="2381" ht="15.6" spans="4:11">
      <c r="D2381" s="3">
        <v>8285</v>
      </c>
      <c r="E2381" s="3" t="s">
        <v>216</v>
      </c>
      <c r="J2381" s="3" t="s">
        <v>2623</v>
      </c>
      <c r="K2381" s="3" t="s">
        <v>216</v>
      </c>
    </row>
    <row r="2382" ht="15.6" spans="4:11">
      <c r="D2382" s="3">
        <v>8286</v>
      </c>
      <c r="E2382" s="3" t="s">
        <v>216</v>
      </c>
      <c r="J2382" s="3" t="s">
        <v>2624</v>
      </c>
      <c r="K2382" s="3" t="s">
        <v>216</v>
      </c>
    </row>
    <row r="2383" ht="15.6" spans="4:11">
      <c r="D2383" s="3">
        <v>8287</v>
      </c>
      <c r="E2383" s="3" t="s">
        <v>216</v>
      </c>
      <c r="J2383" s="3" t="s">
        <v>2625</v>
      </c>
      <c r="K2383" s="3" t="s">
        <v>216</v>
      </c>
    </row>
    <row r="2384" ht="15.6" spans="4:11">
      <c r="D2384" s="3">
        <v>8288</v>
      </c>
      <c r="E2384" s="3" t="s">
        <v>216</v>
      </c>
      <c r="J2384" s="3" t="s">
        <v>2626</v>
      </c>
      <c r="K2384" s="3" t="s">
        <v>216</v>
      </c>
    </row>
    <row r="2385" ht="15.6" spans="4:11">
      <c r="D2385" s="3">
        <v>8289</v>
      </c>
      <c r="E2385" s="3" t="s">
        <v>216</v>
      </c>
      <c r="J2385" s="3" t="s">
        <v>2627</v>
      </c>
      <c r="K2385" s="3" t="s">
        <v>216</v>
      </c>
    </row>
    <row r="2386" ht="15.6" spans="4:11">
      <c r="D2386" s="3">
        <v>8290</v>
      </c>
      <c r="E2386" s="3" t="s">
        <v>216</v>
      </c>
      <c r="J2386" s="3" t="s">
        <v>2628</v>
      </c>
      <c r="K2386" s="3" t="s">
        <v>216</v>
      </c>
    </row>
    <row r="2387" ht="15.6" spans="4:11">
      <c r="D2387" s="3">
        <v>8291</v>
      </c>
      <c r="E2387" s="3" t="s">
        <v>216</v>
      </c>
      <c r="J2387" s="3" t="s">
        <v>2629</v>
      </c>
      <c r="K2387" s="3" t="s">
        <v>216</v>
      </c>
    </row>
    <row r="2388" ht="15.6" spans="4:11">
      <c r="D2388" s="3">
        <v>8292</v>
      </c>
      <c r="E2388" s="3" t="s">
        <v>216</v>
      </c>
      <c r="J2388" s="3" t="s">
        <v>2630</v>
      </c>
      <c r="K2388" s="3" t="s">
        <v>216</v>
      </c>
    </row>
    <row r="2389" ht="15.6" spans="4:11">
      <c r="D2389" s="3">
        <v>8293</v>
      </c>
      <c r="E2389" s="3" t="s">
        <v>216</v>
      </c>
      <c r="J2389" s="3" t="s">
        <v>2631</v>
      </c>
      <c r="K2389" s="3" t="s">
        <v>216</v>
      </c>
    </row>
    <row r="2390" ht="15.6" spans="4:11">
      <c r="D2390" s="3">
        <v>8294</v>
      </c>
      <c r="E2390" s="3" t="s">
        <v>216</v>
      </c>
      <c r="J2390" s="3" t="s">
        <v>2632</v>
      </c>
      <c r="K2390" s="3" t="s">
        <v>216</v>
      </c>
    </row>
    <row r="2391" ht="15.6" spans="4:11">
      <c r="D2391" s="3">
        <v>8295</v>
      </c>
      <c r="E2391" s="3" t="s">
        <v>216</v>
      </c>
      <c r="J2391" s="3" t="s">
        <v>2633</v>
      </c>
      <c r="K2391" s="3" t="s">
        <v>216</v>
      </c>
    </row>
    <row r="2392" ht="15.6" spans="4:11">
      <c r="D2392" s="3">
        <v>8296</v>
      </c>
      <c r="E2392" s="3" t="s">
        <v>216</v>
      </c>
      <c r="J2392" s="3" t="s">
        <v>2634</v>
      </c>
      <c r="K2392" s="3" t="s">
        <v>216</v>
      </c>
    </row>
    <row r="2393" ht="15.6" spans="4:11">
      <c r="D2393" s="3">
        <v>8297</v>
      </c>
      <c r="E2393" s="3" t="s">
        <v>216</v>
      </c>
      <c r="J2393" s="3" t="s">
        <v>2635</v>
      </c>
      <c r="K2393" s="3" t="s">
        <v>216</v>
      </c>
    </row>
    <row r="2394" ht="15.6" spans="4:11">
      <c r="D2394" s="3">
        <v>8298</v>
      </c>
      <c r="E2394" s="3" t="s">
        <v>216</v>
      </c>
      <c r="J2394" s="3" t="s">
        <v>2636</v>
      </c>
      <c r="K2394" s="3" t="s">
        <v>216</v>
      </c>
    </row>
    <row r="2395" ht="15.6" spans="4:11">
      <c r="D2395" s="3">
        <v>8299</v>
      </c>
      <c r="E2395" s="3" t="s">
        <v>216</v>
      </c>
      <c r="J2395" s="3" t="s">
        <v>2637</v>
      </c>
      <c r="K2395" s="3" t="s">
        <v>216</v>
      </c>
    </row>
    <row r="2396" ht="15.6" spans="4:11">
      <c r="D2396" s="3">
        <v>8300</v>
      </c>
      <c r="E2396" s="3" t="s">
        <v>216</v>
      </c>
      <c r="J2396" s="3" t="s">
        <v>2638</v>
      </c>
      <c r="K2396" s="3" t="s">
        <v>216</v>
      </c>
    </row>
    <row r="2397" ht="15.6" spans="4:11">
      <c r="D2397" s="3">
        <v>8301</v>
      </c>
      <c r="E2397" s="3" t="s">
        <v>216</v>
      </c>
      <c r="J2397" s="3" t="s">
        <v>2639</v>
      </c>
      <c r="K2397" s="3" t="s">
        <v>216</v>
      </c>
    </row>
    <row r="2398" ht="15.6" spans="4:11">
      <c r="D2398" s="3">
        <v>8302</v>
      </c>
      <c r="E2398" s="3" t="s">
        <v>216</v>
      </c>
      <c r="J2398" s="3" t="s">
        <v>2640</v>
      </c>
      <c r="K2398" s="3" t="s">
        <v>216</v>
      </c>
    </row>
    <row r="2399" ht="15.6" spans="4:11">
      <c r="D2399" s="3">
        <v>8303</v>
      </c>
      <c r="E2399" s="3" t="s">
        <v>216</v>
      </c>
      <c r="J2399" s="3" t="s">
        <v>2641</v>
      </c>
      <c r="K2399" s="3" t="s">
        <v>216</v>
      </c>
    </row>
    <row r="2400" ht="15.6" spans="4:11">
      <c r="D2400" s="3">
        <v>8304</v>
      </c>
      <c r="E2400" s="3" t="s">
        <v>216</v>
      </c>
      <c r="J2400" s="3" t="s">
        <v>2642</v>
      </c>
      <c r="K2400" s="3" t="s">
        <v>216</v>
      </c>
    </row>
    <row r="2401" ht="15.6" spans="4:11">
      <c r="D2401" s="3">
        <v>8305</v>
      </c>
      <c r="E2401" s="3" t="s">
        <v>216</v>
      </c>
      <c r="J2401" s="3" t="s">
        <v>2643</v>
      </c>
      <c r="K2401" s="3" t="s">
        <v>216</v>
      </c>
    </row>
    <row r="2402" ht="15.6" spans="4:11">
      <c r="D2402" s="3">
        <v>8306</v>
      </c>
      <c r="E2402" s="3" t="s">
        <v>216</v>
      </c>
      <c r="J2402" s="3" t="s">
        <v>2644</v>
      </c>
      <c r="K2402" s="3" t="s">
        <v>216</v>
      </c>
    </row>
    <row r="2403" ht="15.6" spans="4:11">
      <c r="D2403" s="3">
        <v>8307</v>
      </c>
      <c r="E2403" s="3" t="s">
        <v>216</v>
      </c>
      <c r="J2403" s="3" t="s">
        <v>2645</v>
      </c>
      <c r="K2403" s="3" t="s">
        <v>216</v>
      </c>
    </row>
    <row r="2404" ht="15.6" spans="4:11">
      <c r="D2404" s="3">
        <v>8308</v>
      </c>
      <c r="E2404" s="3" t="s">
        <v>216</v>
      </c>
      <c r="J2404" s="3" t="s">
        <v>2646</v>
      </c>
      <c r="K2404" s="3" t="s">
        <v>216</v>
      </c>
    </row>
    <row r="2405" ht="15.6" spans="4:11">
      <c r="D2405" s="3">
        <v>8309</v>
      </c>
      <c r="E2405" s="3" t="s">
        <v>216</v>
      </c>
      <c r="J2405" s="3" t="s">
        <v>2647</v>
      </c>
      <c r="K2405" s="3" t="s">
        <v>216</v>
      </c>
    </row>
    <row r="2406" ht="15.6" spans="4:11">
      <c r="D2406" s="3">
        <v>8310</v>
      </c>
      <c r="E2406" s="3" t="s">
        <v>216</v>
      </c>
      <c r="J2406" s="3" t="s">
        <v>2648</v>
      </c>
      <c r="K2406" s="3" t="s">
        <v>216</v>
      </c>
    </row>
    <row r="2407" ht="15.6" spans="4:11">
      <c r="D2407" s="3">
        <v>8311</v>
      </c>
      <c r="E2407" s="3" t="s">
        <v>216</v>
      </c>
      <c r="J2407" s="3" t="s">
        <v>2649</v>
      </c>
      <c r="K2407" s="3" t="s">
        <v>216</v>
      </c>
    </row>
    <row r="2408" ht="15.6" spans="4:11">
      <c r="D2408" s="3">
        <v>8312</v>
      </c>
      <c r="E2408" s="3" t="s">
        <v>216</v>
      </c>
      <c r="J2408" s="3" t="s">
        <v>2650</v>
      </c>
      <c r="K2408" s="3" t="s">
        <v>216</v>
      </c>
    </row>
    <row r="2409" ht="15.6" spans="4:11">
      <c r="D2409" s="3">
        <v>8313</v>
      </c>
      <c r="E2409" s="3" t="s">
        <v>216</v>
      </c>
      <c r="J2409" s="3" t="s">
        <v>2651</v>
      </c>
      <c r="K2409" s="3" t="s">
        <v>216</v>
      </c>
    </row>
    <row r="2410" ht="15.6" spans="4:11">
      <c r="D2410" s="3">
        <v>8314</v>
      </c>
      <c r="E2410" s="3" t="s">
        <v>216</v>
      </c>
      <c r="J2410" s="3" t="s">
        <v>2652</v>
      </c>
      <c r="K2410" s="3" t="s">
        <v>216</v>
      </c>
    </row>
    <row r="2411" ht="15.6" spans="4:11">
      <c r="D2411" s="3">
        <v>8315</v>
      </c>
      <c r="E2411" s="3" t="s">
        <v>216</v>
      </c>
      <c r="J2411" s="3" t="s">
        <v>2653</v>
      </c>
      <c r="K2411" s="3" t="s">
        <v>216</v>
      </c>
    </row>
    <row r="2412" ht="15.6" spans="4:11">
      <c r="D2412" s="3">
        <v>8316</v>
      </c>
      <c r="E2412" s="3" t="s">
        <v>216</v>
      </c>
      <c r="J2412" s="3" t="s">
        <v>2654</v>
      </c>
      <c r="K2412" s="3" t="s">
        <v>216</v>
      </c>
    </row>
    <row r="2413" ht="15.6" spans="4:11">
      <c r="D2413" s="3">
        <v>8317</v>
      </c>
      <c r="E2413" s="3" t="s">
        <v>216</v>
      </c>
      <c r="J2413" s="3" t="s">
        <v>2655</v>
      </c>
      <c r="K2413" s="3" t="s">
        <v>216</v>
      </c>
    </row>
    <row r="2414" ht="15.6" spans="4:11">
      <c r="D2414" s="3">
        <v>8318</v>
      </c>
      <c r="E2414" s="3" t="s">
        <v>216</v>
      </c>
      <c r="J2414" s="3" t="s">
        <v>2656</v>
      </c>
      <c r="K2414" s="3" t="s">
        <v>216</v>
      </c>
    </row>
    <row r="2415" ht="15.6" spans="4:11">
      <c r="D2415" s="3">
        <v>8319</v>
      </c>
      <c r="E2415" s="3" t="s">
        <v>216</v>
      </c>
      <c r="J2415" s="3" t="s">
        <v>2657</v>
      </c>
      <c r="K2415" s="3" t="s">
        <v>216</v>
      </c>
    </row>
    <row r="2416" ht="15.6" spans="4:11">
      <c r="D2416" s="3">
        <v>8320</v>
      </c>
      <c r="E2416" s="3" t="s">
        <v>216</v>
      </c>
      <c r="J2416" s="3" t="s">
        <v>2658</v>
      </c>
      <c r="K2416" s="3" t="s">
        <v>216</v>
      </c>
    </row>
    <row r="2417" ht="15.6" spans="4:11">
      <c r="D2417" s="3">
        <v>8321</v>
      </c>
      <c r="E2417" s="3" t="s">
        <v>216</v>
      </c>
      <c r="J2417" s="3" t="s">
        <v>2659</v>
      </c>
      <c r="K2417" s="3" t="s">
        <v>216</v>
      </c>
    </row>
    <row r="2418" ht="15.6" spans="4:11">
      <c r="D2418" s="3">
        <v>8322</v>
      </c>
      <c r="E2418" s="3" t="s">
        <v>216</v>
      </c>
      <c r="J2418" s="3" t="s">
        <v>2660</v>
      </c>
      <c r="K2418" s="3" t="s">
        <v>216</v>
      </c>
    </row>
    <row r="2419" ht="15.6" spans="4:11">
      <c r="D2419" s="3">
        <v>8323</v>
      </c>
      <c r="E2419" s="3" t="s">
        <v>216</v>
      </c>
      <c r="J2419" s="3" t="s">
        <v>2661</v>
      </c>
      <c r="K2419" s="3" t="s">
        <v>216</v>
      </c>
    </row>
    <row r="2420" ht="15.6" spans="4:11">
      <c r="D2420" s="3">
        <v>8324</v>
      </c>
      <c r="E2420" s="3" t="s">
        <v>216</v>
      </c>
      <c r="J2420" s="3" t="s">
        <v>2662</v>
      </c>
      <c r="K2420" s="3" t="s">
        <v>216</v>
      </c>
    </row>
    <row r="2421" ht="15.6" spans="4:11">
      <c r="D2421" s="3">
        <v>8325</v>
      </c>
      <c r="E2421" s="3" t="s">
        <v>216</v>
      </c>
      <c r="J2421" s="3" t="s">
        <v>2663</v>
      </c>
      <c r="K2421" s="3" t="s">
        <v>216</v>
      </c>
    </row>
    <row r="2422" ht="15.6" spans="4:11">
      <c r="D2422" s="3">
        <v>8326</v>
      </c>
      <c r="E2422" s="3" t="s">
        <v>216</v>
      </c>
      <c r="J2422" s="3" t="s">
        <v>2664</v>
      </c>
      <c r="K2422" s="3" t="s">
        <v>216</v>
      </c>
    </row>
    <row r="2423" ht="15.6" spans="4:11">
      <c r="D2423" s="3">
        <v>8327</v>
      </c>
      <c r="E2423" s="3" t="s">
        <v>216</v>
      </c>
      <c r="J2423" s="3" t="s">
        <v>2665</v>
      </c>
      <c r="K2423" s="3" t="s">
        <v>216</v>
      </c>
    </row>
    <row r="2424" ht="15.6" spans="4:11">
      <c r="D2424" s="3">
        <v>8328</v>
      </c>
      <c r="E2424" s="3" t="s">
        <v>216</v>
      </c>
      <c r="J2424" s="3" t="s">
        <v>2666</v>
      </c>
      <c r="K2424" s="3" t="s">
        <v>216</v>
      </c>
    </row>
    <row r="2425" ht="15.6" spans="4:11">
      <c r="D2425" s="3">
        <v>8329</v>
      </c>
      <c r="E2425" s="3" t="s">
        <v>216</v>
      </c>
      <c r="J2425" s="3" t="s">
        <v>2667</v>
      </c>
      <c r="K2425" s="3" t="s">
        <v>216</v>
      </c>
    </row>
    <row r="2426" ht="15.6" spans="4:11">
      <c r="D2426" s="3">
        <v>8330</v>
      </c>
      <c r="E2426" s="3" t="s">
        <v>216</v>
      </c>
      <c r="J2426" s="3" t="s">
        <v>2668</v>
      </c>
      <c r="K2426" s="3" t="s">
        <v>216</v>
      </c>
    </row>
    <row r="2427" ht="15.6" spans="4:11">
      <c r="D2427" s="3">
        <v>8331</v>
      </c>
      <c r="E2427" s="3" t="s">
        <v>216</v>
      </c>
      <c r="J2427" s="3" t="s">
        <v>2669</v>
      </c>
      <c r="K2427" s="3" t="s">
        <v>216</v>
      </c>
    </row>
    <row r="2428" ht="15.6" spans="4:11">
      <c r="D2428" s="3">
        <v>8332</v>
      </c>
      <c r="E2428" s="3" t="s">
        <v>216</v>
      </c>
      <c r="J2428" s="3" t="s">
        <v>2670</v>
      </c>
      <c r="K2428" s="3" t="s">
        <v>216</v>
      </c>
    </row>
    <row r="2429" ht="15.6" spans="4:11">
      <c r="D2429" s="3">
        <v>8333</v>
      </c>
      <c r="E2429" s="3" t="s">
        <v>216</v>
      </c>
      <c r="J2429" s="3" t="s">
        <v>2671</v>
      </c>
      <c r="K2429" s="3" t="s">
        <v>216</v>
      </c>
    </row>
    <row r="2430" ht="15.6" spans="4:11">
      <c r="D2430" s="3">
        <v>8334</v>
      </c>
      <c r="E2430" s="3" t="s">
        <v>216</v>
      </c>
      <c r="J2430" s="3" t="s">
        <v>2672</v>
      </c>
      <c r="K2430" s="3" t="s">
        <v>216</v>
      </c>
    </row>
    <row r="2431" ht="15.6" spans="4:11">
      <c r="D2431" s="3">
        <v>8335</v>
      </c>
      <c r="E2431" s="3" t="s">
        <v>216</v>
      </c>
      <c r="J2431" s="3" t="s">
        <v>2673</v>
      </c>
      <c r="K2431" s="3" t="s">
        <v>216</v>
      </c>
    </row>
    <row r="2432" ht="15.6" spans="4:11">
      <c r="D2432" s="3">
        <v>8336</v>
      </c>
      <c r="E2432" s="3" t="s">
        <v>216</v>
      </c>
      <c r="J2432" s="3" t="s">
        <v>2674</v>
      </c>
      <c r="K2432" s="3" t="s">
        <v>216</v>
      </c>
    </row>
    <row r="2433" ht="15.6" spans="4:11">
      <c r="D2433" s="3">
        <v>8337</v>
      </c>
      <c r="E2433" s="3" t="s">
        <v>216</v>
      </c>
      <c r="J2433" s="3" t="s">
        <v>2675</v>
      </c>
      <c r="K2433" s="3" t="s">
        <v>216</v>
      </c>
    </row>
    <row r="2434" ht="15.6" spans="4:11">
      <c r="D2434" s="3">
        <v>8338</v>
      </c>
      <c r="E2434" s="3" t="s">
        <v>216</v>
      </c>
      <c r="J2434" s="3" t="s">
        <v>2676</v>
      </c>
      <c r="K2434" s="3" t="s">
        <v>216</v>
      </c>
    </row>
    <row r="2435" ht="15.6" spans="4:11">
      <c r="D2435" s="3">
        <v>8339</v>
      </c>
      <c r="E2435" s="3" t="s">
        <v>216</v>
      </c>
      <c r="J2435" s="3" t="s">
        <v>2677</v>
      </c>
      <c r="K2435" s="3" t="s">
        <v>216</v>
      </c>
    </row>
    <row r="2436" ht="15.6" spans="4:11">
      <c r="D2436" s="3">
        <v>8340</v>
      </c>
      <c r="E2436" s="3" t="s">
        <v>216</v>
      </c>
      <c r="J2436" s="3" t="s">
        <v>2678</v>
      </c>
      <c r="K2436" s="3" t="s">
        <v>216</v>
      </c>
    </row>
    <row r="2437" ht="15.6" spans="4:11">
      <c r="D2437" s="3">
        <v>8341</v>
      </c>
      <c r="E2437" s="3" t="s">
        <v>216</v>
      </c>
      <c r="J2437" s="3" t="s">
        <v>2679</v>
      </c>
      <c r="K2437" s="3" t="s">
        <v>216</v>
      </c>
    </row>
    <row r="2438" ht="15.6" spans="4:11">
      <c r="D2438" s="3">
        <v>8342</v>
      </c>
      <c r="E2438" s="3" t="s">
        <v>216</v>
      </c>
      <c r="J2438" s="3" t="s">
        <v>2680</v>
      </c>
      <c r="K2438" s="3" t="s">
        <v>216</v>
      </c>
    </row>
    <row r="2439" ht="15.6" spans="4:11">
      <c r="D2439" s="3">
        <v>8343</v>
      </c>
      <c r="E2439" s="3" t="s">
        <v>216</v>
      </c>
      <c r="J2439" s="3" t="s">
        <v>2681</v>
      </c>
      <c r="K2439" s="3" t="s">
        <v>216</v>
      </c>
    </row>
    <row r="2440" ht="15.6" spans="4:11">
      <c r="D2440" s="3">
        <v>8344</v>
      </c>
      <c r="E2440" s="3" t="s">
        <v>216</v>
      </c>
      <c r="J2440" s="3" t="s">
        <v>2682</v>
      </c>
      <c r="K2440" s="3" t="s">
        <v>216</v>
      </c>
    </row>
    <row r="2441" ht="15.6" spans="4:11">
      <c r="D2441" s="3">
        <v>8345</v>
      </c>
      <c r="E2441" s="3" t="s">
        <v>216</v>
      </c>
      <c r="J2441" s="3" t="s">
        <v>2683</v>
      </c>
      <c r="K2441" s="3" t="s">
        <v>216</v>
      </c>
    </row>
    <row r="2442" ht="15.6" spans="4:11">
      <c r="D2442" s="3">
        <v>8346</v>
      </c>
      <c r="E2442" s="3" t="s">
        <v>216</v>
      </c>
      <c r="J2442" s="3" t="s">
        <v>2684</v>
      </c>
      <c r="K2442" s="3" t="s">
        <v>216</v>
      </c>
    </row>
    <row r="2443" ht="15.6" spans="4:11">
      <c r="D2443" s="3">
        <v>8347</v>
      </c>
      <c r="E2443" s="3" t="s">
        <v>216</v>
      </c>
      <c r="J2443" s="3" t="s">
        <v>2685</v>
      </c>
      <c r="K2443" s="3" t="s">
        <v>216</v>
      </c>
    </row>
    <row r="2444" ht="15.6" spans="4:11">
      <c r="D2444" s="3">
        <v>8348</v>
      </c>
      <c r="E2444" s="3" t="s">
        <v>216</v>
      </c>
      <c r="J2444" s="3" t="s">
        <v>2686</v>
      </c>
      <c r="K2444" s="3" t="s">
        <v>216</v>
      </c>
    </row>
    <row r="2445" ht="15.6" spans="4:11">
      <c r="D2445" s="3">
        <v>8349</v>
      </c>
      <c r="E2445" s="3" t="s">
        <v>216</v>
      </c>
      <c r="J2445" s="3" t="s">
        <v>2687</v>
      </c>
      <c r="K2445" s="3" t="s">
        <v>216</v>
      </c>
    </row>
    <row r="2446" ht="15.6" spans="4:11">
      <c r="D2446" s="3">
        <v>8350</v>
      </c>
      <c r="E2446" s="3" t="s">
        <v>216</v>
      </c>
      <c r="J2446" s="3" t="s">
        <v>2688</v>
      </c>
      <c r="K2446" s="3" t="s">
        <v>216</v>
      </c>
    </row>
    <row r="2447" ht="15.6" spans="4:11">
      <c r="D2447" s="3">
        <v>8351</v>
      </c>
      <c r="E2447" s="3" t="s">
        <v>216</v>
      </c>
      <c r="J2447" s="3" t="s">
        <v>2689</v>
      </c>
      <c r="K2447" s="3" t="s">
        <v>216</v>
      </c>
    </row>
    <row r="2448" ht="15.6" spans="4:11">
      <c r="D2448" s="3">
        <v>8352</v>
      </c>
      <c r="E2448" s="3" t="s">
        <v>216</v>
      </c>
      <c r="J2448" s="3" t="s">
        <v>2690</v>
      </c>
      <c r="K2448" s="3" t="s">
        <v>216</v>
      </c>
    </row>
    <row r="2449" ht="15.6" spans="4:11">
      <c r="D2449" s="3">
        <v>8353</v>
      </c>
      <c r="E2449" s="3" t="s">
        <v>216</v>
      </c>
      <c r="J2449" s="3" t="s">
        <v>2691</v>
      </c>
      <c r="K2449" s="3" t="s">
        <v>216</v>
      </c>
    </row>
    <row r="2450" ht="15.6" spans="4:11">
      <c r="D2450" s="3">
        <v>8354</v>
      </c>
      <c r="E2450" s="3" t="s">
        <v>216</v>
      </c>
      <c r="J2450" s="3" t="s">
        <v>2692</v>
      </c>
      <c r="K2450" s="3" t="s">
        <v>216</v>
      </c>
    </row>
    <row r="2451" ht="15.6" spans="4:11">
      <c r="D2451" s="3">
        <v>8355</v>
      </c>
      <c r="E2451" s="3" t="s">
        <v>216</v>
      </c>
      <c r="J2451" s="3" t="s">
        <v>2693</v>
      </c>
      <c r="K2451" s="3" t="s">
        <v>216</v>
      </c>
    </row>
    <row r="2452" ht="15.6" spans="4:11">
      <c r="D2452" s="3">
        <v>8356</v>
      </c>
      <c r="E2452" s="3" t="s">
        <v>216</v>
      </c>
      <c r="J2452" s="3" t="s">
        <v>2694</v>
      </c>
      <c r="K2452" s="3" t="s">
        <v>216</v>
      </c>
    </row>
    <row r="2453" ht="15.6" spans="4:11">
      <c r="D2453" s="3">
        <v>8357</v>
      </c>
      <c r="E2453" s="3" t="s">
        <v>216</v>
      </c>
      <c r="J2453" s="3" t="s">
        <v>2695</v>
      </c>
      <c r="K2453" s="3" t="s">
        <v>216</v>
      </c>
    </row>
    <row r="2454" ht="15.6" spans="4:11">
      <c r="D2454" s="3">
        <v>8358</v>
      </c>
      <c r="E2454" s="3" t="s">
        <v>216</v>
      </c>
      <c r="J2454" s="3" t="s">
        <v>2696</v>
      </c>
      <c r="K2454" s="3" t="s">
        <v>216</v>
      </c>
    </row>
    <row r="2455" ht="15.6" spans="4:11">
      <c r="D2455" s="3">
        <v>8359</v>
      </c>
      <c r="E2455" s="3" t="s">
        <v>216</v>
      </c>
      <c r="J2455" s="3" t="s">
        <v>2697</v>
      </c>
      <c r="K2455" s="3" t="s">
        <v>216</v>
      </c>
    </row>
    <row r="2456" ht="15.6" spans="4:11">
      <c r="D2456" s="3">
        <v>8360</v>
      </c>
      <c r="E2456" s="3" t="s">
        <v>216</v>
      </c>
      <c r="J2456" s="3" t="s">
        <v>2698</v>
      </c>
      <c r="K2456" s="3" t="s">
        <v>216</v>
      </c>
    </row>
    <row r="2457" ht="15.6" spans="4:11">
      <c r="D2457" s="3">
        <v>8361</v>
      </c>
      <c r="E2457" s="3" t="s">
        <v>216</v>
      </c>
      <c r="J2457" s="3" t="s">
        <v>2699</v>
      </c>
      <c r="K2457" s="3" t="s">
        <v>216</v>
      </c>
    </row>
    <row r="2458" ht="15.6" spans="4:11">
      <c r="D2458" s="3">
        <v>8362</v>
      </c>
      <c r="E2458" s="3" t="s">
        <v>216</v>
      </c>
      <c r="J2458" s="3" t="s">
        <v>2700</v>
      </c>
      <c r="K2458" s="3" t="s">
        <v>216</v>
      </c>
    </row>
    <row r="2459" ht="15.6" spans="4:11">
      <c r="D2459" s="3">
        <v>8363</v>
      </c>
      <c r="E2459" s="3" t="s">
        <v>216</v>
      </c>
      <c r="J2459" s="3" t="s">
        <v>2701</v>
      </c>
      <c r="K2459" s="3" t="s">
        <v>216</v>
      </c>
    </row>
    <row r="2460" ht="15.6" spans="4:11">
      <c r="D2460" s="3">
        <v>8364</v>
      </c>
      <c r="E2460" s="3" t="s">
        <v>216</v>
      </c>
      <c r="J2460" s="3" t="s">
        <v>2702</v>
      </c>
      <c r="K2460" s="3" t="s">
        <v>216</v>
      </c>
    </row>
    <row r="2461" ht="15.6" spans="4:11">
      <c r="D2461" s="3">
        <v>8365</v>
      </c>
      <c r="E2461" s="3" t="s">
        <v>216</v>
      </c>
      <c r="J2461" s="3" t="s">
        <v>2703</v>
      </c>
      <c r="K2461" s="3" t="s">
        <v>216</v>
      </c>
    </row>
    <row r="2462" ht="15.6" spans="4:11">
      <c r="D2462" s="3">
        <v>8366</v>
      </c>
      <c r="E2462" s="3" t="s">
        <v>216</v>
      </c>
      <c r="J2462" s="3" t="s">
        <v>2704</v>
      </c>
      <c r="K2462" s="3" t="s">
        <v>216</v>
      </c>
    </row>
    <row r="2463" ht="15.6" spans="4:11">
      <c r="D2463" s="3">
        <v>8367</v>
      </c>
      <c r="E2463" s="3" t="s">
        <v>216</v>
      </c>
      <c r="J2463" s="3" t="s">
        <v>2705</v>
      </c>
      <c r="K2463" s="3" t="s">
        <v>216</v>
      </c>
    </row>
    <row r="2464" ht="15.6" spans="4:11">
      <c r="D2464" s="3">
        <v>8368</v>
      </c>
      <c r="E2464" s="3" t="s">
        <v>216</v>
      </c>
      <c r="J2464" s="3" t="s">
        <v>2706</v>
      </c>
      <c r="K2464" s="3" t="s">
        <v>216</v>
      </c>
    </row>
    <row r="2465" ht="15.6" spans="4:11">
      <c r="D2465" s="3">
        <v>8369</v>
      </c>
      <c r="E2465" s="3" t="s">
        <v>216</v>
      </c>
      <c r="J2465" s="3" t="s">
        <v>2707</v>
      </c>
      <c r="K2465" s="3" t="s">
        <v>216</v>
      </c>
    </row>
    <row r="2466" ht="15.6" spans="4:11">
      <c r="D2466" s="3">
        <v>8370</v>
      </c>
      <c r="E2466" s="3" t="s">
        <v>216</v>
      </c>
      <c r="J2466" s="3" t="s">
        <v>2708</v>
      </c>
      <c r="K2466" s="3" t="s">
        <v>216</v>
      </c>
    </row>
    <row r="2467" ht="15.6" spans="4:11">
      <c r="D2467" s="3">
        <v>8371</v>
      </c>
      <c r="E2467" s="3" t="s">
        <v>216</v>
      </c>
      <c r="J2467" s="3" t="s">
        <v>2709</v>
      </c>
      <c r="K2467" s="3" t="s">
        <v>216</v>
      </c>
    </row>
    <row r="2468" ht="15.6" spans="4:11">
      <c r="D2468" s="3">
        <v>8372</v>
      </c>
      <c r="E2468" s="3" t="s">
        <v>216</v>
      </c>
      <c r="J2468" s="3" t="s">
        <v>2710</v>
      </c>
      <c r="K2468" s="3" t="s">
        <v>216</v>
      </c>
    </row>
    <row r="2469" ht="15.6" spans="4:11">
      <c r="D2469" s="3">
        <v>8373</v>
      </c>
      <c r="E2469" s="3" t="s">
        <v>216</v>
      </c>
      <c r="J2469" s="3" t="s">
        <v>2711</v>
      </c>
      <c r="K2469" s="3" t="s">
        <v>216</v>
      </c>
    </row>
    <row r="2470" ht="15.6" spans="4:11">
      <c r="D2470" s="3">
        <v>8374</v>
      </c>
      <c r="E2470" s="3" t="s">
        <v>216</v>
      </c>
      <c r="J2470" s="3" t="s">
        <v>2712</v>
      </c>
      <c r="K2470" s="3" t="s">
        <v>216</v>
      </c>
    </row>
    <row r="2471" ht="15.6" spans="4:11">
      <c r="D2471" s="3">
        <v>8375</v>
      </c>
      <c r="E2471" s="3" t="s">
        <v>216</v>
      </c>
      <c r="J2471" s="3" t="s">
        <v>2713</v>
      </c>
      <c r="K2471" s="3" t="s">
        <v>216</v>
      </c>
    </row>
    <row r="2472" ht="15.6" spans="4:11">
      <c r="D2472" s="3">
        <v>8376</v>
      </c>
      <c r="E2472" s="3" t="s">
        <v>216</v>
      </c>
      <c r="J2472" s="3" t="s">
        <v>2714</v>
      </c>
      <c r="K2472" s="3" t="s">
        <v>216</v>
      </c>
    </row>
    <row r="2473" ht="15.6" spans="4:11">
      <c r="D2473" s="3">
        <v>8377</v>
      </c>
      <c r="E2473" s="3" t="s">
        <v>216</v>
      </c>
      <c r="J2473" s="3" t="s">
        <v>2715</v>
      </c>
      <c r="K2473" s="3" t="s">
        <v>216</v>
      </c>
    </row>
    <row r="2474" ht="15.6" spans="4:11">
      <c r="D2474" s="3">
        <v>8378</v>
      </c>
      <c r="E2474" s="3" t="s">
        <v>216</v>
      </c>
      <c r="J2474" s="3" t="s">
        <v>2716</v>
      </c>
      <c r="K2474" s="3" t="s">
        <v>216</v>
      </c>
    </row>
    <row r="2475" ht="15.6" spans="4:11">
      <c r="D2475" s="3">
        <v>8379</v>
      </c>
      <c r="E2475" s="3" t="s">
        <v>216</v>
      </c>
      <c r="J2475" s="3" t="s">
        <v>2717</v>
      </c>
      <c r="K2475" s="3" t="s">
        <v>216</v>
      </c>
    </row>
    <row r="2476" ht="15.6" spans="4:11">
      <c r="D2476" s="3">
        <v>8380</v>
      </c>
      <c r="E2476" s="3" t="s">
        <v>216</v>
      </c>
      <c r="J2476" s="3" t="s">
        <v>2718</v>
      </c>
      <c r="K2476" s="3" t="s">
        <v>216</v>
      </c>
    </row>
    <row r="2477" ht="15.6" spans="4:11">
      <c r="D2477" s="3">
        <v>8381</v>
      </c>
      <c r="E2477" s="3" t="s">
        <v>216</v>
      </c>
      <c r="J2477" s="3" t="s">
        <v>2719</v>
      </c>
      <c r="K2477" s="3" t="s">
        <v>216</v>
      </c>
    </row>
    <row r="2478" ht="15.6" spans="4:11">
      <c r="D2478" s="3">
        <v>8382</v>
      </c>
      <c r="E2478" s="3" t="s">
        <v>216</v>
      </c>
      <c r="J2478" s="3" t="s">
        <v>2720</v>
      </c>
      <c r="K2478" s="3" t="s">
        <v>216</v>
      </c>
    </row>
    <row r="2479" ht="15.6" spans="4:11">
      <c r="D2479" s="3">
        <v>8383</v>
      </c>
      <c r="E2479" s="3" t="s">
        <v>216</v>
      </c>
      <c r="J2479" s="3" t="s">
        <v>2721</v>
      </c>
      <c r="K2479" s="3" t="s">
        <v>216</v>
      </c>
    </row>
    <row r="2480" ht="15.6" spans="4:11">
      <c r="D2480" s="3">
        <v>8384</v>
      </c>
      <c r="E2480" s="3" t="s">
        <v>216</v>
      </c>
      <c r="J2480" s="3" t="s">
        <v>2722</v>
      </c>
      <c r="K2480" s="3" t="s">
        <v>216</v>
      </c>
    </row>
    <row r="2481" ht="15.6" spans="4:11">
      <c r="D2481" s="3">
        <v>8385</v>
      </c>
      <c r="E2481" s="3" t="s">
        <v>216</v>
      </c>
      <c r="J2481" s="3" t="s">
        <v>2723</v>
      </c>
      <c r="K2481" s="3" t="s">
        <v>216</v>
      </c>
    </row>
    <row r="2482" ht="15.6" spans="4:11">
      <c r="D2482" s="3">
        <v>8386</v>
      </c>
      <c r="E2482" s="3" t="s">
        <v>216</v>
      </c>
      <c r="J2482" s="3" t="s">
        <v>2724</v>
      </c>
      <c r="K2482" s="3" t="s">
        <v>216</v>
      </c>
    </row>
    <row r="2483" ht="15.6" spans="4:11">
      <c r="D2483" s="3">
        <v>8387</v>
      </c>
      <c r="E2483" s="3" t="s">
        <v>216</v>
      </c>
      <c r="J2483" s="3" t="s">
        <v>2725</v>
      </c>
      <c r="K2483" s="3" t="s">
        <v>216</v>
      </c>
    </row>
    <row r="2484" ht="15.6" spans="4:11">
      <c r="D2484" s="3">
        <v>8388</v>
      </c>
      <c r="E2484" s="3" t="s">
        <v>216</v>
      </c>
      <c r="J2484" s="3" t="s">
        <v>2726</v>
      </c>
      <c r="K2484" s="3" t="s">
        <v>216</v>
      </c>
    </row>
    <row r="2485" ht="15.6" spans="4:11">
      <c r="D2485" s="3">
        <v>8389</v>
      </c>
      <c r="E2485" s="3" t="s">
        <v>216</v>
      </c>
      <c r="J2485" s="3" t="s">
        <v>2727</v>
      </c>
      <c r="K2485" s="3" t="s">
        <v>216</v>
      </c>
    </row>
    <row r="2486" ht="15.6" spans="4:11">
      <c r="D2486" s="3">
        <v>8390</v>
      </c>
      <c r="E2486" s="3" t="s">
        <v>216</v>
      </c>
      <c r="J2486" s="3" t="s">
        <v>2728</v>
      </c>
      <c r="K2486" s="3" t="s">
        <v>216</v>
      </c>
    </row>
    <row r="2487" ht="15.6" spans="4:11">
      <c r="D2487" s="3">
        <v>8391</v>
      </c>
      <c r="E2487" s="3" t="s">
        <v>216</v>
      </c>
      <c r="J2487" s="3" t="s">
        <v>2729</v>
      </c>
      <c r="K2487" s="3" t="s">
        <v>216</v>
      </c>
    </row>
    <row r="2488" ht="15.6" spans="4:11">
      <c r="D2488" s="3">
        <v>8392</v>
      </c>
      <c r="E2488" s="3" t="s">
        <v>216</v>
      </c>
      <c r="J2488" s="3" t="s">
        <v>2730</v>
      </c>
      <c r="K2488" s="3" t="s">
        <v>216</v>
      </c>
    </row>
    <row r="2489" ht="15.6" spans="4:11">
      <c r="D2489" s="3">
        <v>8393</v>
      </c>
      <c r="E2489" s="3" t="s">
        <v>216</v>
      </c>
      <c r="J2489" s="3" t="s">
        <v>2731</v>
      </c>
      <c r="K2489" s="3" t="s">
        <v>216</v>
      </c>
    </row>
    <row r="2490" ht="15.6" spans="4:11">
      <c r="D2490" s="3">
        <v>8394</v>
      </c>
      <c r="E2490" s="3" t="s">
        <v>216</v>
      </c>
      <c r="J2490" s="3" t="s">
        <v>2732</v>
      </c>
      <c r="K2490" s="3" t="s">
        <v>216</v>
      </c>
    </row>
    <row r="2491" ht="15.6" spans="4:11">
      <c r="D2491" s="3">
        <v>8395</v>
      </c>
      <c r="E2491" s="3" t="s">
        <v>216</v>
      </c>
      <c r="J2491" s="3" t="s">
        <v>2733</v>
      </c>
      <c r="K2491" s="3" t="s">
        <v>216</v>
      </c>
    </row>
    <row r="2492" ht="15.6" spans="4:11">
      <c r="D2492" s="3">
        <v>8396</v>
      </c>
      <c r="E2492" s="3" t="s">
        <v>216</v>
      </c>
      <c r="J2492" s="3" t="s">
        <v>2734</v>
      </c>
      <c r="K2492" s="3" t="s">
        <v>216</v>
      </c>
    </row>
    <row r="2493" ht="15.6" spans="4:11">
      <c r="D2493" s="3">
        <v>8397</v>
      </c>
      <c r="E2493" s="3" t="s">
        <v>216</v>
      </c>
      <c r="J2493" s="3" t="s">
        <v>2735</v>
      </c>
      <c r="K2493" s="3" t="s">
        <v>216</v>
      </c>
    </row>
    <row r="2494" ht="15.6" spans="4:11">
      <c r="D2494" s="3">
        <v>8398</v>
      </c>
      <c r="E2494" s="3" t="s">
        <v>216</v>
      </c>
      <c r="J2494" s="3" t="s">
        <v>2736</v>
      </c>
      <c r="K2494" s="3" t="s">
        <v>216</v>
      </c>
    </row>
    <row r="2495" ht="15.6" spans="4:11">
      <c r="D2495" s="3">
        <v>8399</v>
      </c>
      <c r="E2495" s="3" t="s">
        <v>216</v>
      </c>
      <c r="J2495" s="3" t="s">
        <v>2737</v>
      </c>
      <c r="K2495" s="3" t="s">
        <v>216</v>
      </c>
    </row>
    <row r="2496" ht="15.6" spans="4:11">
      <c r="D2496" s="3">
        <v>8400</v>
      </c>
      <c r="E2496" s="3" t="s">
        <v>216</v>
      </c>
      <c r="J2496" s="3" t="s">
        <v>2738</v>
      </c>
      <c r="K2496" s="3" t="s">
        <v>216</v>
      </c>
    </row>
    <row r="2497" ht="15.6" spans="4:11">
      <c r="D2497" s="3">
        <v>8401</v>
      </c>
      <c r="E2497" s="3" t="s">
        <v>216</v>
      </c>
      <c r="J2497" s="3" t="s">
        <v>2739</v>
      </c>
      <c r="K2497" s="3" t="s">
        <v>216</v>
      </c>
    </row>
    <row r="2498" ht="15.6" spans="4:11">
      <c r="D2498" s="3">
        <v>8402</v>
      </c>
      <c r="E2498" s="3" t="s">
        <v>216</v>
      </c>
      <c r="J2498" s="3" t="s">
        <v>2740</v>
      </c>
      <c r="K2498" s="3" t="s">
        <v>216</v>
      </c>
    </row>
    <row r="2499" ht="15.6" spans="4:11">
      <c r="D2499" s="3">
        <v>8403</v>
      </c>
      <c r="E2499" s="3" t="s">
        <v>216</v>
      </c>
      <c r="J2499" s="3" t="s">
        <v>2741</v>
      </c>
      <c r="K2499" s="3" t="s">
        <v>216</v>
      </c>
    </row>
    <row r="2500" ht="15.6" spans="4:11">
      <c r="D2500" s="3">
        <v>8404</v>
      </c>
      <c r="E2500" s="3" t="s">
        <v>216</v>
      </c>
      <c r="J2500" s="3" t="s">
        <v>2742</v>
      </c>
      <c r="K2500" s="3" t="s">
        <v>216</v>
      </c>
    </row>
    <row r="2501" ht="15.6" spans="4:11">
      <c r="D2501" s="3">
        <v>8405</v>
      </c>
      <c r="E2501" s="3" t="s">
        <v>216</v>
      </c>
      <c r="J2501" s="3" t="s">
        <v>2743</v>
      </c>
      <c r="K2501" s="3" t="s">
        <v>216</v>
      </c>
    </row>
    <row r="2502" ht="15.6" spans="4:11">
      <c r="D2502" s="3">
        <v>8406</v>
      </c>
      <c r="E2502" s="3" t="s">
        <v>216</v>
      </c>
      <c r="J2502" s="3" t="s">
        <v>2744</v>
      </c>
      <c r="K2502" s="3" t="s">
        <v>216</v>
      </c>
    </row>
    <row r="2503" ht="15.6" spans="4:11">
      <c r="D2503" s="3">
        <v>8407</v>
      </c>
      <c r="E2503" s="3" t="s">
        <v>216</v>
      </c>
      <c r="J2503" s="3" t="s">
        <v>2745</v>
      </c>
      <c r="K2503" s="3" t="s">
        <v>216</v>
      </c>
    </row>
    <row r="2504" ht="15.6" spans="4:11">
      <c r="D2504" s="3">
        <v>8408</v>
      </c>
      <c r="E2504" s="3" t="s">
        <v>216</v>
      </c>
      <c r="J2504" s="3" t="s">
        <v>2746</v>
      </c>
      <c r="K2504" s="3" t="s">
        <v>216</v>
      </c>
    </row>
    <row r="2505" ht="15.6" spans="4:11">
      <c r="D2505" s="3">
        <v>8409</v>
      </c>
      <c r="E2505" s="3" t="s">
        <v>216</v>
      </c>
      <c r="J2505" s="3" t="s">
        <v>2747</v>
      </c>
      <c r="K2505" s="3" t="s">
        <v>216</v>
      </c>
    </row>
    <row r="2506" ht="15.6" spans="4:11">
      <c r="D2506" s="3">
        <v>8410</v>
      </c>
      <c r="E2506" s="3" t="s">
        <v>216</v>
      </c>
      <c r="J2506" s="3" t="s">
        <v>2748</v>
      </c>
      <c r="K2506" s="3" t="s">
        <v>216</v>
      </c>
    </row>
    <row r="2507" ht="15.6" spans="4:11">
      <c r="D2507" s="3">
        <v>8411</v>
      </c>
      <c r="E2507" s="3" t="s">
        <v>216</v>
      </c>
      <c r="J2507" s="3" t="s">
        <v>2749</v>
      </c>
      <c r="K2507" s="3" t="s">
        <v>216</v>
      </c>
    </row>
    <row r="2508" ht="15.6" spans="4:11">
      <c r="D2508" s="3">
        <v>8412</v>
      </c>
      <c r="E2508" s="3" t="s">
        <v>216</v>
      </c>
      <c r="J2508" s="3" t="s">
        <v>2750</v>
      </c>
      <c r="K2508" s="3" t="s">
        <v>216</v>
      </c>
    </row>
    <row r="2509" ht="15.6" spans="4:11">
      <c r="D2509" s="3">
        <v>8413</v>
      </c>
      <c r="E2509" s="3" t="s">
        <v>216</v>
      </c>
      <c r="J2509" s="3" t="s">
        <v>2751</v>
      </c>
      <c r="K2509" s="3" t="s">
        <v>216</v>
      </c>
    </row>
    <row r="2510" ht="15.6" spans="4:11">
      <c r="D2510" s="3">
        <v>8414</v>
      </c>
      <c r="E2510" s="3" t="s">
        <v>216</v>
      </c>
      <c r="J2510" s="3" t="s">
        <v>2752</v>
      </c>
      <c r="K2510" s="3" t="s">
        <v>216</v>
      </c>
    </row>
    <row r="2511" ht="15.6" spans="4:11">
      <c r="D2511" s="3">
        <v>8415</v>
      </c>
      <c r="E2511" s="3" t="s">
        <v>216</v>
      </c>
      <c r="J2511" s="3" t="s">
        <v>2753</v>
      </c>
      <c r="K2511" s="3" t="s">
        <v>216</v>
      </c>
    </row>
    <row r="2512" ht="15.6" spans="4:11">
      <c r="D2512" s="3">
        <v>8416</v>
      </c>
      <c r="E2512" s="3" t="s">
        <v>216</v>
      </c>
      <c r="J2512" s="3" t="s">
        <v>2754</v>
      </c>
      <c r="K2512" s="3" t="s">
        <v>216</v>
      </c>
    </row>
    <row r="2513" ht="15.6" spans="4:11">
      <c r="D2513" s="3">
        <v>8417</v>
      </c>
      <c r="E2513" s="3" t="s">
        <v>216</v>
      </c>
      <c r="J2513" s="3" t="s">
        <v>2755</v>
      </c>
      <c r="K2513" s="3" t="s">
        <v>216</v>
      </c>
    </row>
    <row r="2514" ht="15.6" spans="4:11">
      <c r="D2514" s="3">
        <v>8418</v>
      </c>
      <c r="E2514" s="3" t="s">
        <v>216</v>
      </c>
      <c r="J2514" s="3" t="s">
        <v>2756</v>
      </c>
      <c r="K2514" s="3" t="s">
        <v>216</v>
      </c>
    </row>
    <row r="2515" ht="15.6" spans="4:11">
      <c r="D2515" s="3">
        <v>8419</v>
      </c>
      <c r="E2515" s="3" t="s">
        <v>216</v>
      </c>
      <c r="J2515" s="3" t="s">
        <v>2757</v>
      </c>
      <c r="K2515" s="3" t="s">
        <v>216</v>
      </c>
    </row>
    <row r="2516" ht="15.6" spans="4:11">
      <c r="D2516" s="3">
        <v>8420</v>
      </c>
      <c r="E2516" s="3" t="s">
        <v>216</v>
      </c>
      <c r="J2516" s="3" t="s">
        <v>2758</v>
      </c>
      <c r="K2516" s="3" t="s">
        <v>216</v>
      </c>
    </row>
    <row r="2517" ht="15.6" spans="4:11">
      <c r="D2517" s="3">
        <v>8421</v>
      </c>
      <c r="E2517" s="3" t="s">
        <v>216</v>
      </c>
      <c r="J2517" s="3" t="s">
        <v>2759</v>
      </c>
      <c r="K2517" s="3" t="s">
        <v>216</v>
      </c>
    </row>
    <row r="2518" ht="15.6" spans="4:11">
      <c r="D2518" s="3">
        <v>8422</v>
      </c>
      <c r="E2518" s="3" t="s">
        <v>216</v>
      </c>
      <c r="J2518" s="3" t="s">
        <v>2760</v>
      </c>
      <c r="K2518" s="3" t="s">
        <v>216</v>
      </c>
    </row>
    <row r="2519" ht="15.6" spans="4:11">
      <c r="D2519" s="3">
        <v>8423</v>
      </c>
      <c r="E2519" s="3" t="s">
        <v>216</v>
      </c>
      <c r="J2519" s="3" t="s">
        <v>2761</v>
      </c>
      <c r="K2519" s="3" t="s">
        <v>216</v>
      </c>
    </row>
    <row r="2520" ht="15.6" spans="4:11">
      <c r="D2520" s="3">
        <v>8424</v>
      </c>
      <c r="E2520" s="3" t="s">
        <v>216</v>
      </c>
      <c r="J2520" s="3" t="s">
        <v>2762</v>
      </c>
      <c r="K2520" s="3" t="s">
        <v>216</v>
      </c>
    </row>
    <row r="2521" ht="15.6" spans="4:11">
      <c r="D2521" s="3">
        <v>8425</v>
      </c>
      <c r="E2521" s="3" t="s">
        <v>216</v>
      </c>
      <c r="J2521" s="3" t="s">
        <v>2763</v>
      </c>
      <c r="K2521" s="3" t="s">
        <v>216</v>
      </c>
    </row>
    <row r="2522" ht="15.6" spans="4:11">
      <c r="D2522" s="3">
        <v>8426</v>
      </c>
      <c r="E2522" s="3" t="s">
        <v>216</v>
      </c>
      <c r="J2522" s="3" t="s">
        <v>2764</v>
      </c>
      <c r="K2522" s="3" t="s">
        <v>216</v>
      </c>
    </row>
    <row r="2523" ht="15.6" spans="4:11">
      <c r="D2523" s="3">
        <v>8427</v>
      </c>
      <c r="E2523" s="3" t="s">
        <v>216</v>
      </c>
      <c r="J2523" s="3" t="s">
        <v>2765</v>
      </c>
      <c r="K2523" s="3" t="s">
        <v>216</v>
      </c>
    </row>
    <row r="2524" ht="15.6" spans="4:11">
      <c r="D2524" s="3">
        <v>8428</v>
      </c>
      <c r="E2524" s="3" t="s">
        <v>216</v>
      </c>
      <c r="J2524" s="3" t="s">
        <v>2766</v>
      </c>
      <c r="K2524" s="3" t="s">
        <v>216</v>
      </c>
    </row>
    <row r="2525" ht="15.6" spans="4:11">
      <c r="D2525" s="3">
        <v>8429</v>
      </c>
      <c r="E2525" s="3" t="s">
        <v>216</v>
      </c>
      <c r="J2525" s="3" t="s">
        <v>2767</v>
      </c>
      <c r="K2525" s="3" t="s">
        <v>216</v>
      </c>
    </row>
    <row r="2526" ht="15.6" spans="4:11">
      <c r="D2526" s="3">
        <v>8430</v>
      </c>
      <c r="E2526" s="3" t="s">
        <v>216</v>
      </c>
      <c r="J2526" s="3" t="s">
        <v>2768</v>
      </c>
      <c r="K2526" s="3" t="s">
        <v>216</v>
      </c>
    </row>
    <row r="2527" ht="15.6" spans="4:11">
      <c r="D2527" s="3">
        <v>8431</v>
      </c>
      <c r="E2527" s="3" t="s">
        <v>216</v>
      </c>
      <c r="J2527" s="3" t="s">
        <v>2769</v>
      </c>
      <c r="K2527" s="3" t="s">
        <v>216</v>
      </c>
    </row>
    <row r="2528" ht="15.6" spans="4:11">
      <c r="D2528" s="3">
        <v>8432</v>
      </c>
      <c r="E2528" s="3" t="s">
        <v>216</v>
      </c>
      <c r="J2528" s="3" t="s">
        <v>2770</v>
      </c>
      <c r="K2528" s="3" t="s">
        <v>216</v>
      </c>
    </row>
    <row r="2529" ht="15.6" spans="4:11">
      <c r="D2529" s="3">
        <v>8433</v>
      </c>
      <c r="E2529" s="3" t="s">
        <v>216</v>
      </c>
      <c r="J2529" s="3" t="s">
        <v>2771</v>
      </c>
      <c r="K2529" s="3" t="s">
        <v>216</v>
      </c>
    </row>
    <row r="2530" ht="15.6" spans="4:11">
      <c r="D2530" s="3">
        <v>8434</v>
      </c>
      <c r="E2530" s="3" t="s">
        <v>216</v>
      </c>
      <c r="J2530" s="3" t="s">
        <v>2772</v>
      </c>
      <c r="K2530" s="3" t="s">
        <v>216</v>
      </c>
    </row>
    <row r="2531" ht="15.6" spans="4:11">
      <c r="D2531" s="3">
        <v>8435</v>
      </c>
      <c r="E2531" s="3" t="s">
        <v>216</v>
      </c>
      <c r="J2531" s="3" t="s">
        <v>2773</v>
      </c>
      <c r="K2531" s="3" t="s">
        <v>216</v>
      </c>
    </row>
    <row r="2532" ht="15.6" spans="4:11">
      <c r="D2532" s="3">
        <v>8436</v>
      </c>
      <c r="E2532" s="3" t="s">
        <v>216</v>
      </c>
      <c r="J2532" s="3" t="s">
        <v>2774</v>
      </c>
      <c r="K2532" s="3" t="s">
        <v>216</v>
      </c>
    </row>
    <row r="2533" ht="15.6" spans="4:11">
      <c r="D2533" s="3">
        <v>8437</v>
      </c>
      <c r="E2533" s="3" t="s">
        <v>216</v>
      </c>
      <c r="J2533" s="3" t="s">
        <v>2775</v>
      </c>
      <c r="K2533" s="3" t="s">
        <v>216</v>
      </c>
    </row>
    <row r="2534" ht="15.6" spans="4:11">
      <c r="D2534" s="3">
        <v>8438</v>
      </c>
      <c r="E2534" s="3" t="s">
        <v>216</v>
      </c>
      <c r="J2534" s="3" t="s">
        <v>2776</v>
      </c>
      <c r="K2534" s="3" t="s">
        <v>216</v>
      </c>
    </row>
    <row r="2535" ht="15.6" spans="4:11">
      <c r="D2535" s="3">
        <v>8439</v>
      </c>
      <c r="E2535" s="3" t="s">
        <v>216</v>
      </c>
      <c r="J2535" s="3" t="s">
        <v>2777</v>
      </c>
      <c r="K2535" s="3" t="s">
        <v>216</v>
      </c>
    </row>
    <row r="2536" ht="15.6" spans="4:11">
      <c r="D2536" s="3">
        <v>8440</v>
      </c>
      <c r="E2536" s="3" t="s">
        <v>216</v>
      </c>
      <c r="J2536" s="3" t="s">
        <v>2778</v>
      </c>
      <c r="K2536" s="3" t="s">
        <v>216</v>
      </c>
    </row>
    <row r="2537" ht="15.6" spans="4:11">
      <c r="D2537" s="3">
        <v>8441</v>
      </c>
      <c r="E2537" s="3" t="s">
        <v>216</v>
      </c>
      <c r="J2537" s="3" t="s">
        <v>2779</v>
      </c>
      <c r="K2537" s="3" t="s">
        <v>216</v>
      </c>
    </row>
    <row r="2538" ht="15.6" spans="4:11">
      <c r="D2538" s="3">
        <v>8442</v>
      </c>
      <c r="E2538" s="3" t="s">
        <v>216</v>
      </c>
      <c r="J2538" s="3" t="s">
        <v>2780</v>
      </c>
      <c r="K2538" s="3" t="s">
        <v>216</v>
      </c>
    </row>
    <row r="2539" ht="15.6" spans="4:11">
      <c r="D2539" s="3">
        <v>8443</v>
      </c>
      <c r="E2539" s="3" t="s">
        <v>216</v>
      </c>
      <c r="J2539" s="3" t="s">
        <v>2781</v>
      </c>
      <c r="K2539" s="3" t="s">
        <v>216</v>
      </c>
    </row>
    <row r="2540" ht="15.6" spans="4:11">
      <c r="D2540" s="3">
        <v>8444</v>
      </c>
      <c r="E2540" s="3" t="s">
        <v>216</v>
      </c>
      <c r="J2540" s="3" t="s">
        <v>2782</v>
      </c>
      <c r="K2540" s="3" t="s">
        <v>216</v>
      </c>
    </row>
    <row r="2541" ht="15.6" spans="4:11">
      <c r="D2541" s="3">
        <v>8445</v>
      </c>
      <c r="E2541" s="3" t="s">
        <v>216</v>
      </c>
      <c r="J2541" s="3" t="s">
        <v>2783</v>
      </c>
      <c r="K2541" s="3" t="s">
        <v>216</v>
      </c>
    </row>
    <row r="2542" ht="15.6" spans="4:11">
      <c r="D2542" s="3">
        <v>8446</v>
      </c>
      <c r="E2542" s="3" t="s">
        <v>216</v>
      </c>
      <c r="J2542" s="3" t="s">
        <v>2784</v>
      </c>
      <c r="K2542" s="3" t="s">
        <v>216</v>
      </c>
    </row>
    <row r="2543" ht="15.6" spans="4:11">
      <c r="D2543" s="3">
        <v>8447</v>
      </c>
      <c r="E2543" s="3" t="s">
        <v>216</v>
      </c>
      <c r="J2543" s="3" t="s">
        <v>2785</v>
      </c>
      <c r="K2543" s="3" t="s">
        <v>216</v>
      </c>
    </row>
    <row r="2544" ht="15.6" spans="4:11">
      <c r="D2544" s="3">
        <v>8448</v>
      </c>
      <c r="E2544" s="3" t="s">
        <v>216</v>
      </c>
      <c r="J2544" s="3" t="s">
        <v>2786</v>
      </c>
      <c r="K2544" s="3" t="s">
        <v>216</v>
      </c>
    </row>
    <row r="2545" ht="15.6" spans="4:11">
      <c r="D2545" s="3">
        <v>8449</v>
      </c>
      <c r="E2545" s="3" t="s">
        <v>216</v>
      </c>
      <c r="J2545" s="3" t="s">
        <v>2787</v>
      </c>
      <c r="K2545" s="3" t="s">
        <v>216</v>
      </c>
    </row>
    <row r="2546" ht="15.6" spans="4:11">
      <c r="D2546" s="3">
        <v>8450</v>
      </c>
      <c r="E2546" s="3" t="s">
        <v>216</v>
      </c>
      <c r="J2546" s="3" t="s">
        <v>2788</v>
      </c>
      <c r="K2546" s="3" t="s">
        <v>216</v>
      </c>
    </row>
    <row r="2547" ht="15.6" spans="4:11">
      <c r="D2547" s="3">
        <v>8451</v>
      </c>
      <c r="E2547" s="3" t="s">
        <v>216</v>
      </c>
      <c r="J2547" s="3" t="s">
        <v>2789</v>
      </c>
      <c r="K2547" s="3" t="s">
        <v>216</v>
      </c>
    </row>
    <row r="2548" ht="15.6" spans="4:11">
      <c r="D2548" s="3">
        <v>8452</v>
      </c>
      <c r="E2548" s="3" t="s">
        <v>216</v>
      </c>
      <c r="J2548" s="3" t="s">
        <v>2790</v>
      </c>
      <c r="K2548" s="3" t="s">
        <v>216</v>
      </c>
    </row>
    <row r="2549" ht="15.6" spans="4:11">
      <c r="D2549" s="3">
        <v>8453</v>
      </c>
      <c r="E2549" s="3" t="s">
        <v>216</v>
      </c>
      <c r="J2549" s="3" t="s">
        <v>2791</v>
      </c>
      <c r="K2549" s="3" t="s">
        <v>216</v>
      </c>
    </row>
    <row r="2550" ht="15.6" spans="4:11">
      <c r="D2550" s="3">
        <v>8454</v>
      </c>
      <c r="E2550" s="3" t="s">
        <v>216</v>
      </c>
      <c r="J2550" s="3" t="s">
        <v>2792</v>
      </c>
      <c r="K2550" s="3" t="s">
        <v>216</v>
      </c>
    </row>
    <row r="2551" ht="15.6" spans="4:11">
      <c r="D2551" s="3">
        <v>8455</v>
      </c>
      <c r="E2551" s="3" t="s">
        <v>216</v>
      </c>
      <c r="J2551" s="3" t="s">
        <v>2793</v>
      </c>
      <c r="K2551" s="3" t="s">
        <v>216</v>
      </c>
    </row>
    <row r="2552" ht="15.6" spans="4:11">
      <c r="D2552" s="3">
        <v>8456</v>
      </c>
      <c r="E2552" s="3" t="s">
        <v>216</v>
      </c>
      <c r="J2552" s="3" t="s">
        <v>2794</v>
      </c>
      <c r="K2552" s="3" t="s">
        <v>216</v>
      </c>
    </row>
    <row r="2553" ht="15.6" spans="4:11">
      <c r="D2553" s="3">
        <v>8457</v>
      </c>
      <c r="E2553" s="3" t="s">
        <v>216</v>
      </c>
      <c r="J2553" s="3" t="s">
        <v>2795</v>
      </c>
      <c r="K2553" s="3" t="s">
        <v>216</v>
      </c>
    </row>
    <row r="2554" ht="15.6" spans="4:11">
      <c r="D2554" s="3">
        <v>8458</v>
      </c>
      <c r="E2554" s="3" t="s">
        <v>216</v>
      </c>
      <c r="J2554" s="3" t="s">
        <v>2796</v>
      </c>
      <c r="K2554" s="3" t="s">
        <v>216</v>
      </c>
    </row>
    <row r="2555" ht="15.6" spans="4:11">
      <c r="D2555" s="3">
        <v>8459</v>
      </c>
      <c r="E2555" s="3" t="s">
        <v>216</v>
      </c>
      <c r="J2555" s="3" t="s">
        <v>2797</v>
      </c>
      <c r="K2555" s="3" t="s">
        <v>216</v>
      </c>
    </row>
    <row r="2556" ht="15.6" spans="4:11">
      <c r="D2556" s="3">
        <v>8460</v>
      </c>
      <c r="E2556" s="3" t="s">
        <v>216</v>
      </c>
      <c r="J2556" s="3" t="s">
        <v>2798</v>
      </c>
      <c r="K2556" s="3" t="s">
        <v>216</v>
      </c>
    </row>
    <row r="2557" ht="15.6" spans="4:11">
      <c r="D2557" s="3">
        <v>8461</v>
      </c>
      <c r="E2557" s="3" t="s">
        <v>216</v>
      </c>
      <c r="J2557" s="3" t="s">
        <v>2799</v>
      </c>
      <c r="K2557" s="3" t="s">
        <v>216</v>
      </c>
    </row>
    <row r="2558" ht="15.6" spans="4:11">
      <c r="D2558" s="3">
        <v>8462</v>
      </c>
      <c r="E2558" s="3" t="s">
        <v>216</v>
      </c>
      <c r="J2558" s="3" t="s">
        <v>2800</v>
      </c>
      <c r="K2558" s="3" t="s">
        <v>216</v>
      </c>
    </row>
    <row r="2559" ht="15.6" spans="4:11">
      <c r="D2559" s="3">
        <v>8463</v>
      </c>
      <c r="E2559" s="3" t="s">
        <v>216</v>
      </c>
      <c r="J2559" s="3" t="s">
        <v>2801</v>
      </c>
      <c r="K2559" s="3" t="s">
        <v>216</v>
      </c>
    </row>
    <row r="2560" ht="15.6" spans="4:11">
      <c r="D2560" s="3">
        <v>8464</v>
      </c>
      <c r="E2560" s="3" t="s">
        <v>216</v>
      </c>
      <c r="J2560" s="3" t="s">
        <v>2802</v>
      </c>
      <c r="K2560" s="3" t="s">
        <v>216</v>
      </c>
    </row>
    <row r="2561" ht="15.6" spans="4:11">
      <c r="D2561" s="3">
        <v>8465</v>
      </c>
      <c r="E2561" s="3" t="s">
        <v>216</v>
      </c>
      <c r="J2561" s="3" t="s">
        <v>2803</v>
      </c>
      <c r="K2561" s="3" t="s">
        <v>216</v>
      </c>
    </row>
    <row r="2562" ht="15.6" spans="4:11">
      <c r="D2562" s="3">
        <v>8466</v>
      </c>
      <c r="E2562" s="3" t="s">
        <v>216</v>
      </c>
      <c r="J2562" s="3" t="s">
        <v>2804</v>
      </c>
      <c r="K2562" s="3" t="s">
        <v>216</v>
      </c>
    </row>
    <row r="2563" ht="15.6" spans="4:11">
      <c r="D2563" s="3">
        <v>8467</v>
      </c>
      <c r="E2563" s="3" t="s">
        <v>216</v>
      </c>
      <c r="J2563" s="3" t="s">
        <v>2805</v>
      </c>
      <c r="K2563" s="3" t="s">
        <v>216</v>
      </c>
    </row>
    <row r="2564" ht="15.6" spans="4:11">
      <c r="D2564" s="3">
        <v>8468</v>
      </c>
      <c r="E2564" s="3" t="s">
        <v>216</v>
      </c>
      <c r="J2564" s="3" t="s">
        <v>2806</v>
      </c>
      <c r="K2564" s="3" t="s">
        <v>216</v>
      </c>
    </row>
    <row r="2565" ht="15.6" spans="4:11">
      <c r="D2565" s="3">
        <v>8469</v>
      </c>
      <c r="E2565" s="3" t="s">
        <v>216</v>
      </c>
      <c r="J2565" s="3" t="s">
        <v>2807</v>
      </c>
      <c r="K2565" s="3" t="s">
        <v>216</v>
      </c>
    </row>
    <row r="2566" ht="15.6" spans="4:11">
      <c r="D2566" s="3">
        <v>8470</v>
      </c>
      <c r="E2566" s="3" t="s">
        <v>216</v>
      </c>
      <c r="J2566" s="3" t="s">
        <v>2808</v>
      </c>
      <c r="K2566" s="3" t="s">
        <v>216</v>
      </c>
    </row>
    <row r="2567" ht="15.6" spans="4:11">
      <c r="D2567" s="3">
        <v>8471</v>
      </c>
      <c r="E2567" s="3" t="s">
        <v>216</v>
      </c>
      <c r="J2567" s="3" t="s">
        <v>2809</v>
      </c>
      <c r="K2567" s="3" t="s">
        <v>216</v>
      </c>
    </row>
    <row r="2568" ht="15.6" spans="4:11">
      <c r="D2568" s="3">
        <v>8472</v>
      </c>
      <c r="E2568" s="3" t="s">
        <v>216</v>
      </c>
      <c r="J2568" s="3" t="s">
        <v>2810</v>
      </c>
      <c r="K2568" s="3" t="s">
        <v>216</v>
      </c>
    </row>
    <row r="2569" ht="15.6" spans="4:11">
      <c r="D2569" s="3">
        <v>8473</v>
      </c>
      <c r="E2569" s="3" t="s">
        <v>216</v>
      </c>
      <c r="J2569" s="3" t="s">
        <v>2811</v>
      </c>
      <c r="K2569" s="3" t="s">
        <v>216</v>
      </c>
    </row>
    <row r="2570" ht="15.6" spans="4:11">
      <c r="D2570" s="3">
        <v>8474</v>
      </c>
      <c r="E2570" s="3" t="s">
        <v>216</v>
      </c>
      <c r="J2570" s="3" t="s">
        <v>2812</v>
      </c>
      <c r="K2570" s="3" t="s">
        <v>216</v>
      </c>
    </row>
    <row r="2571" ht="15.6" spans="4:11">
      <c r="D2571" s="3">
        <v>8475</v>
      </c>
      <c r="E2571" s="3" t="s">
        <v>216</v>
      </c>
      <c r="J2571" s="3" t="s">
        <v>2813</v>
      </c>
      <c r="K2571" s="3" t="s">
        <v>216</v>
      </c>
    </row>
    <row r="2572" ht="15.6" spans="4:11">
      <c r="D2572" s="3">
        <v>8476</v>
      </c>
      <c r="E2572" s="3" t="s">
        <v>216</v>
      </c>
      <c r="J2572" s="3" t="s">
        <v>2814</v>
      </c>
      <c r="K2572" s="3" t="s">
        <v>216</v>
      </c>
    </row>
    <row r="2573" ht="15.6" spans="4:11">
      <c r="D2573" s="3">
        <v>8477</v>
      </c>
      <c r="E2573" s="3" t="s">
        <v>216</v>
      </c>
      <c r="J2573" s="3" t="s">
        <v>2815</v>
      </c>
      <c r="K2573" s="3" t="s">
        <v>216</v>
      </c>
    </row>
    <row r="2574" ht="15.6" spans="4:11">
      <c r="D2574" s="3">
        <v>8478</v>
      </c>
      <c r="E2574" s="3" t="s">
        <v>216</v>
      </c>
      <c r="J2574" s="3" t="s">
        <v>2816</v>
      </c>
      <c r="K2574" s="3" t="s">
        <v>216</v>
      </c>
    </row>
    <row r="2575" ht="15.6" spans="4:11">
      <c r="D2575" s="3">
        <v>8479</v>
      </c>
      <c r="E2575" s="3" t="s">
        <v>216</v>
      </c>
      <c r="J2575" s="3" t="s">
        <v>2817</v>
      </c>
      <c r="K2575" s="3" t="s">
        <v>216</v>
      </c>
    </row>
    <row r="2576" ht="15.6" spans="4:11">
      <c r="D2576" s="3">
        <v>8480</v>
      </c>
      <c r="E2576" s="3" t="s">
        <v>216</v>
      </c>
      <c r="J2576" s="3" t="s">
        <v>2818</v>
      </c>
      <c r="K2576" s="3" t="s">
        <v>216</v>
      </c>
    </row>
    <row r="2577" ht="15.6" spans="4:11">
      <c r="D2577" s="3">
        <v>8481</v>
      </c>
      <c r="E2577" s="3" t="s">
        <v>216</v>
      </c>
      <c r="J2577" s="3" t="s">
        <v>2819</v>
      </c>
      <c r="K2577" s="3" t="s">
        <v>216</v>
      </c>
    </row>
    <row r="2578" ht="15.6" spans="4:11">
      <c r="D2578" s="3">
        <v>8482</v>
      </c>
      <c r="E2578" s="3" t="s">
        <v>216</v>
      </c>
      <c r="J2578" s="3" t="s">
        <v>2820</v>
      </c>
      <c r="K2578" s="3" t="s">
        <v>216</v>
      </c>
    </row>
    <row r="2579" ht="15.6" spans="4:11">
      <c r="D2579" s="3">
        <v>8483</v>
      </c>
      <c r="E2579" s="3" t="s">
        <v>216</v>
      </c>
      <c r="J2579" s="3" t="s">
        <v>2821</v>
      </c>
      <c r="K2579" s="3" t="s">
        <v>216</v>
      </c>
    </row>
    <row r="2580" ht="15.6" spans="4:11">
      <c r="D2580" s="3">
        <v>8484</v>
      </c>
      <c r="E2580" s="3" t="s">
        <v>216</v>
      </c>
      <c r="J2580" s="3" t="s">
        <v>2822</v>
      </c>
      <c r="K2580" s="3" t="s">
        <v>216</v>
      </c>
    </row>
    <row r="2581" ht="15.6" spans="4:11">
      <c r="D2581" s="3">
        <v>8485</v>
      </c>
      <c r="E2581" s="3" t="s">
        <v>216</v>
      </c>
      <c r="J2581" s="3" t="s">
        <v>2823</v>
      </c>
      <c r="K2581" s="3" t="s">
        <v>216</v>
      </c>
    </row>
    <row r="2582" ht="15.6" spans="4:11">
      <c r="D2582" s="3">
        <v>8486</v>
      </c>
      <c r="E2582" s="3" t="s">
        <v>216</v>
      </c>
      <c r="J2582" s="3" t="s">
        <v>2824</v>
      </c>
      <c r="K2582" s="3" t="s">
        <v>216</v>
      </c>
    </row>
    <row r="2583" ht="15.6" spans="4:11">
      <c r="D2583" s="3">
        <v>8487</v>
      </c>
      <c r="E2583" s="3" t="s">
        <v>216</v>
      </c>
      <c r="J2583" s="3" t="s">
        <v>2825</v>
      </c>
      <c r="K2583" s="3" t="s">
        <v>216</v>
      </c>
    </row>
    <row r="2584" ht="15.6" spans="4:11">
      <c r="D2584" s="3">
        <v>8488</v>
      </c>
      <c r="E2584" s="3" t="s">
        <v>216</v>
      </c>
      <c r="J2584" s="3" t="s">
        <v>2826</v>
      </c>
      <c r="K2584" s="3" t="s">
        <v>216</v>
      </c>
    </row>
    <row r="2585" ht="15.6" spans="4:11">
      <c r="D2585" s="3">
        <v>8489</v>
      </c>
      <c r="E2585" s="3" t="s">
        <v>216</v>
      </c>
      <c r="J2585" s="3" t="s">
        <v>2827</v>
      </c>
      <c r="K2585" s="3" t="s">
        <v>216</v>
      </c>
    </row>
    <row r="2586" ht="15.6" spans="4:11">
      <c r="D2586" s="3">
        <v>8490</v>
      </c>
      <c r="E2586" s="3" t="s">
        <v>216</v>
      </c>
      <c r="J2586" s="3" t="s">
        <v>2828</v>
      </c>
      <c r="K2586" s="3" t="s">
        <v>216</v>
      </c>
    </row>
    <row r="2587" ht="15.6" spans="4:11">
      <c r="D2587" s="3">
        <v>8491</v>
      </c>
      <c r="E2587" s="3" t="s">
        <v>216</v>
      </c>
      <c r="J2587" s="3" t="s">
        <v>2829</v>
      </c>
      <c r="K2587" s="3" t="s">
        <v>216</v>
      </c>
    </row>
    <row r="2588" ht="15.6" spans="4:11">
      <c r="D2588" s="3">
        <v>8492</v>
      </c>
      <c r="E2588" s="3" t="s">
        <v>216</v>
      </c>
      <c r="J2588" s="3" t="s">
        <v>2830</v>
      </c>
      <c r="K2588" s="3" t="s">
        <v>216</v>
      </c>
    </row>
    <row r="2589" ht="15.6" spans="4:11">
      <c r="D2589" s="3">
        <v>8493</v>
      </c>
      <c r="E2589" s="3" t="s">
        <v>216</v>
      </c>
      <c r="J2589" s="3" t="s">
        <v>2831</v>
      </c>
      <c r="K2589" s="3" t="s">
        <v>216</v>
      </c>
    </row>
    <row r="2590" ht="15.6" spans="4:11">
      <c r="D2590" s="3">
        <v>8494</v>
      </c>
      <c r="E2590" s="3" t="s">
        <v>216</v>
      </c>
      <c r="J2590" s="3" t="s">
        <v>2832</v>
      </c>
      <c r="K2590" s="3" t="s">
        <v>216</v>
      </c>
    </row>
    <row r="2591" ht="15.6" spans="4:11">
      <c r="D2591" s="3">
        <v>8495</v>
      </c>
      <c r="E2591" s="3" t="s">
        <v>216</v>
      </c>
      <c r="J2591" s="3" t="s">
        <v>2833</v>
      </c>
      <c r="K2591" s="3" t="s">
        <v>216</v>
      </c>
    </row>
    <row r="2592" ht="15.6" spans="4:11">
      <c r="D2592" s="3">
        <v>8496</v>
      </c>
      <c r="E2592" s="3" t="s">
        <v>216</v>
      </c>
      <c r="J2592" s="3" t="s">
        <v>2834</v>
      </c>
      <c r="K2592" s="3" t="s">
        <v>216</v>
      </c>
    </row>
    <row r="2593" ht="15.6" spans="4:11">
      <c r="D2593" s="3">
        <v>8497</v>
      </c>
      <c r="E2593" s="3" t="s">
        <v>216</v>
      </c>
      <c r="J2593" s="3" t="s">
        <v>2835</v>
      </c>
      <c r="K2593" s="3" t="s">
        <v>216</v>
      </c>
    </row>
    <row r="2594" ht="15.6" spans="4:11">
      <c r="D2594" s="3">
        <v>8498</v>
      </c>
      <c r="E2594" s="3" t="s">
        <v>216</v>
      </c>
      <c r="J2594" s="3" t="s">
        <v>2836</v>
      </c>
      <c r="K2594" s="3" t="s">
        <v>216</v>
      </c>
    </row>
    <row r="2595" ht="15.6" spans="4:11">
      <c r="D2595" s="3">
        <v>8499</v>
      </c>
      <c r="E2595" s="3" t="s">
        <v>216</v>
      </c>
      <c r="J2595" s="3" t="s">
        <v>2837</v>
      </c>
      <c r="K2595" s="3" t="s">
        <v>216</v>
      </c>
    </row>
    <row r="2596" ht="15.6" spans="4:11">
      <c r="D2596" s="3">
        <v>8500</v>
      </c>
      <c r="E2596" s="3" t="s">
        <v>216</v>
      </c>
      <c r="J2596" s="3" t="s">
        <v>2838</v>
      </c>
      <c r="K2596" s="3" t="s">
        <v>216</v>
      </c>
    </row>
    <row r="2597" ht="15.6" spans="4:11">
      <c r="D2597" s="3">
        <v>8501</v>
      </c>
      <c r="E2597" s="3" t="s">
        <v>216</v>
      </c>
      <c r="J2597" s="3" t="s">
        <v>2839</v>
      </c>
      <c r="K2597" s="3" t="s">
        <v>216</v>
      </c>
    </row>
    <row r="2598" ht="15.6" spans="4:11">
      <c r="D2598" s="3">
        <v>8502</v>
      </c>
      <c r="E2598" s="3" t="s">
        <v>216</v>
      </c>
      <c r="J2598" s="3" t="s">
        <v>2840</v>
      </c>
      <c r="K2598" s="3" t="s">
        <v>216</v>
      </c>
    </row>
    <row r="2599" ht="15.6" spans="4:11">
      <c r="D2599" s="3">
        <v>8503</v>
      </c>
      <c r="E2599" s="3" t="s">
        <v>216</v>
      </c>
      <c r="J2599" s="3" t="s">
        <v>2841</v>
      </c>
      <c r="K2599" s="3" t="s">
        <v>216</v>
      </c>
    </row>
    <row r="2600" ht="15.6" spans="4:11">
      <c r="D2600" s="3">
        <v>8504</v>
      </c>
      <c r="E2600" s="3" t="s">
        <v>216</v>
      </c>
      <c r="J2600" s="3" t="s">
        <v>2842</v>
      </c>
      <c r="K2600" s="3" t="s">
        <v>216</v>
      </c>
    </row>
    <row r="2601" ht="15.6" spans="4:11">
      <c r="D2601" s="3">
        <v>8505</v>
      </c>
      <c r="E2601" s="3" t="s">
        <v>216</v>
      </c>
      <c r="J2601" s="3" t="s">
        <v>2843</v>
      </c>
      <c r="K2601" s="3" t="s">
        <v>216</v>
      </c>
    </row>
    <row r="2602" ht="15.6" spans="4:11">
      <c r="D2602" s="3">
        <v>8506</v>
      </c>
      <c r="E2602" s="3" t="s">
        <v>216</v>
      </c>
      <c r="J2602" s="3" t="s">
        <v>2844</v>
      </c>
      <c r="K2602" s="3" t="s">
        <v>216</v>
      </c>
    </row>
    <row r="2603" ht="15.6" spans="4:11">
      <c r="D2603" s="3">
        <v>8507</v>
      </c>
      <c r="E2603" s="3" t="s">
        <v>216</v>
      </c>
      <c r="J2603" s="3" t="s">
        <v>2845</v>
      </c>
      <c r="K2603" s="3" t="s">
        <v>216</v>
      </c>
    </row>
    <row r="2604" ht="15.6" spans="4:11">
      <c r="D2604" s="3">
        <v>8508</v>
      </c>
      <c r="E2604" s="3" t="s">
        <v>216</v>
      </c>
      <c r="J2604" s="3" t="s">
        <v>2846</v>
      </c>
      <c r="K2604" s="3" t="s">
        <v>216</v>
      </c>
    </row>
    <row r="2605" ht="15.6" spans="4:11">
      <c r="D2605" s="3">
        <v>8509</v>
      </c>
      <c r="E2605" s="3" t="s">
        <v>216</v>
      </c>
      <c r="J2605" s="3" t="s">
        <v>2847</v>
      </c>
      <c r="K2605" s="3" t="s">
        <v>216</v>
      </c>
    </row>
    <row r="2606" ht="15.6" spans="4:11">
      <c r="D2606" s="3">
        <v>8510</v>
      </c>
      <c r="E2606" s="3" t="s">
        <v>216</v>
      </c>
      <c r="J2606" s="3" t="s">
        <v>2848</v>
      </c>
      <c r="K2606" s="3" t="s">
        <v>216</v>
      </c>
    </row>
    <row r="2607" ht="15.6" spans="4:11">
      <c r="D2607" s="3">
        <v>8511</v>
      </c>
      <c r="E2607" s="3" t="s">
        <v>216</v>
      </c>
      <c r="J2607" s="3" t="s">
        <v>2849</v>
      </c>
      <c r="K2607" s="3" t="s">
        <v>216</v>
      </c>
    </row>
    <row r="2608" ht="15.6" spans="4:11">
      <c r="D2608" s="3">
        <v>8512</v>
      </c>
      <c r="E2608" s="3" t="s">
        <v>216</v>
      </c>
      <c r="J2608" s="3" t="s">
        <v>2850</v>
      </c>
      <c r="K2608" s="3" t="s">
        <v>216</v>
      </c>
    </row>
    <row r="2609" ht="15.6" spans="4:11">
      <c r="D2609" s="3">
        <v>8513</v>
      </c>
      <c r="E2609" s="3" t="s">
        <v>216</v>
      </c>
      <c r="J2609" s="3" t="s">
        <v>2851</v>
      </c>
      <c r="K2609" s="3" t="s">
        <v>216</v>
      </c>
    </row>
    <row r="2610" ht="15.6" spans="4:11">
      <c r="D2610" s="3">
        <v>8514</v>
      </c>
      <c r="E2610" s="3" t="s">
        <v>216</v>
      </c>
      <c r="J2610" s="3" t="s">
        <v>2852</v>
      </c>
      <c r="K2610" s="3" t="s">
        <v>216</v>
      </c>
    </row>
    <row r="2611" ht="15.6" spans="4:11">
      <c r="D2611" s="3">
        <v>8515</v>
      </c>
      <c r="E2611" s="3" t="s">
        <v>216</v>
      </c>
      <c r="J2611" s="3" t="s">
        <v>2853</v>
      </c>
      <c r="K2611" s="3" t="s">
        <v>216</v>
      </c>
    </row>
    <row r="2612" ht="15.6" spans="4:11">
      <c r="D2612" s="3">
        <v>8516</v>
      </c>
      <c r="E2612" s="3" t="s">
        <v>216</v>
      </c>
      <c r="J2612" s="3" t="s">
        <v>2854</v>
      </c>
      <c r="K2612" s="3" t="s">
        <v>216</v>
      </c>
    </row>
    <row r="2613" ht="15.6" spans="4:11">
      <c r="D2613" s="3">
        <v>8517</v>
      </c>
      <c r="E2613" s="3" t="s">
        <v>216</v>
      </c>
      <c r="J2613" s="3" t="s">
        <v>2855</v>
      </c>
      <c r="K2613" s="3" t="s">
        <v>216</v>
      </c>
    </row>
    <row r="2614" ht="15.6" spans="4:11">
      <c r="D2614" s="3">
        <v>8518</v>
      </c>
      <c r="E2614" s="3" t="s">
        <v>216</v>
      </c>
      <c r="J2614" s="3" t="s">
        <v>2856</v>
      </c>
      <c r="K2614" s="3" t="s">
        <v>216</v>
      </c>
    </row>
    <row r="2615" ht="15.6" spans="4:11">
      <c r="D2615" s="3">
        <v>8519</v>
      </c>
      <c r="E2615" s="3" t="s">
        <v>216</v>
      </c>
      <c r="J2615" s="3" t="s">
        <v>2857</v>
      </c>
      <c r="K2615" s="3" t="s">
        <v>216</v>
      </c>
    </row>
    <row r="2616" ht="15.6" spans="4:11">
      <c r="D2616" s="3">
        <v>8520</v>
      </c>
      <c r="E2616" s="3" t="s">
        <v>216</v>
      </c>
      <c r="J2616" s="3" t="s">
        <v>2858</v>
      </c>
      <c r="K2616" s="3" t="s">
        <v>216</v>
      </c>
    </row>
    <row r="2617" ht="15.6" spans="4:11">
      <c r="D2617" s="3">
        <v>8521</v>
      </c>
      <c r="E2617" s="3" t="s">
        <v>216</v>
      </c>
      <c r="J2617" s="3" t="s">
        <v>2859</v>
      </c>
      <c r="K2617" s="3" t="s">
        <v>216</v>
      </c>
    </row>
    <row r="2618" ht="15.6" spans="4:11">
      <c r="D2618" s="3">
        <v>8522</v>
      </c>
      <c r="E2618" s="3" t="s">
        <v>216</v>
      </c>
      <c r="J2618" s="3" t="s">
        <v>2860</v>
      </c>
      <c r="K2618" s="3" t="s">
        <v>216</v>
      </c>
    </row>
    <row r="2619" ht="15.6" spans="4:11">
      <c r="D2619" s="3">
        <v>8523</v>
      </c>
      <c r="E2619" s="3" t="s">
        <v>216</v>
      </c>
      <c r="J2619" s="3" t="s">
        <v>2861</v>
      </c>
      <c r="K2619" s="3" t="s">
        <v>216</v>
      </c>
    </row>
    <row r="2620" ht="15.6" spans="4:11">
      <c r="D2620" s="3">
        <v>8524</v>
      </c>
      <c r="E2620" s="3" t="s">
        <v>216</v>
      </c>
      <c r="J2620" s="3" t="s">
        <v>2862</v>
      </c>
      <c r="K2620" s="3" t="s">
        <v>216</v>
      </c>
    </row>
    <row r="2621" ht="15.6" spans="4:11">
      <c r="D2621" s="3">
        <v>8525</v>
      </c>
      <c r="E2621" s="3" t="s">
        <v>216</v>
      </c>
      <c r="J2621" s="3" t="s">
        <v>2863</v>
      </c>
      <c r="K2621" s="3" t="s">
        <v>216</v>
      </c>
    </row>
    <row r="2622" ht="15.6" spans="4:11">
      <c r="D2622" s="3">
        <v>8526</v>
      </c>
      <c r="E2622" s="3" t="s">
        <v>216</v>
      </c>
      <c r="J2622" s="3" t="s">
        <v>2864</v>
      </c>
      <c r="K2622" s="3" t="s">
        <v>216</v>
      </c>
    </row>
    <row r="2623" ht="15.6" spans="4:11">
      <c r="D2623" s="3">
        <v>8527</v>
      </c>
      <c r="E2623" s="3" t="s">
        <v>216</v>
      </c>
      <c r="J2623" s="3" t="s">
        <v>2865</v>
      </c>
      <c r="K2623" s="3" t="s">
        <v>216</v>
      </c>
    </row>
    <row r="2624" ht="15.6" spans="4:11">
      <c r="D2624" s="3">
        <v>8528</v>
      </c>
      <c r="E2624" s="3" t="s">
        <v>216</v>
      </c>
      <c r="J2624" s="3" t="s">
        <v>2866</v>
      </c>
      <c r="K2624" s="3" t="s">
        <v>216</v>
      </c>
    </row>
    <row r="2625" ht="15.6" spans="4:11">
      <c r="D2625" s="3">
        <v>8529</v>
      </c>
      <c r="E2625" s="3" t="s">
        <v>216</v>
      </c>
      <c r="J2625" s="3" t="s">
        <v>2867</v>
      </c>
      <c r="K2625" s="3" t="s">
        <v>216</v>
      </c>
    </row>
    <row r="2626" ht="15.6" spans="4:11">
      <c r="D2626" s="3">
        <v>8530</v>
      </c>
      <c r="E2626" s="3" t="s">
        <v>216</v>
      </c>
      <c r="J2626" s="3" t="s">
        <v>2868</v>
      </c>
      <c r="K2626" s="3" t="s">
        <v>216</v>
      </c>
    </row>
    <row r="2627" ht="15.6" spans="4:11">
      <c r="D2627" s="3">
        <v>8531</v>
      </c>
      <c r="E2627" s="3" t="s">
        <v>216</v>
      </c>
      <c r="J2627" s="3" t="s">
        <v>2869</v>
      </c>
      <c r="K2627" s="3" t="s">
        <v>216</v>
      </c>
    </row>
    <row r="2628" ht="15.6" spans="4:11">
      <c r="D2628" s="3">
        <v>8532</v>
      </c>
      <c r="E2628" s="3" t="s">
        <v>216</v>
      </c>
      <c r="J2628" s="3" t="s">
        <v>2870</v>
      </c>
      <c r="K2628" s="3" t="s">
        <v>216</v>
      </c>
    </row>
    <row r="2629" ht="15.6" spans="4:11">
      <c r="D2629" s="3">
        <v>8533</v>
      </c>
      <c r="E2629" s="3" t="s">
        <v>216</v>
      </c>
      <c r="J2629" s="3" t="s">
        <v>2871</v>
      </c>
      <c r="K2629" s="3" t="s">
        <v>216</v>
      </c>
    </row>
    <row r="2630" ht="15.6" spans="4:11">
      <c r="D2630" s="3">
        <v>8534</v>
      </c>
      <c r="E2630" s="3" t="s">
        <v>216</v>
      </c>
      <c r="J2630" s="3" t="s">
        <v>2872</v>
      </c>
      <c r="K2630" s="3" t="s">
        <v>216</v>
      </c>
    </row>
    <row r="2631" ht="15.6" spans="4:11">
      <c r="D2631" s="3">
        <v>8535</v>
      </c>
      <c r="E2631" s="3" t="s">
        <v>216</v>
      </c>
      <c r="J2631" s="3" t="s">
        <v>2873</v>
      </c>
      <c r="K2631" s="3" t="s">
        <v>216</v>
      </c>
    </row>
    <row r="2632" ht="15.6" spans="4:11">
      <c r="D2632" s="3">
        <v>8536</v>
      </c>
      <c r="E2632" s="3" t="s">
        <v>216</v>
      </c>
      <c r="J2632" s="3" t="s">
        <v>2874</v>
      </c>
      <c r="K2632" s="3" t="s">
        <v>216</v>
      </c>
    </row>
    <row r="2633" ht="15.6" spans="4:11">
      <c r="D2633" s="3">
        <v>8537</v>
      </c>
      <c r="E2633" s="3" t="s">
        <v>216</v>
      </c>
      <c r="J2633" s="3" t="s">
        <v>2875</v>
      </c>
      <c r="K2633" s="3" t="s">
        <v>216</v>
      </c>
    </row>
    <row r="2634" ht="15.6" spans="4:11">
      <c r="D2634" s="3">
        <v>8538</v>
      </c>
      <c r="E2634" s="3" t="s">
        <v>216</v>
      </c>
      <c r="J2634" s="3" t="s">
        <v>2876</v>
      </c>
      <c r="K2634" s="3" t="s">
        <v>216</v>
      </c>
    </row>
    <row r="2635" ht="15.6" spans="4:11">
      <c r="D2635" s="3">
        <v>8539</v>
      </c>
      <c r="E2635" s="3" t="s">
        <v>216</v>
      </c>
      <c r="J2635" s="3" t="s">
        <v>2877</v>
      </c>
      <c r="K2635" s="3" t="s">
        <v>216</v>
      </c>
    </row>
    <row r="2636" ht="15.6" spans="4:11">
      <c r="D2636" s="3">
        <v>8540</v>
      </c>
      <c r="E2636" s="3" t="s">
        <v>216</v>
      </c>
      <c r="J2636" s="3" t="s">
        <v>2878</v>
      </c>
      <c r="K2636" s="3" t="s">
        <v>216</v>
      </c>
    </row>
    <row r="2637" ht="15.6" spans="4:11">
      <c r="D2637" s="3">
        <v>8541</v>
      </c>
      <c r="E2637" s="3" t="s">
        <v>216</v>
      </c>
      <c r="J2637" s="3" t="s">
        <v>2879</v>
      </c>
      <c r="K2637" s="3" t="s">
        <v>216</v>
      </c>
    </row>
    <row r="2638" ht="15.6" spans="4:11">
      <c r="D2638" s="3">
        <v>8542</v>
      </c>
      <c r="E2638" s="3" t="s">
        <v>216</v>
      </c>
      <c r="J2638" s="3" t="s">
        <v>2880</v>
      </c>
      <c r="K2638" s="3" t="s">
        <v>216</v>
      </c>
    </row>
    <row r="2639" ht="15.6" spans="4:11">
      <c r="D2639" s="3">
        <v>8543</v>
      </c>
      <c r="E2639" s="3" t="s">
        <v>216</v>
      </c>
      <c r="J2639" s="3" t="s">
        <v>2881</v>
      </c>
      <c r="K2639" s="3" t="s">
        <v>216</v>
      </c>
    </row>
    <row r="2640" ht="15.6" spans="4:11">
      <c r="D2640" s="3">
        <v>8544</v>
      </c>
      <c r="E2640" s="3" t="s">
        <v>216</v>
      </c>
      <c r="J2640" s="3" t="s">
        <v>2882</v>
      </c>
      <c r="K2640" s="3" t="s">
        <v>216</v>
      </c>
    </row>
    <row r="2641" ht="15.6" spans="4:11">
      <c r="D2641" s="3">
        <v>8545</v>
      </c>
      <c r="E2641" s="3" t="s">
        <v>216</v>
      </c>
      <c r="J2641" s="3" t="s">
        <v>2883</v>
      </c>
      <c r="K2641" s="3" t="s">
        <v>216</v>
      </c>
    </row>
    <row r="2642" ht="15.6" spans="4:11">
      <c r="D2642" s="3">
        <v>8546</v>
      </c>
      <c r="E2642" s="3" t="s">
        <v>216</v>
      </c>
      <c r="J2642" s="3" t="s">
        <v>2884</v>
      </c>
      <c r="K2642" s="3" t="s">
        <v>216</v>
      </c>
    </row>
    <row r="2643" ht="15.6" spans="4:11">
      <c r="D2643" s="3">
        <v>8547</v>
      </c>
      <c r="E2643" s="3" t="s">
        <v>216</v>
      </c>
      <c r="J2643" s="3" t="s">
        <v>2885</v>
      </c>
      <c r="K2643" s="3" t="s">
        <v>216</v>
      </c>
    </row>
    <row r="2644" ht="15.6" spans="4:11">
      <c r="D2644" s="3">
        <v>8548</v>
      </c>
      <c r="E2644" s="3" t="s">
        <v>216</v>
      </c>
      <c r="J2644" s="3" t="s">
        <v>2886</v>
      </c>
      <c r="K2644" s="3" t="s">
        <v>216</v>
      </c>
    </row>
    <row r="2645" ht="15.6" spans="4:11">
      <c r="D2645" s="3">
        <v>8549</v>
      </c>
      <c r="E2645" s="3" t="s">
        <v>216</v>
      </c>
      <c r="J2645" s="3" t="s">
        <v>2887</v>
      </c>
      <c r="K2645" s="3" t="s">
        <v>216</v>
      </c>
    </row>
    <row r="2646" ht="15.6" spans="4:11">
      <c r="D2646" s="3">
        <v>8550</v>
      </c>
      <c r="E2646" s="3" t="s">
        <v>216</v>
      </c>
      <c r="J2646" s="3" t="s">
        <v>2888</v>
      </c>
      <c r="K2646" s="3" t="s">
        <v>216</v>
      </c>
    </row>
    <row r="2647" ht="15.6" spans="4:11">
      <c r="D2647" s="3">
        <v>8551</v>
      </c>
      <c r="E2647" s="3" t="s">
        <v>216</v>
      </c>
      <c r="J2647" s="3" t="s">
        <v>2889</v>
      </c>
      <c r="K2647" s="3" t="s">
        <v>216</v>
      </c>
    </row>
    <row r="2648" ht="15.6" spans="4:11">
      <c r="D2648" s="3">
        <v>8552</v>
      </c>
      <c r="E2648" s="3" t="s">
        <v>216</v>
      </c>
      <c r="J2648" s="3" t="s">
        <v>2890</v>
      </c>
      <c r="K2648" s="3" t="s">
        <v>216</v>
      </c>
    </row>
    <row r="2649" ht="15.6" spans="4:11">
      <c r="D2649" s="3">
        <v>8553</v>
      </c>
      <c r="E2649" s="3" t="s">
        <v>216</v>
      </c>
      <c r="J2649" s="3" t="s">
        <v>2891</v>
      </c>
      <c r="K2649" s="3" t="s">
        <v>216</v>
      </c>
    </row>
    <row r="2650" ht="15.6" spans="4:11">
      <c r="D2650" s="3">
        <v>8554</v>
      </c>
      <c r="E2650" s="3" t="s">
        <v>216</v>
      </c>
      <c r="J2650" s="3" t="s">
        <v>2892</v>
      </c>
      <c r="K2650" s="3" t="s">
        <v>216</v>
      </c>
    </row>
    <row r="2651" ht="15.6" spans="4:11">
      <c r="D2651" s="3">
        <v>8555</v>
      </c>
      <c r="E2651" s="3" t="s">
        <v>216</v>
      </c>
      <c r="J2651" s="3" t="s">
        <v>2893</v>
      </c>
      <c r="K2651" s="3" t="s">
        <v>216</v>
      </c>
    </row>
    <row r="2652" ht="15.6" spans="4:11">
      <c r="D2652" s="3">
        <v>8556</v>
      </c>
      <c r="E2652" s="3" t="s">
        <v>216</v>
      </c>
      <c r="J2652" s="3" t="s">
        <v>2894</v>
      </c>
      <c r="K2652" s="3" t="s">
        <v>216</v>
      </c>
    </row>
    <row r="2653" ht="15.6" spans="4:11">
      <c r="D2653" s="3">
        <v>8557</v>
      </c>
      <c r="E2653" s="3" t="s">
        <v>216</v>
      </c>
      <c r="J2653" s="3" t="s">
        <v>2895</v>
      </c>
      <c r="K2653" s="3" t="s">
        <v>216</v>
      </c>
    </row>
    <row r="2654" ht="15.6" spans="4:11">
      <c r="D2654" s="3">
        <v>8558</v>
      </c>
      <c r="E2654" s="3" t="s">
        <v>216</v>
      </c>
      <c r="J2654" s="3" t="s">
        <v>2896</v>
      </c>
      <c r="K2654" s="3" t="s">
        <v>216</v>
      </c>
    </row>
    <row r="2655" ht="15.6" spans="4:11">
      <c r="D2655" s="3">
        <v>8559</v>
      </c>
      <c r="E2655" s="3" t="s">
        <v>216</v>
      </c>
      <c r="J2655" s="3" t="s">
        <v>2897</v>
      </c>
      <c r="K2655" s="3" t="s">
        <v>216</v>
      </c>
    </row>
    <row r="2656" ht="15.6" spans="4:11">
      <c r="D2656" s="3">
        <v>8560</v>
      </c>
      <c r="E2656" s="3" t="s">
        <v>216</v>
      </c>
      <c r="J2656" s="3" t="s">
        <v>2898</v>
      </c>
      <c r="K2656" s="3" t="s">
        <v>216</v>
      </c>
    </row>
    <row r="2657" ht="15.6" spans="4:11">
      <c r="D2657" s="3">
        <v>8561</v>
      </c>
      <c r="E2657" s="3" t="s">
        <v>216</v>
      </c>
      <c r="J2657" s="3" t="s">
        <v>2899</v>
      </c>
      <c r="K2657" s="3" t="s">
        <v>216</v>
      </c>
    </row>
    <row r="2658" ht="15.6" spans="4:11">
      <c r="D2658" s="3">
        <v>8562</v>
      </c>
      <c r="E2658" s="3" t="s">
        <v>216</v>
      </c>
      <c r="J2658" s="3" t="s">
        <v>2900</v>
      </c>
      <c r="K2658" s="3" t="s">
        <v>216</v>
      </c>
    </row>
    <row r="2659" ht="15.6" spans="4:11">
      <c r="D2659" s="3">
        <v>8563</v>
      </c>
      <c r="E2659" s="3" t="s">
        <v>216</v>
      </c>
      <c r="J2659" s="3" t="s">
        <v>2901</v>
      </c>
      <c r="K2659" s="3" t="s">
        <v>216</v>
      </c>
    </row>
    <row r="2660" ht="15.6" spans="4:11">
      <c r="D2660" s="3">
        <v>8564</v>
      </c>
      <c r="E2660" s="3" t="s">
        <v>216</v>
      </c>
      <c r="J2660" s="3" t="s">
        <v>2902</v>
      </c>
      <c r="K2660" s="3" t="s">
        <v>216</v>
      </c>
    </row>
    <row r="2661" ht="15.6" spans="4:11">
      <c r="D2661" s="3">
        <v>8565</v>
      </c>
      <c r="E2661" s="3" t="s">
        <v>216</v>
      </c>
      <c r="J2661" s="3" t="s">
        <v>2903</v>
      </c>
      <c r="K2661" s="3" t="s">
        <v>216</v>
      </c>
    </row>
    <row r="2662" ht="15.6" spans="4:11">
      <c r="D2662" s="3">
        <v>8566</v>
      </c>
      <c r="E2662" s="3" t="s">
        <v>216</v>
      </c>
      <c r="J2662" s="3" t="s">
        <v>2904</v>
      </c>
      <c r="K2662" s="3" t="s">
        <v>216</v>
      </c>
    </row>
    <row r="2663" ht="15.6" spans="4:11">
      <c r="D2663" s="3">
        <v>8567</v>
      </c>
      <c r="E2663" s="3" t="s">
        <v>216</v>
      </c>
      <c r="J2663" s="3" t="s">
        <v>2905</v>
      </c>
      <c r="K2663" s="3" t="s">
        <v>216</v>
      </c>
    </row>
    <row r="2664" ht="15.6" spans="4:11">
      <c r="D2664" s="3">
        <v>8568</v>
      </c>
      <c r="E2664" s="3" t="s">
        <v>216</v>
      </c>
      <c r="J2664" s="3" t="s">
        <v>2906</v>
      </c>
      <c r="K2664" s="3" t="s">
        <v>216</v>
      </c>
    </row>
    <row r="2665" ht="15.6" spans="4:11">
      <c r="D2665" s="3">
        <v>8569</v>
      </c>
      <c r="E2665" s="3" t="s">
        <v>216</v>
      </c>
      <c r="J2665" s="3" t="s">
        <v>2907</v>
      </c>
      <c r="K2665" s="3" t="s">
        <v>216</v>
      </c>
    </row>
    <row r="2666" ht="15.6" spans="4:11">
      <c r="D2666" s="3">
        <v>8570</v>
      </c>
      <c r="E2666" s="3" t="s">
        <v>216</v>
      </c>
      <c r="J2666" s="3" t="s">
        <v>2908</v>
      </c>
      <c r="K2666" s="3" t="s">
        <v>216</v>
      </c>
    </row>
    <row r="2667" ht="15.6" spans="4:11">
      <c r="D2667" s="3">
        <v>8571</v>
      </c>
      <c r="E2667" s="3" t="s">
        <v>216</v>
      </c>
      <c r="J2667" s="3" t="s">
        <v>2909</v>
      </c>
      <c r="K2667" s="3" t="s">
        <v>216</v>
      </c>
    </row>
    <row r="2668" ht="15.6" spans="4:11">
      <c r="D2668" s="3">
        <v>8572</v>
      </c>
      <c r="E2668" s="3" t="s">
        <v>216</v>
      </c>
      <c r="J2668" s="3" t="s">
        <v>2910</v>
      </c>
      <c r="K2668" s="3" t="s">
        <v>216</v>
      </c>
    </row>
    <row r="2669" ht="15.6" spans="4:11">
      <c r="D2669" s="3">
        <v>8573</v>
      </c>
      <c r="E2669" s="3" t="s">
        <v>216</v>
      </c>
      <c r="J2669" s="3" t="s">
        <v>2911</v>
      </c>
      <c r="K2669" s="3" t="s">
        <v>216</v>
      </c>
    </row>
    <row r="2670" ht="15.6" spans="4:11">
      <c r="D2670" s="3">
        <v>8574</v>
      </c>
      <c r="E2670" s="3" t="s">
        <v>216</v>
      </c>
      <c r="J2670" s="3" t="s">
        <v>2912</v>
      </c>
      <c r="K2670" s="3" t="s">
        <v>216</v>
      </c>
    </row>
    <row r="2671" ht="15.6" spans="4:11">
      <c r="D2671" s="3">
        <v>8575</v>
      </c>
      <c r="E2671" s="3" t="s">
        <v>216</v>
      </c>
      <c r="J2671" s="3" t="s">
        <v>2913</v>
      </c>
      <c r="K2671" s="3" t="s">
        <v>216</v>
      </c>
    </row>
    <row r="2672" ht="15.6" spans="4:11">
      <c r="D2672" s="3">
        <v>8576</v>
      </c>
      <c r="E2672" s="3" t="s">
        <v>216</v>
      </c>
      <c r="J2672" s="3" t="s">
        <v>2914</v>
      </c>
      <c r="K2672" s="3" t="s">
        <v>216</v>
      </c>
    </row>
    <row r="2673" ht="15.6" spans="4:11">
      <c r="D2673" s="3">
        <v>8577</v>
      </c>
      <c r="E2673" s="3" t="s">
        <v>216</v>
      </c>
      <c r="J2673" s="3" t="s">
        <v>2915</v>
      </c>
      <c r="K2673" s="3" t="s">
        <v>216</v>
      </c>
    </row>
    <row r="2674" ht="15.6" spans="4:11">
      <c r="D2674" s="3">
        <v>8578</v>
      </c>
      <c r="E2674" s="3" t="s">
        <v>216</v>
      </c>
      <c r="J2674" s="3" t="s">
        <v>2916</v>
      </c>
      <c r="K2674" s="3" t="s">
        <v>216</v>
      </c>
    </row>
    <row r="2675" ht="15.6" spans="4:11">
      <c r="D2675" s="3">
        <v>8579</v>
      </c>
      <c r="E2675" s="3" t="s">
        <v>216</v>
      </c>
      <c r="J2675" s="3" t="s">
        <v>2917</v>
      </c>
      <c r="K2675" s="3" t="s">
        <v>216</v>
      </c>
    </row>
    <row r="2676" ht="15.6" spans="4:11">
      <c r="D2676" s="3">
        <v>8580</v>
      </c>
      <c r="E2676" s="3" t="s">
        <v>216</v>
      </c>
      <c r="J2676" s="3" t="s">
        <v>2918</v>
      </c>
      <c r="K2676" s="3" t="s">
        <v>216</v>
      </c>
    </row>
    <row r="2677" ht="15.6" spans="4:11">
      <c r="D2677" s="3">
        <v>8581</v>
      </c>
      <c r="E2677" s="3" t="s">
        <v>216</v>
      </c>
      <c r="J2677" s="3" t="s">
        <v>2919</v>
      </c>
      <c r="K2677" s="3" t="s">
        <v>216</v>
      </c>
    </row>
    <row r="2678" ht="15.6" spans="4:11">
      <c r="D2678" s="3">
        <v>8582</v>
      </c>
      <c r="E2678" s="3" t="s">
        <v>216</v>
      </c>
      <c r="J2678" s="3" t="s">
        <v>2920</v>
      </c>
      <c r="K2678" s="3" t="s">
        <v>216</v>
      </c>
    </row>
    <row r="2679" ht="15.6" spans="4:11">
      <c r="D2679" s="3">
        <v>8583</v>
      </c>
      <c r="E2679" s="3" t="s">
        <v>216</v>
      </c>
      <c r="J2679" s="3" t="s">
        <v>2921</v>
      </c>
      <c r="K2679" s="3" t="s">
        <v>216</v>
      </c>
    </row>
    <row r="2680" ht="15.6" spans="4:11">
      <c r="D2680" s="3">
        <v>8584</v>
      </c>
      <c r="E2680" s="3" t="s">
        <v>216</v>
      </c>
      <c r="J2680" s="3" t="s">
        <v>2922</v>
      </c>
      <c r="K2680" s="3" t="s">
        <v>216</v>
      </c>
    </row>
    <row r="2681" ht="15.6" spans="4:11">
      <c r="D2681" s="3">
        <v>8585</v>
      </c>
      <c r="E2681" s="3" t="s">
        <v>216</v>
      </c>
      <c r="J2681" s="3" t="s">
        <v>2923</v>
      </c>
      <c r="K2681" s="3" t="s">
        <v>216</v>
      </c>
    </row>
    <row r="2682" ht="15.6" spans="4:11">
      <c r="D2682" s="3">
        <v>8586</v>
      </c>
      <c r="E2682" s="3" t="s">
        <v>216</v>
      </c>
      <c r="J2682" s="3" t="s">
        <v>2924</v>
      </c>
      <c r="K2682" s="3" t="s">
        <v>216</v>
      </c>
    </row>
    <row r="2683" ht="15.6" spans="4:11">
      <c r="D2683" s="3">
        <v>8587</v>
      </c>
      <c r="E2683" s="3" t="s">
        <v>216</v>
      </c>
      <c r="J2683" s="3" t="s">
        <v>2925</v>
      </c>
      <c r="K2683" s="3" t="s">
        <v>216</v>
      </c>
    </row>
    <row r="2684" ht="15.6" spans="4:11">
      <c r="D2684" s="3">
        <v>8588</v>
      </c>
      <c r="E2684" s="3" t="s">
        <v>216</v>
      </c>
      <c r="J2684" s="3" t="s">
        <v>2926</v>
      </c>
      <c r="K2684" s="3" t="s">
        <v>216</v>
      </c>
    </row>
    <row r="2685" ht="15.6" spans="4:11">
      <c r="D2685" s="3">
        <v>8589</v>
      </c>
      <c r="E2685" s="3" t="s">
        <v>216</v>
      </c>
      <c r="J2685" s="3" t="s">
        <v>2927</v>
      </c>
      <c r="K2685" s="3" t="s">
        <v>216</v>
      </c>
    </row>
    <row r="2686" ht="15.6" spans="4:11">
      <c r="D2686" s="3">
        <v>8590</v>
      </c>
      <c r="E2686" s="3" t="s">
        <v>216</v>
      </c>
      <c r="J2686" s="3" t="s">
        <v>2928</v>
      </c>
      <c r="K2686" s="3" t="s">
        <v>216</v>
      </c>
    </row>
    <row r="2687" ht="15.6" spans="4:11">
      <c r="D2687" s="3">
        <v>8591</v>
      </c>
      <c r="E2687" s="3" t="s">
        <v>216</v>
      </c>
      <c r="J2687" s="3" t="s">
        <v>2929</v>
      </c>
      <c r="K2687" s="3" t="s">
        <v>216</v>
      </c>
    </row>
    <row r="2688" ht="15.6" spans="4:11">
      <c r="D2688" s="3">
        <v>8592</v>
      </c>
      <c r="E2688" s="3" t="s">
        <v>216</v>
      </c>
      <c r="J2688" s="3" t="s">
        <v>2930</v>
      </c>
      <c r="K2688" s="3" t="s">
        <v>216</v>
      </c>
    </row>
    <row r="2689" ht="15.6" spans="4:11">
      <c r="D2689" s="3">
        <v>8593</v>
      </c>
      <c r="E2689" s="3" t="s">
        <v>216</v>
      </c>
      <c r="J2689" s="3" t="s">
        <v>2931</v>
      </c>
      <c r="K2689" s="3" t="s">
        <v>216</v>
      </c>
    </row>
    <row r="2690" ht="15.6" spans="4:11">
      <c r="D2690" s="3">
        <v>8594</v>
      </c>
      <c r="E2690" s="3" t="s">
        <v>216</v>
      </c>
      <c r="J2690" s="3" t="s">
        <v>2932</v>
      </c>
      <c r="K2690" s="3" t="s">
        <v>216</v>
      </c>
    </row>
    <row r="2691" ht="15.6" spans="4:11">
      <c r="D2691" s="3">
        <v>8595</v>
      </c>
      <c r="E2691" s="3" t="s">
        <v>216</v>
      </c>
      <c r="J2691" s="3" t="s">
        <v>2933</v>
      </c>
      <c r="K2691" s="3" t="s">
        <v>216</v>
      </c>
    </row>
    <row r="2692" ht="15.6" spans="4:11">
      <c r="D2692" s="3">
        <v>8596</v>
      </c>
      <c r="E2692" s="3" t="s">
        <v>216</v>
      </c>
      <c r="J2692" s="3" t="s">
        <v>2934</v>
      </c>
      <c r="K2692" s="3" t="s">
        <v>216</v>
      </c>
    </row>
    <row r="2693" ht="15.6" spans="4:11">
      <c r="D2693" s="3">
        <v>8597</v>
      </c>
      <c r="E2693" s="3" t="s">
        <v>216</v>
      </c>
      <c r="J2693" s="3" t="s">
        <v>2935</v>
      </c>
      <c r="K2693" s="3" t="s">
        <v>216</v>
      </c>
    </row>
    <row r="2694" ht="15.6" spans="4:11">
      <c r="D2694" s="3">
        <v>8598</v>
      </c>
      <c r="E2694" s="3" t="s">
        <v>216</v>
      </c>
      <c r="J2694" s="3" t="s">
        <v>2936</v>
      </c>
      <c r="K2694" s="3" t="s">
        <v>216</v>
      </c>
    </row>
    <row r="2695" ht="15.6" spans="4:11">
      <c r="D2695" s="3">
        <v>8599</v>
      </c>
      <c r="E2695" s="3" t="s">
        <v>216</v>
      </c>
      <c r="J2695" s="3" t="s">
        <v>2937</v>
      </c>
      <c r="K2695" s="3" t="s">
        <v>216</v>
      </c>
    </row>
    <row r="2696" ht="15.6" spans="4:11">
      <c r="D2696" s="3">
        <v>8600</v>
      </c>
      <c r="E2696" s="3" t="s">
        <v>216</v>
      </c>
      <c r="J2696" s="3" t="s">
        <v>2938</v>
      </c>
      <c r="K2696" s="3" t="s">
        <v>216</v>
      </c>
    </row>
    <row r="2697" ht="15.6" spans="4:11">
      <c r="D2697" s="3">
        <v>8601</v>
      </c>
      <c r="E2697" s="3" t="s">
        <v>216</v>
      </c>
      <c r="J2697" s="3" t="s">
        <v>2939</v>
      </c>
      <c r="K2697" s="3" t="s">
        <v>216</v>
      </c>
    </row>
    <row r="2698" ht="15.6" spans="4:11">
      <c r="D2698" s="3">
        <v>8602</v>
      </c>
      <c r="E2698" s="3" t="s">
        <v>216</v>
      </c>
      <c r="J2698" s="3" t="s">
        <v>2940</v>
      </c>
      <c r="K2698" s="3" t="s">
        <v>216</v>
      </c>
    </row>
    <row r="2699" ht="15.6" spans="4:11">
      <c r="D2699" s="3">
        <v>8603</v>
      </c>
      <c r="E2699" s="3" t="s">
        <v>216</v>
      </c>
      <c r="J2699" s="3" t="s">
        <v>2941</v>
      </c>
      <c r="K2699" s="3" t="s">
        <v>216</v>
      </c>
    </row>
    <row r="2700" ht="15.6" spans="4:11">
      <c r="D2700" s="3">
        <v>8604</v>
      </c>
      <c r="E2700" s="3" t="s">
        <v>216</v>
      </c>
      <c r="J2700" s="3" t="s">
        <v>2942</v>
      </c>
      <c r="K2700" s="3" t="s">
        <v>216</v>
      </c>
    </row>
    <row r="2701" ht="15.6" spans="4:11">
      <c r="D2701" s="3">
        <v>8605</v>
      </c>
      <c r="E2701" s="3" t="s">
        <v>216</v>
      </c>
      <c r="J2701" s="3" t="s">
        <v>2943</v>
      </c>
      <c r="K2701" s="3" t="s">
        <v>216</v>
      </c>
    </row>
    <row r="2702" ht="15.6" spans="4:11">
      <c r="D2702" s="3">
        <v>8606</v>
      </c>
      <c r="E2702" s="3" t="s">
        <v>216</v>
      </c>
      <c r="J2702" s="3" t="s">
        <v>2944</v>
      </c>
      <c r="K2702" s="3" t="s">
        <v>216</v>
      </c>
    </row>
    <row r="2703" ht="15.6" spans="4:11">
      <c r="D2703" s="3">
        <v>8607</v>
      </c>
      <c r="E2703" s="3" t="s">
        <v>216</v>
      </c>
      <c r="J2703" s="3" t="s">
        <v>2945</v>
      </c>
      <c r="K2703" s="3" t="s">
        <v>216</v>
      </c>
    </row>
    <row r="2704" ht="15.6" spans="4:11">
      <c r="D2704" s="3">
        <v>8608</v>
      </c>
      <c r="E2704" s="3" t="s">
        <v>216</v>
      </c>
      <c r="J2704" s="3" t="s">
        <v>2946</v>
      </c>
      <c r="K2704" s="3" t="s">
        <v>216</v>
      </c>
    </row>
    <row r="2705" ht="15.6" spans="4:11">
      <c r="D2705" s="3">
        <v>8609</v>
      </c>
      <c r="E2705" s="3" t="s">
        <v>216</v>
      </c>
      <c r="J2705" s="3" t="s">
        <v>2947</v>
      </c>
      <c r="K2705" s="3" t="s">
        <v>216</v>
      </c>
    </row>
    <row r="2706" ht="15.6" spans="4:11">
      <c r="D2706" s="3">
        <v>8610</v>
      </c>
      <c r="E2706" s="3" t="s">
        <v>216</v>
      </c>
      <c r="J2706" s="3" t="s">
        <v>2948</v>
      </c>
      <c r="K2706" s="3" t="s">
        <v>216</v>
      </c>
    </row>
    <row r="2707" ht="15.6" spans="4:11">
      <c r="D2707" s="3">
        <v>8611</v>
      </c>
      <c r="E2707" s="3" t="s">
        <v>216</v>
      </c>
      <c r="J2707" s="3" t="s">
        <v>2949</v>
      </c>
      <c r="K2707" s="3" t="s">
        <v>216</v>
      </c>
    </row>
    <row r="2708" ht="15.6" spans="4:11">
      <c r="D2708" s="3">
        <v>8612</v>
      </c>
      <c r="E2708" s="3" t="s">
        <v>216</v>
      </c>
      <c r="J2708" s="3" t="s">
        <v>2950</v>
      </c>
      <c r="K2708" s="3" t="s">
        <v>216</v>
      </c>
    </row>
    <row r="2709" ht="15.6" spans="4:11">
      <c r="D2709" s="3">
        <v>8613</v>
      </c>
      <c r="E2709" s="3" t="s">
        <v>216</v>
      </c>
      <c r="J2709" s="3" t="s">
        <v>2951</v>
      </c>
      <c r="K2709" s="3" t="s">
        <v>216</v>
      </c>
    </row>
    <row r="2710" ht="15.6" spans="4:11">
      <c r="D2710" s="3">
        <v>8614</v>
      </c>
      <c r="E2710" s="3" t="s">
        <v>216</v>
      </c>
      <c r="J2710" s="3" t="s">
        <v>2952</v>
      </c>
      <c r="K2710" s="3" t="s">
        <v>216</v>
      </c>
    </row>
    <row r="2711" ht="15.6" spans="4:11">
      <c r="D2711" s="3">
        <v>8615</v>
      </c>
      <c r="E2711" s="3" t="s">
        <v>216</v>
      </c>
      <c r="J2711" s="3" t="s">
        <v>2953</v>
      </c>
      <c r="K2711" s="3" t="s">
        <v>216</v>
      </c>
    </row>
    <row r="2712" ht="15.6" spans="4:11">
      <c r="D2712" s="3">
        <v>8616</v>
      </c>
      <c r="E2712" s="3" t="s">
        <v>216</v>
      </c>
      <c r="J2712" s="3" t="s">
        <v>2954</v>
      </c>
      <c r="K2712" s="3" t="s">
        <v>216</v>
      </c>
    </row>
    <row r="2713" ht="15.6" spans="4:11">
      <c r="D2713" s="3">
        <v>8617</v>
      </c>
      <c r="E2713" s="3" t="s">
        <v>216</v>
      </c>
      <c r="J2713" s="3" t="s">
        <v>2955</v>
      </c>
      <c r="K2713" s="3" t="s">
        <v>216</v>
      </c>
    </row>
    <row r="2714" ht="15.6" spans="4:11">
      <c r="D2714" s="3">
        <v>8618</v>
      </c>
      <c r="E2714" s="3" t="s">
        <v>216</v>
      </c>
      <c r="J2714" s="3" t="s">
        <v>2956</v>
      </c>
      <c r="K2714" s="3" t="s">
        <v>216</v>
      </c>
    </row>
    <row r="2715" ht="15.6" spans="4:11">
      <c r="D2715" s="3">
        <v>8619</v>
      </c>
      <c r="E2715" s="3" t="s">
        <v>216</v>
      </c>
      <c r="J2715" s="3" t="s">
        <v>2957</v>
      </c>
      <c r="K2715" s="3" t="s">
        <v>216</v>
      </c>
    </row>
    <row r="2716" ht="15.6" spans="4:11">
      <c r="D2716" s="3">
        <v>8620</v>
      </c>
      <c r="E2716" s="3" t="s">
        <v>216</v>
      </c>
      <c r="J2716" s="3" t="s">
        <v>2958</v>
      </c>
      <c r="K2716" s="3" t="s">
        <v>216</v>
      </c>
    </row>
    <row r="2717" ht="15.6" spans="4:11">
      <c r="D2717" s="3">
        <v>8621</v>
      </c>
      <c r="E2717" s="3" t="s">
        <v>216</v>
      </c>
      <c r="J2717" s="3" t="s">
        <v>2959</v>
      </c>
      <c r="K2717" s="3" t="s">
        <v>216</v>
      </c>
    </row>
    <row r="2718" ht="15.6" spans="4:11">
      <c r="D2718" s="3">
        <v>8622</v>
      </c>
      <c r="E2718" s="3" t="s">
        <v>216</v>
      </c>
      <c r="J2718" s="3" t="s">
        <v>2960</v>
      </c>
      <c r="K2718" s="3" t="s">
        <v>216</v>
      </c>
    </row>
    <row r="2719" ht="15.6" spans="4:11">
      <c r="D2719" s="3">
        <v>8623</v>
      </c>
      <c r="E2719" s="3" t="s">
        <v>216</v>
      </c>
      <c r="J2719" s="3" t="s">
        <v>2961</v>
      </c>
      <c r="K2719" s="3" t="s">
        <v>216</v>
      </c>
    </row>
    <row r="2720" ht="15.6" spans="4:11">
      <c r="D2720" s="3">
        <v>8624</v>
      </c>
      <c r="E2720" s="3" t="s">
        <v>216</v>
      </c>
      <c r="J2720" s="3" t="s">
        <v>2962</v>
      </c>
      <c r="K2720" s="3" t="s">
        <v>216</v>
      </c>
    </row>
    <row r="2721" ht="15.6" spans="4:11">
      <c r="D2721" s="3">
        <v>8625</v>
      </c>
      <c r="E2721" s="3" t="s">
        <v>216</v>
      </c>
      <c r="J2721" s="3" t="s">
        <v>2963</v>
      </c>
      <c r="K2721" s="3" t="s">
        <v>216</v>
      </c>
    </row>
    <row r="2722" ht="15.6" spans="4:11">
      <c r="D2722" s="3">
        <v>8626</v>
      </c>
      <c r="E2722" s="3" t="s">
        <v>216</v>
      </c>
      <c r="J2722" s="3" t="s">
        <v>2964</v>
      </c>
      <c r="K2722" s="3" t="s">
        <v>216</v>
      </c>
    </row>
    <row r="2723" ht="15.6" spans="4:11">
      <c r="D2723" s="3">
        <v>8627</v>
      </c>
      <c r="E2723" s="3" t="s">
        <v>216</v>
      </c>
      <c r="J2723" s="3" t="s">
        <v>2965</v>
      </c>
      <c r="K2723" s="3" t="s">
        <v>216</v>
      </c>
    </row>
    <row r="2724" ht="15.6" spans="4:11">
      <c r="D2724" s="3">
        <v>8628</v>
      </c>
      <c r="E2724" s="3" t="s">
        <v>216</v>
      </c>
      <c r="J2724" s="3" t="s">
        <v>2966</v>
      </c>
      <c r="K2724" s="3" t="s">
        <v>216</v>
      </c>
    </row>
    <row r="2725" ht="15.6" spans="4:11">
      <c r="D2725" s="3">
        <v>8629</v>
      </c>
      <c r="E2725" s="3" t="s">
        <v>216</v>
      </c>
      <c r="J2725" s="3" t="s">
        <v>2967</v>
      </c>
      <c r="K2725" s="3" t="s">
        <v>216</v>
      </c>
    </row>
    <row r="2726" ht="15.6" spans="4:11">
      <c r="D2726" s="3">
        <v>8630</v>
      </c>
      <c r="E2726" s="3" t="s">
        <v>216</v>
      </c>
      <c r="J2726" s="3" t="s">
        <v>2968</v>
      </c>
      <c r="K2726" s="3" t="s">
        <v>216</v>
      </c>
    </row>
    <row r="2727" ht="15.6" spans="4:11">
      <c r="D2727" s="3">
        <v>8631</v>
      </c>
      <c r="E2727" s="3" t="s">
        <v>216</v>
      </c>
      <c r="J2727" s="3" t="s">
        <v>2969</v>
      </c>
      <c r="K2727" s="3" t="s">
        <v>216</v>
      </c>
    </row>
    <row r="2728" ht="15.6" spans="4:11">
      <c r="D2728" s="3">
        <v>8632</v>
      </c>
      <c r="E2728" s="3" t="s">
        <v>216</v>
      </c>
      <c r="J2728" s="3" t="s">
        <v>2970</v>
      </c>
      <c r="K2728" s="3" t="s">
        <v>216</v>
      </c>
    </row>
    <row r="2729" ht="15.6" spans="4:11">
      <c r="D2729" s="3">
        <v>8633</v>
      </c>
      <c r="E2729" s="3" t="s">
        <v>216</v>
      </c>
      <c r="J2729" s="3" t="s">
        <v>2971</v>
      </c>
      <c r="K2729" s="3" t="s">
        <v>216</v>
      </c>
    </row>
    <row r="2730" ht="15.6" spans="4:11">
      <c r="D2730" s="3">
        <v>8634</v>
      </c>
      <c r="E2730" s="3" t="s">
        <v>216</v>
      </c>
      <c r="J2730" s="3" t="s">
        <v>2972</v>
      </c>
      <c r="K2730" s="3" t="s">
        <v>216</v>
      </c>
    </row>
    <row r="2731" ht="15.6" spans="4:11">
      <c r="D2731" s="3">
        <v>8635</v>
      </c>
      <c r="E2731" s="3" t="s">
        <v>216</v>
      </c>
      <c r="J2731" s="3" t="s">
        <v>2973</v>
      </c>
      <c r="K2731" s="3" t="s">
        <v>216</v>
      </c>
    </row>
    <row r="2732" ht="15.6" spans="4:11">
      <c r="D2732" s="3">
        <v>8636</v>
      </c>
      <c r="E2732" s="3" t="s">
        <v>216</v>
      </c>
      <c r="J2732" s="3" t="s">
        <v>2974</v>
      </c>
      <c r="K2732" s="3" t="s">
        <v>216</v>
      </c>
    </row>
    <row r="2733" ht="15.6" spans="4:11">
      <c r="D2733" s="3">
        <v>8637</v>
      </c>
      <c r="E2733" s="3" t="s">
        <v>216</v>
      </c>
      <c r="J2733" s="3" t="s">
        <v>2975</v>
      </c>
      <c r="K2733" s="3" t="s">
        <v>216</v>
      </c>
    </row>
    <row r="2734" ht="15.6" spans="4:11">
      <c r="D2734" s="3">
        <v>8638</v>
      </c>
      <c r="E2734" s="3" t="s">
        <v>216</v>
      </c>
      <c r="J2734" s="3" t="s">
        <v>2976</v>
      </c>
      <c r="K2734" s="3" t="s">
        <v>216</v>
      </c>
    </row>
    <row r="2735" ht="15.6" spans="4:11">
      <c r="D2735" s="3">
        <v>8639</v>
      </c>
      <c r="E2735" s="3" t="s">
        <v>216</v>
      </c>
      <c r="J2735" s="3" t="s">
        <v>2977</v>
      </c>
      <c r="K2735" s="3" t="s">
        <v>216</v>
      </c>
    </row>
    <row r="2736" ht="15.6" spans="4:11">
      <c r="D2736" s="3">
        <v>8640</v>
      </c>
      <c r="E2736" s="3" t="s">
        <v>216</v>
      </c>
      <c r="J2736" s="3" t="s">
        <v>2978</v>
      </c>
      <c r="K2736" s="3" t="s">
        <v>216</v>
      </c>
    </row>
    <row r="2737" ht="15.6" spans="4:11">
      <c r="D2737" s="3">
        <v>8641</v>
      </c>
      <c r="E2737" s="3" t="s">
        <v>216</v>
      </c>
      <c r="J2737" s="3" t="s">
        <v>2979</v>
      </c>
      <c r="K2737" s="3" t="s">
        <v>216</v>
      </c>
    </row>
    <row r="2738" ht="15.6" spans="4:11">
      <c r="D2738" s="3">
        <v>8642</v>
      </c>
      <c r="E2738" s="3" t="s">
        <v>216</v>
      </c>
      <c r="J2738" s="3" t="s">
        <v>2980</v>
      </c>
      <c r="K2738" s="3" t="s">
        <v>216</v>
      </c>
    </row>
    <row r="2739" ht="15.6" spans="4:11">
      <c r="D2739" s="3">
        <v>8643</v>
      </c>
      <c r="E2739" s="3" t="s">
        <v>216</v>
      </c>
      <c r="J2739" s="3" t="s">
        <v>2981</v>
      </c>
      <c r="K2739" s="3" t="s">
        <v>216</v>
      </c>
    </row>
    <row r="2740" ht="15.6" spans="4:11">
      <c r="D2740" s="3">
        <v>8644</v>
      </c>
      <c r="E2740" s="3" t="s">
        <v>216</v>
      </c>
      <c r="J2740" s="3" t="s">
        <v>2982</v>
      </c>
      <c r="K2740" s="3" t="s">
        <v>216</v>
      </c>
    </row>
    <row r="2741" ht="15.6" spans="4:11">
      <c r="D2741" s="3">
        <v>8645</v>
      </c>
      <c r="E2741" s="3" t="s">
        <v>216</v>
      </c>
      <c r="J2741" s="3" t="s">
        <v>2983</v>
      </c>
      <c r="K2741" s="3" t="s">
        <v>216</v>
      </c>
    </row>
    <row r="2742" ht="15.6" spans="4:11">
      <c r="D2742" s="3">
        <v>8646</v>
      </c>
      <c r="E2742" s="3" t="s">
        <v>216</v>
      </c>
      <c r="J2742" s="3" t="s">
        <v>2984</v>
      </c>
      <c r="K2742" s="3" t="s">
        <v>216</v>
      </c>
    </row>
    <row r="2743" ht="15.6" spans="4:11">
      <c r="D2743" s="3">
        <v>8647</v>
      </c>
      <c r="E2743" s="3" t="s">
        <v>216</v>
      </c>
      <c r="J2743" s="3" t="s">
        <v>2985</v>
      </c>
      <c r="K2743" s="3" t="s">
        <v>216</v>
      </c>
    </row>
    <row r="2744" ht="15.6" spans="4:11">
      <c r="D2744" s="3">
        <v>8648</v>
      </c>
      <c r="E2744" s="3" t="s">
        <v>216</v>
      </c>
      <c r="J2744" s="3" t="s">
        <v>2986</v>
      </c>
      <c r="K2744" s="3" t="s">
        <v>216</v>
      </c>
    </row>
    <row r="2745" ht="15.6" spans="4:11">
      <c r="D2745" s="3">
        <v>8649</v>
      </c>
      <c r="E2745" s="3" t="s">
        <v>216</v>
      </c>
      <c r="J2745" s="3" t="s">
        <v>2987</v>
      </c>
      <c r="K2745" s="3" t="s">
        <v>216</v>
      </c>
    </row>
    <row r="2746" ht="15.6" spans="4:11">
      <c r="D2746" s="3">
        <v>8650</v>
      </c>
      <c r="E2746" s="3" t="s">
        <v>216</v>
      </c>
      <c r="J2746" s="3" t="s">
        <v>2988</v>
      </c>
      <c r="K2746" s="3" t="s">
        <v>216</v>
      </c>
    </row>
    <row r="2747" ht="15.6" spans="4:11">
      <c r="D2747" s="3">
        <v>8651</v>
      </c>
      <c r="E2747" s="3" t="s">
        <v>216</v>
      </c>
      <c r="J2747" s="3" t="s">
        <v>2989</v>
      </c>
      <c r="K2747" s="3" t="s">
        <v>216</v>
      </c>
    </row>
    <row r="2748" ht="15.6" spans="4:11">
      <c r="D2748" s="3">
        <v>8652</v>
      </c>
      <c r="E2748" s="3" t="s">
        <v>216</v>
      </c>
      <c r="J2748" s="3" t="s">
        <v>2990</v>
      </c>
      <c r="K2748" s="3" t="s">
        <v>216</v>
      </c>
    </row>
    <row r="2749" ht="15.6" spans="4:11">
      <c r="D2749" s="3">
        <v>8653</v>
      </c>
      <c r="E2749" s="3" t="s">
        <v>216</v>
      </c>
      <c r="J2749" s="3" t="s">
        <v>2991</v>
      </c>
      <c r="K2749" s="3" t="s">
        <v>216</v>
      </c>
    </row>
    <row r="2750" ht="15.6" spans="4:11">
      <c r="D2750" s="3">
        <v>8654</v>
      </c>
      <c r="E2750" s="3" t="s">
        <v>216</v>
      </c>
      <c r="J2750" s="3" t="s">
        <v>2992</v>
      </c>
      <c r="K2750" s="3" t="s">
        <v>216</v>
      </c>
    </row>
    <row r="2751" ht="15.6" spans="4:11">
      <c r="D2751" s="3">
        <v>8655</v>
      </c>
      <c r="E2751" s="3" t="s">
        <v>216</v>
      </c>
      <c r="J2751" s="3" t="s">
        <v>2993</v>
      </c>
      <c r="K2751" s="3" t="s">
        <v>216</v>
      </c>
    </row>
    <row r="2752" ht="15.6" spans="4:11">
      <c r="D2752" s="3">
        <v>8656</v>
      </c>
      <c r="E2752" s="3" t="s">
        <v>216</v>
      </c>
      <c r="J2752" s="3" t="s">
        <v>2994</v>
      </c>
      <c r="K2752" s="3" t="s">
        <v>216</v>
      </c>
    </row>
    <row r="2753" ht="15.6" spans="4:11">
      <c r="D2753" s="3">
        <v>8657</v>
      </c>
      <c r="E2753" s="3" t="s">
        <v>216</v>
      </c>
      <c r="J2753" s="3" t="s">
        <v>2995</v>
      </c>
      <c r="K2753" s="3" t="s">
        <v>216</v>
      </c>
    </row>
    <row r="2754" ht="15.6" spans="4:11">
      <c r="D2754" s="3">
        <v>8658</v>
      </c>
      <c r="E2754" s="3" t="s">
        <v>216</v>
      </c>
      <c r="J2754" s="3" t="s">
        <v>2996</v>
      </c>
      <c r="K2754" s="3" t="s">
        <v>216</v>
      </c>
    </row>
    <row r="2755" ht="15.6" spans="4:11">
      <c r="D2755" s="3">
        <v>8659</v>
      </c>
      <c r="E2755" s="3" t="s">
        <v>216</v>
      </c>
      <c r="J2755" s="3" t="s">
        <v>2997</v>
      </c>
      <c r="K2755" s="3" t="s">
        <v>216</v>
      </c>
    </row>
    <row r="2756" ht="15.6" spans="4:11">
      <c r="D2756" s="3">
        <v>8660</v>
      </c>
      <c r="E2756" s="3" t="s">
        <v>216</v>
      </c>
      <c r="J2756" s="3" t="s">
        <v>2998</v>
      </c>
      <c r="K2756" s="3" t="s">
        <v>216</v>
      </c>
    </row>
    <row r="2757" ht="15.6" spans="4:11">
      <c r="D2757" s="3">
        <v>8661</v>
      </c>
      <c r="E2757" s="3" t="s">
        <v>216</v>
      </c>
      <c r="J2757" s="3" t="s">
        <v>2999</v>
      </c>
      <c r="K2757" s="3" t="s">
        <v>216</v>
      </c>
    </row>
    <row r="2758" ht="15.6" spans="4:11">
      <c r="D2758" s="3">
        <v>8662</v>
      </c>
      <c r="E2758" s="3" t="s">
        <v>216</v>
      </c>
      <c r="J2758" s="3" t="s">
        <v>3000</v>
      </c>
      <c r="K2758" s="3" t="s">
        <v>216</v>
      </c>
    </row>
    <row r="2759" ht="15.6" spans="4:11">
      <c r="D2759" s="3">
        <v>8663</v>
      </c>
      <c r="E2759" s="3" t="s">
        <v>216</v>
      </c>
      <c r="J2759" s="3" t="s">
        <v>3001</v>
      </c>
      <c r="K2759" s="3" t="s">
        <v>216</v>
      </c>
    </row>
    <row r="2760" ht="15.6" spans="4:11">
      <c r="D2760" s="3">
        <v>8664</v>
      </c>
      <c r="E2760" s="3" t="s">
        <v>216</v>
      </c>
      <c r="J2760" s="3" t="s">
        <v>3002</v>
      </c>
      <c r="K2760" s="3" t="s">
        <v>216</v>
      </c>
    </row>
    <row r="2761" ht="15.6" spans="4:11">
      <c r="D2761" s="3">
        <v>8665</v>
      </c>
      <c r="E2761" s="3" t="s">
        <v>216</v>
      </c>
      <c r="J2761" s="3" t="s">
        <v>3003</v>
      </c>
      <c r="K2761" s="3" t="s">
        <v>216</v>
      </c>
    </row>
    <row r="2762" ht="15.6" spans="4:11">
      <c r="D2762" s="3">
        <v>8666</v>
      </c>
      <c r="E2762" s="3" t="s">
        <v>216</v>
      </c>
      <c r="J2762" s="3" t="s">
        <v>3004</v>
      </c>
      <c r="K2762" s="3" t="s">
        <v>216</v>
      </c>
    </row>
    <row r="2763" ht="15.6" spans="4:11">
      <c r="D2763" s="3">
        <v>8667</v>
      </c>
      <c r="E2763" s="3" t="s">
        <v>216</v>
      </c>
      <c r="J2763" s="3" t="s">
        <v>3005</v>
      </c>
      <c r="K2763" s="3" t="s">
        <v>216</v>
      </c>
    </row>
    <row r="2764" ht="15.6" spans="4:11">
      <c r="D2764" s="3">
        <v>8668</v>
      </c>
      <c r="E2764" s="3" t="s">
        <v>216</v>
      </c>
      <c r="J2764" s="3" t="s">
        <v>3006</v>
      </c>
      <c r="K2764" s="3" t="s">
        <v>216</v>
      </c>
    </row>
    <row r="2765" ht="15.6" spans="4:11">
      <c r="D2765" s="3">
        <v>8669</v>
      </c>
      <c r="E2765" s="3" t="s">
        <v>216</v>
      </c>
      <c r="J2765" s="3" t="s">
        <v>3007</v>
      </c>
      <c r="K2765" s="3" t="s">
        <v>216</v>
      </c>
    </row>
    <row r="2766" ht="15.6" spans="4:11">
      <c r="D2766" s="3">
        <v>8670</v>
      </c>
      <c r="E2766" s="3" t="s">
        <v>216</v>
      </c>
      <c r="J2766" s="3" t="s">
        <v>3008</v>
      </c>
      <c r="K2766" s="3" t="s">
        <v>216</v>
      </c>
    </row>
    <row r="2767" ht="15.6" spans="4:11">
      <c r="D2767" s="3">
        <v>8671</v>
      </c>
      <c r="E2767" s="3" t="s">
        <v>216</v>
      </c>
      <c r="J2767" s="3" t="s">
        <v>3009</v>
      </c>
      <c r="K2767" s="3" t="s">
        <v>216</v>
      </c>
    </row>
    <row r="2768" ht="15.6" spans="4:11">
      <c r="D2768" s="3">
        <v>8672</v>
      </c>
      <c r="E2768" s="3" t="s">
        <v>216</v>
      </c>
      <c r="J2768" s="3" t="s">
        <v>3010</v>
      </c>
      <c r="K2768" s="3" t="s">
        <v>216</v>
      </c>
    </row>
    <row r="2769" ht="15.6" spans="4:11">
      <c r="D2769" s="3">
        <v>8673</v>
      </c>
      <c r="E2769" s="3" t="s">
        <v>216</v>
      </c>
      <c r="J2769" s="3" t="s">
        <v>3011</v>
      </c>
      <c r="K2769" s="3" t="s">
        <v>216</v>
      </c>
    </row>
    <row r="2770" ht="15.6" spans="4:11">
      <c r="D2770" s="3">
        <v>8674</v>
      </c>
      <c r="E2770" s="3" t="s">
        <v>216</v>
      </c>
      <c r="J2770" s="3" t="s">
        <v>3012</v>
      </c>
      <c r="K2770" s="3" t="s">
        <v>216</v>
      </c>
    </row>
    <row r="2771" ht="15.6" spans="4:11">
      <c r="D2771" s="3">
        <v>8675</v>
      </c>
      <c r="E2771" s="3" t="s">
        <v>216</v>
      </c>
      <c r="J2771" s="3" t="s">
        <v>3013</v>
      </c>
      <c r="K2771" s="3" t="s">
        <v>216</v>
      </c>
    </row>
    <row r="2772" ht="15.6" spans="4:11">
      <c r="D2772" s="3">
        <v>8676</v>
      </c>
      <c r="E2772" s="3" t="s">
        <v>216</v>
      </c>
      <c r="J2772" s="3" t="s">
        <v>3014</v>
      </c>
      <c r="K2772" s="3" t="s">
        <v>216</v>
      </c>
    </row>
    <row r="2773" ht="15.6" spans="4:11">
      <c r="D2773" s="3">
        <v>8677</v>
      </c>
      <c r="E2773" s="3" t="s">
        <v>216</v>
      </c>
      <c r="J2773" s="3" t="s">
        <v>3015</v>
      </c>
      <c r="K2773" s="3" t="s">
        <v>216</v>
      </c>
    </row>
    <row r="2774" ht="15.6" spans="4:11">
      <c r="D2774" s="3">
        <v>8678</v>
      </c>
      <c r="E2774" s="3" t="s">
        <v>216</v>
      </c>
      <c r="J2774" s="3" t="s">
        <v>3016</v>
      </c>
      <c r="K2774" s="3" t="s">
        <v>216</v>
      </c>
    </row>
    <row r="2775" ht="15.6" spans="4:11">
      <c r="D2775" s="3">
        <v>8679</v>
      </c>
      <c r="E2775" s="3" t="s">
        <v>216</v>
      </c>
      <c r="J2775" s="3" t="s">
        <v>3017</v>
      </c>
      <c r="K2775" s="3" t="s">
        <v>216</v>
      </c>
    </row>
    <row r="2776" ht="15.6" spans="4:11">
      <c r="D2776" s="3">
        <v>8680</v>
      </c>
      <c r="E2776" s="3" t="s">
        <v>216</v>
      </c>
      <c r="J2776" s="3" t="s">
        <v>3018</v>
      </c>
      <c r="K2776" s="3" t="s">
        <v>216</v>
      </c>
    </row>
    <row r="2777" ht="15.6" spans="4:11">
      <c r="D2777" s="3">
        <v>8681</v>
      </c>
      <c r="E2777" s="3" t="s">
        <v>216</v>
      </c>
      <c r="J2777" s="3" t="s">
        <v>3019</v>
      </c>
      <c r="K2777" s="3" t="s">
        <v>216</v>
      </c>
    </row>
    <row r="2778" ht="15.6" spans="4:11">
      <c r="D2778" s="3">
        <v>8682</v>
      </c>
      <c r="E2778" s="3" t="s">
        <v>216</v>
      </c>
      <c r="J2778" s="3" t="s">
        <v>3020</v>
      </c>
      <c r="K2778" s="3" t="s">
        <v>216</v>
      </c>
    </row>
    <row r="2779" ht="15.6" spans="4:11">
      <c r="D2779" s="3">
        <v>8683</v>
      </c>
      <c r="E2779" s="3" t="s">
        <v>216</v>
      </c>
      <c r="J2779" s="3" t="s">
        <v>3021</v>
      </c>
      <c r="K2779" s="3" t="s">
        <v>216</v>
      </c>
    </row>
    <row r="2780" ht="15.6" spans="4:11">
      <c r="D2780" s="3">
        <v>8684</v>
      </c>
      <c r="E2780" s="3" t="s">
        <v>216</v>
      </c>
      <c r="J2780" s="3" t="s">
        <v>3022</v>
      </c>
      <c r="K2780" s="3" t="s">
        <v>216</v>
      </c>
    </row>
    <row r="2781" ht="15.6" spans="4:11">
      <c r="D2781" s="3">
        <v>8685</v>
      </c>
      <c r="E2781" s="3" t="s">
        <v>216</v>
      </c>
      <c r="J2781" s="3" t="s">
        <v>3023</v>
      </c>
      <c r="K2781" s="3" t="s">
        <v>216</v>
      </c>
    </row>
    <row r="2782" ht="15.6" spans="4:11">
      <c r="D2782" s="3">
        <v>8686</v>
      </c>
      <c r="E2782" s="3" t="s">
        <v>216</v>
      </c>
      <c r="J2782" s="3" t="s">
        <v>3024</v>
      </c>
      <c r="K2782" s="3" t="s">
        <v>216</v>
      </c>
    </row>
    <row r="2783" ht="15.6" spans="4:11">
      <c r="D2783" s="3">
        <v>8687</v>
      </c>
      <c r="E2783" s="3" t="s">
        <v>216</v>
      </c>
      <c r="J2783" s="3" t="s">
        <v>3025</v>
      </c>
      <c r="K2783" s="3" t="s">
        <v>216</v>
      </c>
    </row>
    <row r="2784" ht="15.6" spans="4:11">
      <c r="D2784" s="3">
        <v>8688</v>
      </c>
      <c r="E2784" s="3" t="s">
        <v>216</v>
      </c>
      <c r="J2784" s="3" t="s">
        <v>3026</v>
      </c>
      <c r="K2784" s="3" t="s">
        <v>216</v>
      </c>
    </row>
    <row r="2785" ht="15.6" spans="4:11">
      <c r="D2785" s="3">
        <v>8689</v>
      </c>
      <c r="E2785" s="3" t="s">
        <v>216</v>
      </c>
      <c r="J2785" s="3" t="s">
        <v>3027</v>
      </c>
      <c r="K2785" s="3" t="s">
        <v>216</v>
      </c>
    </row>
    <row r="2786" ht="15.6" spans="4:11">
      <c r="D2786" s="3">
        <v>8690</v>
      </c>
      <c r="E2786" s="3" t="s">
        <v>216</v>
      </c>
      <c r="J2786" s="3" t="s">
        <v>3028</v>
      </c>
      <c r="K2786" s="3" t="s">
        <v>216</v>
      </c>
    </row>
    <row r="2787" ht="15.6" spans="4:11">
      <c r="D2787" s="3">
        <v>8691</v>
      </c>
      <c r="E2787" s="3" t="s">
        <v>216</v>
      </c>
      <c r="J2787" s="3" t="s">
        <v>3029</v>
      </c>
      <c r="K2787" s="3" t="s">
        <v>216</v>
      </c>
    </row>
    <row r="2788" ht="15.6" spans="4:11">
      <c r="D2788" s="3">
        <v>8692</v>
      </c>
      <c r="E2788" s="3" t="s">
        <v>216</v>
      </c>
      <c r="J2788" s="3" t="s">
        <v>3030</v>
      </c>
      <c r="K2788" s="3" t="s">
        <v>216</v>
      </c>
    </row>
    <row r="2789" ht="15.6" spans="4:11">
      <c r="D2789" s="3">
        <v>8693</v>
      </c>
      <c r="E2789" s="3" t="s">
        <v>216</v>
      </c>
      <c r="J2789" s="3" t="s">
        <v>3031</v>
      </c>
      <c r="K2789" s="3" t="s">
        <v>216</v>
      </c>
    </row>
    <row r="2790" ht="15.6" spans="4:11">
      <c r="D2790" s="3">
        <v>8694</v>
      </c>
      <c r="E2790" s="3" t="s">
        <v>216</v>
      </c>
      <c r="J2790" s="3" t="s">
        <v>3032</v>
      </c>
      <c r="K2790" s="3" t="s">
        <v>216</v>
      </c>
    </row>
    <row r="2791" ht="15.6" spans="4:11">
      <c r="D2791" s="3">
        <v>8695</v>
      </c>
      <c r="E2791" s="3" t="s">
        <v>216</v>
      </c>
      <c r="J2791" s="3" t="s">
        <v>3033</v>
      </c>
      <c r="K2791" s="3" t="s">
        <v>216</v>
      </c>
    </row>
    <row r="2792" ht="15.6" spans="4:11">
      <c r="D2792" s="3">
        <v>8696</v>
      </c>
      <c r="E2792" s="3" t="s">
        <v>216</v>
      </c>
      <c r="J2792" s="3" t="s">
        <v>3034</v>
      </c>
      <c r="K2792" s="3" t="s">
        <v>216</v>
      </c>
    </row>
    <row r="2793" ht="15.6" spans="4:11">
      <c r="D2793" s="3">
        <v>8697</v>
      </c>
      <c r="E2793" s="3" t="s">
        <v>216</v>
      </c>
      <c r="J2793" s="3" t="s">
        <v>3035</v>
      </c>
      <c r="K2793" s="3" t="s">
        <v>216</v>
      </c>
    </row>
    <row r="2794" ht="15.6" spans="4:11">
      <c r="D2794" s="3">
        <v>8698</v>
      </c>
      <c r="E2794" s="3" t="s">
        <v>216</v>
      </c>
      <c r="J2794" s="3" t="s">
        <v>3036</v>
      </c>
      <c r="K2794" s="3" t="s">
        <v>216</v>
      </c>
    </row>
    <row r="2795" ht="15.6" spans="4:11">
      <c r="D2795" s="3">
        <v>8699</v>
      </c>
      <c r="E2795" s="3" t="s">
        <v>216</v>
      </c>
      <c r="J2795" s="3" t="s">
        <v>3037</v>
      </c>
      <c r="K2795" s="3" t="s">
        <v>216</v>
      </c>
    </row>
    <row r="2796" ht="15.6" spans="4:11">
      <c r="D2796" s="3">
        <v>8700</v>
      </c>
      <c r="E2796" s="3" t="s">
        <v>216</v>
      </c>
      <c r="J2796" s="3" t="s">
        <v>3038</v>
      </c>
      <c r="K2796" s="3" t="s">
        <v>216</v>
      </c>
    </row>
    <row r="2797" ht="15.6" spans="4:11">
      <c r="D2797" s="3">
        <v>8701</v>
      </c>
      <c r="E2797" s="3" t="s">
        <v>216</v>
      </c>
      <c r="J2797" s="3" t="s">
        <v>3039</v>
      </c>
      <c r="K2797" s="3" t="s">
        <v>216</v>
      </c>
    </row>
    <row r="2798" ht="15.6" spans="4:11">
      <c r="D2798" s="3">
        <v>8702</v>
      </c>
      <c r="E2798" s="3" t="s">
        <v>216</v>
      </c>
      <c r="J2798" s="3" t="s">
        <v>3040</v>
      </c>
      <c r="K2798" s="3" t="s">
        <v>216</v>
      </c>
    </row>
    <row r="2799" ht="15.6" spans="4:11">
      <c r="D2799" s="3">
        <v>8703</v>
      </c>
      <c r="E2799" s="3" t="s">
        <v>216</v>
      </c>
      <c r="J2799" s="3" t="s">
        <v>3041</v>
      </c>
      <c r="K2799" s="3" t="s">
        <v>216</v>
      </c>
    </row>
    <row r="2800" ht="15.6" spans="4:11">
      <c r="D2800" s="3">
        <v>8704</v>
      </c>
      <c r="E2800" s="3" t="s">
        <v>216</v>
      </c>
      <c r="J2800" s="3" t="s">
        <v>3042</v>
      </c>
      <c r="K2800" s="3" t="s">
        <v>216</v>
      </c>
    </row>
    <row r="2801" ht="15.6" spans="4:11">
      <c r="D2801" s="3">
        <v>8705</v>
      </c>
      <c r="E2801" s="3" t="s">
        <v>216</v>
      </c>
      <c r="J2801" s="3" t="s">
        <v>3043</v>
      </c>
      <c r="K2801" s="3" t="s">
        <v>216</v>
      </c>
    </row>
    <row r="2802" ht="15.6" spans="4:11">
      <c r="D2802" s="3">
        <v>8706</v>
      </c>
      <c r="E2802" s="3" t="s">
        <v>216</v>
      </c>
      <c r="J2802" s="3" t="s">
        <v>3044</v>
      </c>
      <c r="K2802" s="3" t="s">
        <v>216</v>
      </c>
    </row>
    <row r="2803" ht="15.6" spans="4:11">
      <c r="D2803" s="3">
        <v>8707</v>
      </c>
      <c r="E2803" s="3" t="s">
        <v>216</v>
      </c>
      <c r="J2803" s="3" t="s">
        <v>3045</v>
      </c>
      <c r="K2803" s="3" t="s">
        <v>216</v>
      </c>
    </row>
    <row r="2804" ht="15.6" spans="4:11">
      <c r="D2804" s="3">
        <v>8708</v>
      </c>
      <c r="E2804" s="3" t="s">
        <v>216</v>
      </c>
      <c r="J2804" s="3" t="s">
        <v>3046</v>
      </c>
      <c r="K2804" s="3" t="s">
        <v>216</v>
      </c>
    </row>
    <row r="2805" ht="15.6" spans="4:11">
      <c r="D2805" s="3">
        <v>8709</v>
      </c>
      <c r="E2805" s="3" t="s">
        <v>216</v>
      </c>
      <c r="J2805" s="3" t="s">
        <v>3047</v>
      </c>
      <c r="K2805" s="3" t="s">
        <v>216</v>
      </c>
    </row>
    <row r="2806" ht="15.6" spans="4:11">
      <c r="D2806" s="3">
        <v>8710</v>
      </c>
      <c r="E2806" s="3" t="s">
        <v>216</v>
      </c>
      <c r="J2806" s="3" t="s">
        <v>3048</v>
      </c>
      <c r="K2806" s="3" t="s">
        <v>216</v>
      </c>
    </row>
    <row r="2807" ht="15.6" spans="4:11">
      <c r="D2807" s="3">
        <v>8711</v>
      </c>
      <c r="E2807" s="3" t="s">
        <v>216</v>
      </c>
      <c r="J2807" s="3" t="s">
        <v>3049</v>
      </c>
      <c r="K2807" s="3" t="s">
        <v>216</v>
      </c>
    </row>
    <row r="2808" ht="15.6" spans="4:11">
      <c r="D2808" s="3">
        <v>8712</v>
      </c>
      <c r="E2808" s="3" t="s">
        <v>216</v>
      </c>
      <c r="J2808" s="3" t="s">
        <v>3050</v>
      </c>
      <c r="K2808" s="3" t="s">
        <v>216</v>
      </c>
    </row>
    <row r="2809" ht="15.6" spans="4:11">
      <c r="D2809" s="3">
        <v>8713</v>
      </c>
      <c r="E2809" s="3" t="s">
        <v>216</v>
      </c>
      <c r="J2809" s="3" t="s">
        <v>3051</v>
      </c>
      <c r="K2809" s="3" t="s">
        <v>216</v>
      </c>
    </row>
    <row r="2810" ht="15.6" spans="4:11">
      <c r="D2810" s="3">
        <v>8714</v>
      </c>
      <c r="E2810" s="3" t="s">
        <v>216</v>
      </c>
      <c r="J2810" s="3" t="s">
        <v>3052</v>
      </c>
      <c r="K2810" s="3" t="s">
        <v>216</v>
      </c>
    </row>
    <row r="2811" ht="15.6" spans="4:11">
      <c r="D2811" s="3">
        <v>8715</v>
      </c>
      <c r="E2811" s="3" t="s">
        <v>216</v>
      </c>
      <c r="J2811" s="3" t="s">
        <v>3053</v>
      </c>
      <c r="K2811" s="3" t="s">
        <v>216</v>
      </c>
    </row>
    <row r="2812" ht="15.6" spans="4:11">
      <c r="D2812" s="3">
        <v>8716</v>
      </c>
      <c r="E2812" s="3" t="s">
        <v>216</v>
      </c>
      <c r="J2812" s="3" t="s">
        <v>3054</v>
      </c>
      <c r="K2812" s="3" t="s">
        <v>216</v>
      </c>
    </row>
    <row r="2813" ht="15.6" spans="4:11">
      <c r="D2813" s="3">
        <v>8717</v>
      </c>
      <c r="E2813" s="3" t="s">
        <v>216</v>
      </c>
      <c r="J2813" s="3" t="s">
        <v>3055</v>
      </c>
      <c r="K2813" s="3" t="s">
        <v>216</v>
      </c>
    </row>
    <row r="2814" ht="15.6" spans="4:11">
      <c r="D2814" s="3">
        <v>8718</v>
      </c>
      <c r="E2814" s="3" t="s">
        <v>216</v>
      </c>
      <c r="J2814" s="3" t="s">
        <v>3056</v>
      </c>
      <c r="K2814" s="3" t="s">
        <v>216</v>
      </c>
    </row>
    <row r="2815" ht="15.6" spans="4:11">
      <c r="D2815" s="3">
        <v>8719</v>
      </c>
      <c r="E2815" s="3" t="s">
        <v>216</v>
      </c>
      <c r="J2815" s="3" t="s">
        <v>3057</v>
      </c>
      <c r="K2815" s="3" t="s">
        <v>216</v>
      </c>
    </row>
    <row r="2816" ht="15.6" spans="4:11">
      <c r="D2816" s="3">
        <v>8720</v>
      </c>
      <c r="E2816" s="3" t="s">
        <v>216</v>
      </c>
      <c r="J2816" s="3" t="s">
        <v>3058</v>
      </c>
      <c r="K2816" s="3" t="s">
        <v>216</v>
      </c>
    </row>
    <row r="2817" ht="15.6" spans="4:11">
      <c r="D2817" s="3">
        <v>8721</v>
      </c>
      <c r="E2817" s="3" t="s">
        <v>216</v>
      </c>
      <c r="J2817" s="3" t="s">
        <v>3059</v>
      </c>
      <c r="K2817" s="3" t="s">
        <v>216</v>
      </c>
    </row>
    <row r="2818" ht="15.6" spans="4:11">
      <c r="D2818" s="3">
        <v>8722</v>
      </c>
      <c r="E2818" s="3" t="s">
        <v>216</v>
      </c>
      <c r="J2818" s="3" t="s">
        <v>3060</v>
      </c>
      <c r="K2818" s="3" t="s">
        <v>216</v>
      </c>
    </row>
    <row r="2819" ht="15.6" spans="4:11">
      <c r="D2819" s="3">
        <v>8723</v>
      </c>
      <c r="E2819" s="3" t="s">
        <v>216</v>
      </c>
      <c r="J2819" s="3" t="s">
        <v>3061</v>
      </c>
      <c r="K2819" s="3" t="s">
        <v>216</v>
      </c>
    </row>
    <row r="2820" ht="15.6" spans="4:11">
      <c r="D2820" s="3">
        <v>8724</v>
      </c>
      <c r="E2820" s="3" t="s">
        <v>216</v>
      </c>
      <c r="J2820" s="3" t="s">
        <v>3062</v>
      </c>
      <c r="K2820" s="3" t="s">
        <v>216</v>
      </c>
    </row>
    <row r="2821" ht="15.6" spans="4:11">
      <c r="D2821" s="3">
        <v>8725</v>
      </c>
      <c r="E2821" s="3" t="s">
        <v>216</v>
      </c>
      <c r="J2821" s="3" t="s">
        <v>3063</v>
      </c>
      <c r="K2821" s="3" t="s">
        <v>216</v>
      </c>
    </row>
    <row r="2822" ht="15.6" spans="4:11">
      <c r="D2822" s="3">
        <v>8726</v>
      </c>
      <c r="E2822" s="3" t="s">
        <v>216</v>
      </c>
      <c r="J2822" s="3" t="s">
        <v>3064</v>
      </c>
      <c r="K2822" s="3" t="s">
        <v>216</v>
      </c>
    </row>
    <row r="2823" ht="15.6" spans="4:11">
      <c r="D2823" s="3">
        <v>8727</v>
      </c>
      <c r="E2823" s="3" t="s">
        <v>216</v>
      </c>
      <c r="J2823" s="3" t="s">
        <v>3065</v>
      </c>
      <c r="K2823" s="3" t="s">
        <v>216</v>
      </c>
    </row>
    <row r="2824" ht="15.6" spans="4:11">
      <c r="D2824" s="3">
        <v>8728</v>
      </c>
      <c r="E2824" s="3" t="s">
        <v>216</v>
      </c>
      <c r="J2824" s="3" t="s">
        <v>3066</v>
      </c>
      <c r="K2824" s="3" t="s">
        <v>216</v>
      </c>
    </row>
    <row r="2825" ht="15.6" spans="4:11">
      <c r="D2825" s="3">
        <v>8729</v>
      </c>
      <c r="E2825" s="3" t="s">
        <v>216</v>
      </c>
      <c r="J2825" s="3" t="s">
        <v>3067</v>
      </c>
      <c r="K2825" s="3" t="s">
        <v>216</v>
      </c>
    </row>
    <row r="2826" ht="15.6" spans="4:11">
      <c r="D2826" s="3">
        <v>8730</v>
      </c>
      <c r="E2826" s="3" t="s">
        <v>216</v>
      </c>
      <c r="J2826" s="3" t="s">
        <v>3068</v>
      </c>
      <c r="K2826" s="3" t="s">
        <v>216</v>
      </c>
    </row>
    <row r="2827" ht="15.6" spans="4:11">
      <c r="D2827" s="3">
        <v>8731</v>
      </c>
      <c r="E2827" s="3" t="s">
        <v>216</v>
      </c>
      <c r="J2827" s="3" t="s">
        <v>3069</v>
      </c>
      <c r="K2827" s="3" t="s">
        <v>216</v>
      </c>
    </row>
    <row r="2828" ht="15.6" spans="4:11">
      <c r="D2828" s="3">
        <v>8732</v>
      </c>
      <c r="E2828" s="3" t="s">
        <v>216</v>
      </c>
      <c r="J2828" s="3" t="s">
        <v>3070</v>
      </c>
      <c r="K2828" s="3" t="s">
        <v>216</v>
      </c>
    </row>
    <row r="2829" ht="15.6" spans="4:11">
      <c r="D2829" s="3">
        <v>8733</v>
      </c>
      <c r="E2829" s="3" t="s">
        <v>216</v>
      </c>
      <c r="J2829" s="3" t="s">
        <v>3071</v>
      </c>
      <c r="K2829" s="3" t="s">
        <v>216</v>
      </c>
    </row>
    <row r="2830" ht="15.6" spans="4:11">
      <c r="D2830" s="3">
        <v>8734</v>
      </c>
      <c r="E2830" s="3" t="s">
        <v>216</v>
      </c>
      <c r="J2830" s="3" t="s">
        <v>3072</v>
      </c>
      <c r="K2830" s="3" t="s">
        <v>216</v>
      </c>
    </row>
    <row r="2831" ht="15.6" spans="4:11">
      <c r="D2831" s="3">
        <v>8735</v>
      </c>
      <c r="E2831" s="3" t="s">
        <v>216</v>
      </c>
      <c r="J2831" s="3" t="s">
        <v>3073</v>
      </c>
      <c r="K2831" s="3" t="s">
        <v>216</v>
      </c>
    </row>
    <row r="2832" ht="15.6" spans="4:11">
      <c r="D2832" s="3">
        <v>8736</v>
      </c>
      <c r="E2832" s="3" t="s">
        <v>216</v>
      </c>
      <c r="J2832" s="3" t="s">
        <v>3074</v>
      </c>
      <c r="K2832" s="3" t="s">
        <v>216</v>
      </c>
    </row>
    <row r="2833" ht="15.6" spans="4:11">
      <c r="D2833" s="3">
        <v>8737</v>
      </c>
      <c r="E2833" s="3" t="s">
        <v>216</v>
      </c>
      <c r="J2833" s="3" t="s">
        <v>3075</v>
      </c>
      <c r="K2833" s="3" t="s">
        <v>216</v>
      </c>
    </row>
    <row r="2834" ht="15.6" spans="4:11">
      <c r="D2834" s="3">
        <v>8738</v>
      </c>
      <c r="E2834" s="3" t="s">
        <v>216</v>
      </c>
      <c r="J2834" s="3" t="s">
        <v>3076</v>
      </c>
      <c r="K2834" s="3" t="s">
        <v>216</v>
      </c>
    </row>
    <row r="2835" ht="15.6" spans="4:11">
      <c r="D2835" s="3">
        <v>8739</v>
      </c>
      <c r="E2835" s="3" t="s">
        <v>216</v>
      </c>
      <c r="J2835" s="3" t="s">
        <v>3077</v>
      </c>
      <c r="K2835" s="3" t="s">
        <v>216</v>
      </c>
    </row>
    <row r="2836" ht="15.6" spans="4:11">
      <c r="D2836" s="3">
        <v>8740</v>
      </c>
      <c r="E2836" s="3" t="s">
        <v>216</v>
      </c>
      <c r="J2836" s="3" t="s">
        <v>3078</v>
      </c>
      <c r="K2836" s="3" t="s">
        <v>216</v>
      </c>
    </row>
    <row r="2837" ht="15.6" spans="4:11">
      <c r="D2837" s="3">
        <v>8741</v>
      </c>
      <c r="E2837" s="3" t="s">
        <v>216</v>
      </c>
      <c r="J2837" s="3" t="s">
        <v>3079</v>
      </c>
      <c r="K2837" s="3" t="s">
        <v>216</v>
      </c>
    </row>
    <row r="2838" ht="15.6" spans="4:11">
      <c r="D2838" s="3">
        <v>8742</v>
      </c>
      <c r="E2838" s="3" t="s">
        <v>216</v>
      </c>
      <c r="J2838" s="3" t="s">
        <v>3080</v>
      </c>
      <c r="K2838" s="3" t="s">
        <v>216</v>
      </c>
    </row>
    <row r="2839" ht="15.6" spans="4:11">
      <c r="D2839" s="3">
        <v>8743</v>
      </c>
      <c r="E2839" s="3" t="s">
        <v>216</v>
      </c>
      <c r="J2839" s="3" t="s">
        <v>3081</v>
      </c>
      <c r="K2839" s="3" t="s">
        <v>216</v>
      </c>
    </row>
    <row r="2840" ht="15.6" spans="4:11">
      <c r="D2840" s="3">
        <v>8744</v>
      </c>
      <c r="E2840" s="3" t="s">
        <v>216</v>
      </c>
      <c r="J2840" s="3" t="s">
        <v>3082</v>
      </c>
      <c r="K2840" s="3" t="s">
        <v>216</v>
      </c>
    </row>
    <row r="2841" ht="15.6" spans="4:11">
      <c r="D2841" s="3">
        <v>8745</v>
      </c>
      <c r="E2841" s="3" t="s">
        <v>216</v>
      </c>
      <c r="J2841" s="3" t="s">
        <v>3083</v>
      </c>
      <c r="K2841" s="3" t="s">
        <v>216</v>
      </c>
    </row>
    <row r="2842" ht="15.6" spans="4:11">
      <c r="D2842" s="3">
        <v>8746</v>
      </c>
      <c r="E2842" s="3" t="s">
        <v>216</v>
      </c>
      <c r="J2842" s="3" t="s">
        <v>3084</v>
      </c>
      <c r="K2842" s="3" t="s">
        <v>216</v>
      </c>
    </row>
    <row r="2843" ht="15.6" spans="4:11">
      <c r="D2843" s="3">
        <v>8747</v>
      </c>
      <c r="E2843" s="3" t="s">
        <v>216</v>
      </c>
      <c r="J2843" s="3" t="s">
        <v>3085</v>
      </c>
      <c r="K2843" s="3" t="s">
        <v>216</v>
      </c>
    </row>
    <row r="2844" ht="15.6" spans="4:11">
      <c r="D2844" s="3">
        <v>8748</v>
      </c>
      <c r="E2844" s="3" t="s">
        <v>216</v>
      </c>
      <c r="J2844" s="3" t="s">
        <v>3086</v>
      </c>
      <c r="K2844" s="3" t="s">
        <v>216</v>
      </c>
    </row>
    <row r="2845" ht="15.6" spans="4:11">
      <c r="D2845" s="3">
        <v>8749</v>
      </c>
      <c r="E2845" s="3" t="s">
        <v>216</v>
      </c>
      <c r="J2845" s="3" t="s">
        <v>3087</v>
      </c>
      <c r="K2845" s="3" t="s">
        <v>216</v>
      </c>
    </row>
    <row r="2846" ht="15.6" spans="4:11">
      <c r="D2846" s="3">
        <v>8750</v>
      </c>
      <c r="E2846" s="3" t="s">
        <v>216</v>
      </c>
      <c r="J2846" s="3" t="s">
        <v>3088</v>
      </c>
      <c r="K2846" s="3" t="s">
        <v>216</v>
      </c>
    </row>
    <row r="2847" ht="15.6" spans="4:11">
      <c r="D2847" s="3">
        <v>8751</v>
      </c>
      <c r="E2847" s="3" t="s">
        <v>216</v>
      </c>
      <c r="J2847" s="3" t="s">
        <v>3089</v>
      </c>
      <c r="K2847" s="3" t="s">
        <v>216</v>
      </c>
    </row>
    <row r="2848" ht="15.6" spans="4:11">
      <c r="D2848" s="3">
        <v>8752</v>
      </c>
      <c r="E2848" s="3" t="s">
        <v>216</v>
      </c>
      <c r="J2848" s="3" t="s">
        <v>3090</v>
      </c>
      <c r="K2848" s="3" t="s">
        <v>216</v>
      </c>
    </row>
    <row r="2849" ht="15.6" spans="4:11">
      <c r="D2849" s="3">
        <v>8753</v>
      </c>
      <c r="E2849" s="3" t="s">
        <v>216</v>
      </c>
      <c r="J2849" s="3" t="s">
        <v>3091</v>
      </c>
      <c r="K2849" s="3" t="s">
        <v>216</v>
      </c>
    </row>
    <row r="2850" ht="15.6" spans="4:11">
      <c r="D2850" s="3">
        <v>8754</v>
      </c>
      <c r="E2850" s="3" t="s">
        <v>216</v>
      </c>
      <c r="J2850" s="3" t="s">
        <v>3092</v>
      </c>
      <c r="K2850" s="3" t="s">
        <v>216</v>
      </c>
    </row>
    <row r="2851" ht="15.6" spans="4:11">
      <c r="D2851" s="3">
        <v>8755</v>
      </c>
      <c r="E2851" s="3" t="s">
        <v>216</v>
      </c>
      <c r="J2851" s="3" t="s">
        <v>3093</v>
      </c>
      <c r="K2851" s="3" t="s">
        <v>216</v>
      </c>
    </row>
    <row r="2852" ht="15.6" spans="4:11">
      <c r="D2852" s="3">
        <v>8756</v>
      </c>
      <c r="E2852" s="3" t="s">
        <v>216</v>
      </c>
      <c r="J2852" s="3" t="s">
        <v>3094</v>
      </c>
      <c r="K2852" s="3" t="s">
        <v>216</v>
      </c>
    </row>
    <row r="2853" ht="15.6" spans="4:11">
      <c r="D2853" s="3">
        <v>8757</v>
      </c>
      <c r="E2853" s="3" t="s">
        <v>216</v>
      </c>
      <c r="J2853" s="3" t="s">
        <v>3095</v>
      </c>
      <c r="K2853" s="3" t="s">
        <v>216</v>
      </c>
    </row>
    <row r="2854" ht="15.6" spans="4:11">
      <c r="D2854" s="3">
        <v>8758</v>
      </c>
      <c r="E2854" s="3" t="s">
        <v>216</v>
      </c>
      <c r="J2854" s="3" t="s">
        <v>3096</v>
      </c>
      <c r="K2854" s="3" t="s">
        <v>216</v>
      </c>
    </row>
    <row r="2855" ht="15.6" spans="4:11">
      <c r="D2855" s="3">
        <v>8759</v>
      </c>
      <c r="E2855" s="3" t="s">
        <v>216</v>
      </c>
      <c r="J2855" s="3" t="s">
        <v>3097</v>
      </c>
      <c r="K2855" s="3" t="s">
        <v>216</v>
      </c>
    </row>
    <row r="2856" ht="15.6" spans="4:11">
      <c r="D2856" s="3">
        <v>8760</v>
      </c>
      <c r="E2856" s="3" t="s">
        <v>216</v>
      </c>
      <c r="J2856" s="3" t="s">
        <v>3098</v>
      </c>
      <c r="K2856" s="3" t="s">
        <v>216</v>
      </c>
    </row>
    <row r="2857" ht="15.6" spans="4:11">
      <c r="D2857" s="3">
        <v>8761</v>
      </c>
      <c r="E2857" s="3" t="s">
        <v>216</v>
      </c>
      <c r="J2857" s="3" t="s">
        <v>3099</v>
      </c>
      <c r="K2857" s="3" t="s">
        <v>216</v>
      </c>
    </row>
    <row r="2858" ht="15.6" spans="4:11">
      <c r="D2858" s="3">
        <v>8762</v>
      </c>
      <c r="E2858" s="3" t="s">
        <v>216</v>
      </c>
      <c r="J2858" s="3" t="s">
        <v>3100</v>
      </c>
      <c r="K2858" s="3" t="s">
        <v>216</v>
      </c>
    </row>
    <row r="2859" ht="15.6" spans="4:11">
      <c r="D2859" s="3">
        <v>8763</v>
      </c>
      <c r="E2859" s="3" t="s">
        <v>216</v>
      </c>
      <c r="J2859" s="3" t="s">
        <v>3101</v>
      </c>
      <c r="K2859" s="3" t="s">
        <v>216</v>
      </c>
    </row>
    <row r="2860" ht="15.6" spans="4:11">
      <c r="D2860" s="3">
        <v>8764</v>
      </c>
      <c r="E2860" s="3" t="s">
        <v>216</v>
      </c>
      <c r="J2860" s="3" t="s">
        <v>3102</v>
      </c>
      <c r="K2860" s="3" t="s">
        <v>216</v>
      </c>
    </row>
    <row r="2861" ht="15.6" spans="4:11">
      <c r="D2861" s="3">
        <v>8765</v>
      </c>
      <c r="E2861" s="3" t="s">
        <v>216</v>
      </c>
      <c r="J2861" s="3" t="s">
        <v>3103</v>
      </c>
      <c r="K2861" s="3" t="s">
        <v>216</v>
      </c>
    </row>
    <row r="2862" ht="15.6" spans="4:11">
      <c r="D2862" s="3">
        <v>8766</v>
      </c>
      <c r="E2862" s="3" t="s">
        <v>216</v>
      </c>
      <c r="J2862" s="3" t="s">
        <v>3104</v>
      </c>
      <c r="K2862" s="3" t="s">
        <v>216</v>
      </c>
    </row>
    <row r="2863" ht="15.6" spans="4:11">
      <c r="D2863" s="3">
        <v>8767</v>
      </c>
      <c r="E2863" s="3" t="s">
        <v>216</v>
      </c>
      <c r="J2863" s="3" t="s">
        <v>3105</v>
      </c>
      <c r="K2863" s="3" t="s">
        <v>216</v>
      </c>
    </row>
    <row r="2864" ht="15.6" spans="4:11">
      <c r="D2864" s="3">
        <v>8768</v>
      </c>
      <c r="E2864" s="3" t="s">
        <v>216</v>
      </c>
      <c r="J2864" s="3" t="s">
        <v>3106</v>
      </c>
      <c r="K2864" s="3" t="s">
        <v>216</v>
      </c>
    </row>
    <row r="2865" ht="15.6" spans="4:11">
      <c r="D2865" s="3">
        <v>8769</v>
      </c>
      <c r="E2865" s="3" t="s">
        <v>216</v>
      </c>
      <c r="J2865" s="3" t="s">
        <v>3107</v>
      </c>
      <c r="K2865" s="3" t="s">
        <v>216</v>
      </c>
    </row>
    <row r="2866" ht="15.6" spans="4:11">
      <c r="D2866" s="3">
        <v>8770</v>
      </c>
      <c r="E2866" s="3" t="s">
        <v>216</v>
      </c>
      <c r="J2866" s="3" t="s">
        <v>3108</v>
      </c>
      <c r="K2866" s="3" t="s">
        <v>216</v>
      </c>
    </row>
    <row r="2867" ht="15.6" spans="4:11">
      <c r="D2867" s="3">
        <v>8771</v>
      </c>
      <c r="E2867" s="3" t="s">
        <v>216</v>
      </c>
      <c r="J2867" s="3" t="s">
        <v>3109</v>
      </c>
      <c r="K2867" s="3" t="s">
        <v>216</v>
      </c>
    </row>
    <row r="2868" ht="15.6" spans="4:11">
      <c r="D2868" s="3">
        <v>8772</v>
      </c>
      <c r="E2868" s="3" t="s">
        <v>216</v>
      </c>
      <c r="J2868" s="3" t="s">
        <v>3110</v>
      </c>
      <c r="K2868" s="3" t="s">
        <v>216</v>
      </c>
    </row>
    <row r="2869" ht="15.6" spans="4:11">
      <c r="D2869" s="3">
        <v>8773</v>
      </c>
      <c r="E2869" s="3" t="s">
        <v>216</v>
      </c>
      <c r="J2869" s="3" t="s">
        <v>3111</v>
      </c>
      <c r="K2869" s="3" t="s">
        <v>216</v>
      </c>
    </row>
    <row r="2870" ht="15.6" spans="4:11">
      <c r="D2870" s="3">
        <v>8774</v>
      </c>
      <c r="E2870" s="3" t="s">
        <v>216</v>
      </c>
      <c r="J2870" s="3" t="s">
        <v>3112</v>
      </c>
      <c r="K2870" s="3" t="s">
        <v>216</v>
      </c>
    </row>
    <row r="2871" ht="15.6" spans="4:11">
      <c r="D2871" s="3">
        <v>8775</v>
      </c>
      <c r="E2871" s="3" t="s">
        <v>216</v>
      </c>
      <c r="J2871" s="3" t="s">
        <v>3113</v>
      </c>
      <c r="K2871" s="3" t="s">
        <v>216</v>
      </c>
    </row>
    <row r="2872" ht="15.6" spans="4:11">
      <c r="D2872" s="3">
        <v>8776</v>
      </c>
      <c r="E2872" s="3" t="s">
        <v>216</v>
      </c>
      <c r="J2872" s="3" t="s">
        <v>3114</v>
      </c>
      <c r="K2872" s="3" t="s">
        <v>216</v>
      </c>
    </row>
    <row r="2873" ht="15.6" spans="4:11">
      <c r="D2873" s="3">
        <v>8777</v>
      </c>
      <c r="E2873" s="3" t="s">
        <v>216</v>
      </c>
      <c r="J2873" s="3" t="s">
        <v>3115</v>
      </c>
      <c r="K2873" s="3" t="s">
        <v>216</v>
      </c>
    </row>
    <row r="2874" ht="15.6" spans="4:11">
      <c r="D2874" s="3">
        <v>8778</v>
      </c>
      <c r="E2874" s="3" t="s">
        <v>216</v>
      </c>
      <c r="J2874" s="3" t="s">
        <v>3116</v>
      </c>
      <c r="K2874" s="3" t="s">
        <v>216</v>
      </c>
    </row>
    <row r="2875" ht="15.6" spans="4:11">
      <c r="D2875" s="3">
        <v>8779</v>
      </c>
      <c r="E2875" s="3" t="s">
        <v>216</v>
      </c>
      <c r="J2875" s="3" t="s">
        <v>3117</v>
      </c>
      <c r="K2875" s="3" t="s">
        <v>216</v>
      </c>
    </row>
    <row r="2876" ht="15.6" spans="4:11">
      <c r="D2876" s="3">
        <v>8780</v>
      </c>
      <c r="E2876" s="3" t="s">
        <v>216</v>
      </c>
      <c r="J2876" s="3" t="s">
        <v>3118</v>
      </c>
      <c r="K2876" s="3" t="s">
        <v>216</v>
      </c>
    </row>
    <row r="2877" ht="15.6" spans="4:11">
      <c r="D2877" s="3">
        <v>8781</v>
      </c>
      <c r="E2877" s="3" t="s">
        <v>216</v>
      </c>
      <c r="J2877" s="3" t="s">
        <v>3119</v>
      </c>
      <c r="K2877" s="3" t="s">
        <v>216</v>
      </c>
    </row>
    <row r="2878" ht="15.6" spans="4:11">
      <c r="D2878" s="3">
        <v>8782</v>
      </c>
      <c r="E2878" s="3" t="s">
        <v>216</v>
      </c>
      <c r="J2878" s="3" t="s">
        <v>3120</v>
      </c>
      <c r="K2878" s="3" t="s">
        <v>216</v>
      </c>
    </row>
    <row r="2879" ht="15.6" spans="4:11">
      <c r="D2879" s="3">
        <v>8783</v>
      </c>
      <c r="E2879" s="3" t="s">
        <v>216</v>
      </c>
      <c r="J2879" s="3" t="s">
        <v>3121</v>
      </c>
      <c r="K2879" s="3" t="s">
        <v>216</v>
      </c>
    </row>
    <row r="2880" ht="15.6" spans="4:11">
      <c r="D2880" s="3">
        <v>8784</v>
      </c>
      <c r="E2880" s="3" t="s">
        <v>216</v>
      </c>
      <c r="J2880" s="3" t="s">
        <v>3122</v>
      </c>
      <c r="K2880" s="3" t="s">
        <v>216</v>
      </c>
    </row>
    <row r="2881" ht="15.6" spans="4:11">
      <c r="D2881" s="3">
        <v>8785</v>
      </c>
      <c r="E2881" s="3" t="s">
        <v>216</v>
      </c>
      <c r="J2881" s="3" t="s">
        <v>3123</v>
      </c>
      <c r="K2881" s="3" t="s">
        <v>216</v>
      </c>
    </row>
    <row r="2882" ht="15.6" spans="4:11">
      <c r="D2882" s="3">
        <v>8786</v>
      </c>
      <c r="E2882" s="3" t="s">
        <v>216</v>
      </c>
      <c r="J2882" s="3" t="s">
        <v>3124</v>
      </c>
      <c r="K2882" s="3" t="s">
        <v>216</v>
      </c>
    </row>
    <row r="2883" ht="15.6" spans="4:11">
      <c r="D2883" s="3">
        <v>8787</v>
      </c>
      <c r="E2883" s="3" t="s">
        <v>216</v>
      </c>
      <c r="J2883" s="3" t="s">
        <v>3125</v>
      </c>
      <c r="K2883" s="3" t="s">
        <v>216</v>
      </c>
    </row>
    <row r="2884" ht="15.6" spans="4:11">
      <c r="D2884" s="3">
        <v>8788</v>
      </c>
      <c r="E2884" s="3" t="s">
        <v>216</v>
      </c>
      <c r="J2884" s="3" t="s">
        <v>3126</v>
      </c>
      <c r="K2884" s="3" t="s">
        <v>216</v>
      </c>
    </row>
    <row r="2885" ht="15.6" spans="4:11">
      <c r="D2885" s="3">
        <v>8789</v>
      </c>
      <c r="E2885" s="3" t="s">
        <v>216</v>
      </c>
      <c r="J2885" s="3" t="s">
        <v>3127</v>
      </c>
      <c r="K2885" s="3" t="s">
        <v>216</v>
      </c>
    </row>
    <row r="2886" ht="15.6" spans="4:11">
      <c r="D2886" s="3">
        <v>8790</v>
      </c>
      <c r="E2886" s="3" t="s">
        <v>216</v>
      </c>
      <c r="J2886" s="3" t="s">
        <v>3128</v>
      </c>
      <c r="K2886" s="3" t="s">
        <v>216</v>
      </c>
    </row>
    <row r="2887" ht="15.6" spans="4:11">
      <c r="D2887" s="3">
        <v>8791</v>
      </c>
      <c r="E2887" s="3" t="s">
        <v>216</v>
      </c>
      <c r="J2887" s="3" t="s">
        <v>3129</v>
      </c>
      <c r="K2887" s="3" t="s">
        <v>216</v>
      </c>
    </row>
    <row r="2888" ht="15.6" spans="4:11">
      <c r="D2888" s="3">
        <v>8792</v>
      </c>
      <c r="E2888" s="3" t="s">
        <v>216</v>
      </c>
      <c r="J2888" s="3" t="s">
        <v>3130</v>
      </c>
      <c r="K2888" s="3" t="s">
        <v>216</v>
      </c>
    </row>
    <row r="2889" ht="15.6" spans="4:11">
      <c r="D2889" s="3">
        <v>8793</v>
      </c>
      <c r="E2889" s="3" t="s">
        <v>216</v>
      </c>
      <c r="J2889" s="3" t="s">
        <v>3131</v>
      </c>
      <c r="K2889" s="3" t="s">
        <v>216</v>
      </c>
    </row>
    <row r="2890" ht="15.6" spans="4:11">
      <c r="D2890" s="3">
        <v>8794</v>
      </c>
      <c r="E2890" s="3" t="s">
        <v>216</v>
      </c>
      <c r="J2890" s="3" t="s">
        <v>3132</v>
      </c>
      <c r="K2890" s="3" t="s">
        <v>216</v>
      </c>
    </row>
    <row r="2891" ht="15.6" spans="4:11">
      <c r="D2891" s="3">
        <v>8795</v>
      </c>
      <c r="E2891" s="3" t="s">
        <v>216</v>
      </c>
      <c r="J2891" s="3" t="s">
        <v>3133</v>
      </c>
      <c r="K2891" s="3" t="s">
        <v>216</v>
      </c>
    </row>
    <row r="2892" ht="15.6" spans="4:11">
      <c r="D2892" s="3">
        <v>8796</v>
      </c>
      <c r="E2892" s="3" t="s">
        <v>216</v>
      </c>
      <c r="J2892" s="3" t="s">
        <v>3134</v>
      </c>
      <c r="K2892" s="3" t="s">
        <v>216</v>
      </c>
    </row>
    <row r="2893" ht="15.6" spans="4:11">
      <c r="D2893" s="3">
        <v>8797</v>
      </c>
      <c r="E2893" s="3" t="s">
        <v>216</v>
      </c>
      <c r="J2893" s="3" t="s">
        <v>3135</v>
      </c>
      <c r="K2893" s="3" t="s">
        <v>216</v>
      </c>
    </row>
    <row r="2894" ht="15.6" spans="4:11">
      <c r="D2894" s="3">
        <v>8798</v>
      </c>
      <c r="E2894" s="3" t="s">
        <v>216</v>
      </c>
      <c r="J2894" s="3" t="s">
        <v>3136</v>
      </c>
      <c r="K2894" s="3" t="s">
        <v>216</v>
      </c>
    </row>
    <row r="2895" ht="15.6" spans="4:11">
      <c r="D2895" s="3">
        <v>8799</v>
      </c>
      <c r="E2895" s="3" t="s">
        <v>216</v>
      </c>
      <c r="J2895" s="3" t="s">
        <v>3137</v>
      </c>
      <c r="K2895" s="3" t="s">
        <v>216</v>
      </c>
    </row>
    <row r="2896" ht="15.6" spans="4:11">
      <c r="D2896" s="3">
        <v>8800</v>
      </c>
      <c r="E2896" s="3" t="s">
        <v>216</v>
      </c>
      <c r="J2896" s="3" t="s">
        <v>3138</v>
      </c>
      <c r="K2896" s="3" t="s">
        <v>216</v>
      </c>
    </row>
    <row r="2897" ht="15.6" spans="4:11">
      <c r="D2897" s="3">
        <v>8801</v>
      </c>
      <c r="E2897" s="3" t="s">
        <v>216</v>
      </c>
      <c r="J2897" s="3" t="s">
        <v>3139</v>
      </c>
      <c r="K2897" s="3" t="s">
        <v>216</v>
      </c>
    </row>
    <row r="2898" ht="15.6" spans="4:11">
      <c r="D2898" s="3">
        <v>8802</v>
      </c>
      <c r="E2898" s="3" t="s">
        <v>216</v>
      </c>
      <c r="J2898" s="3" t="s">
        <v>3140</v>
      </c>
      <c r="K2898" s="3" t="s">
        <v>216</v>
      </c>
    </row>
    <row r="2899" ht="15.6" spans="4:11">
      <c r="D2899" s="3">
        <v>8803</v>
      </c>
      <c r="E2899" s="3" t="s">
        <v>216</v>
      </c>
      <c r="J2899" s="3" t="s">
        <v>3141</v>
      </c>
      <c r="K2899" s="3" t="s">
        <v>216</v>
      </c>
    </row>
    <row r="2900" ht="15.6" spans="4:11">
      <c r="D2900" s="3">
        <v>8804</v>
      </c>
      <c r="E2900" s="3" t="s">
        <v>216</v>
      </c>
      <c r="J2900" s="3" t="s">
        <v>3142</v>
      </c>
      <c r="K2900" s="3" t="s">
        <v>216</v>
      </c>
    </row>
    <row r="2901" ht="15.6" spans="4:11">
      <c r="D2901" s="3">
        <v>8805</v>
      </c>
      <c r="E2901" s="3" t="s">
        <v>216</v>
      </c>
      <c r="J2901" s="3" t="s">
        <v>3143</v>
      </c>
      <c r="K2901" s="3" t="s">
        <v>216</v>
      </c>
    </row>
    <row r="2902" ht="15.6" spans="4:11">
      <c r="D2902" s="3">
        <v>8806</v>
      </c>
      <c r="E2902" s="3" t="s">
        <v>216</v>
      </c>
      <c r="J2902" s="3" t="s">
        <v>3144</v>
      </c>
      <c r="K2902" s="3" t="s">
        <v>216</v>
      </c>
    </row>
    <row r="2903" ht="15.6" spans="4:11">
      <c r="D2903" s="3">
        <v>8807</v>
      </c>
      <c r="E2903" s="3" t="s">
        <v>216</v>
      </c>
      <c r="J2903" s="3" t="s">
        <v>3145</v>
      </c>
      <c r="K2903" s="3" t="s">
        <v>216</v>
      </c>
    </row>
    <row r="2904" ht="15.6" spans="4:11">
      <c r="D2904" s="3">
        <v>8808</v>
      </c>
      <c r="E2904" s="3" t="s">
        <v>216</v>
      </c>
      <c r="J2904" s="3" t="s">
        <v>3146</v>
      </c>
      <c r="K2904" s="3" t="s">
        <v>216</v>
      </c>
    </row>
    <row r="2905" ht="15.6" spans="4:11">
      <c r="D2905" s="3">
        <v>8809</v>
      </c>
      <c r="E2905" s="3" t="s">
        <v>216</v>
      </c>
      <c r="J2905" s="3" t="s">
        <v>3147</v>
      </c>
      <c r="K2905" s="3" t="s">
        <v>216</v>
      </c>
    </row>
    <row r="2906" ht="15.6" spans="4:11">
      <c r="D2906" s="3">
        <v>8810</v>
      </c>
      <c r="E2906" s="3" t="s">
        <v>216</v>
      </c>
      <c r="J2906" s="3" t="s">
        <v>3148</v>
      </c>
      <c r="K2906" s="3" t="s">
        <v>216</v>
      </c>
    </row>
    <row r="2907" ht="15.6" spans="4:11">
      <c r="D2907" s="3">
        <v>8811</v>
      </c>
      <c r="E2907" s="3" t="s">
        <v>216</v>
      </c>
      <c r="J2907" s="3" t="s">
        <v>3149</v>
      </c>
      <c r="K2907" s="3" t="s">
        <v>216</v>
      </c>
    </row>
    <row r="2908" ht="15.6" spans="4:11">
      <c r="D2908" s="3">
        <v>8812</v>
      </c>
      <c r="E2908" s="3" t="s">
        <v>216</v>
      </c>
      <c r="J2908" s="3" t="s">
        <v>3150</v>
      </c>
      <c r="K2908" s="3" t="s">
        <v>216</v>
      </c>
    </row>
    <row r="2909" ht="15.6" spans="4:11">
      <c r="D2909" s="3">
        <v>8813</v>
      </c>
      <c r="E2909" s="3" t="s">
        <v>216</v>
      </c>
      <c r="J2909" s="3" t="s">
        <v>3151</v>
      </c>
      <c r="K2909" s="3" t="s">
        <v>216</v>
      </c>
    </row>
    <row r="2910" ht="15.6" spans="4:11">
      <c r="D2910" s="3">
        <v>8814</v>
      </c>
      <c r="E2910" s="3" t="s">
        <v>216</v>
      </c>
      <c r="J2910" s="3" t="s">
        <v>3152</v>
      </c>
      <c r="K2910" s="3" t="s">
        <v>216</v>
      </c>
    </row>
    <row r="2911" ht="15.6" spans="4:11">
      <c r="D2911" s="3">
        <v>8815</v>
      </c>
      <c r="E2911" s="3" t="s">
        <v>216</v>
      </c>
      <c r="J2911" s="3" t="s">
        <v>3153</v>
      </c>
      <c r="K2911" s="3" t="s">
        <v>216</v>
      </c>
    </row>
    <row r="2912" ht="15.6" spans="4:11">
      <c r="D2912" s="3">
        <v>8816</v>
      </c>
      <c r="E2912" s="3" t="s">
        <v>216</v>
      </c>
      <c r="J2912" s="3" t="s">
        <v>3154</v>
      </c>
      <c r="K2912" s="3" t="s">
        <v>216</v>
      </c>
    </row>
    <row r="2913" ht="15.6" spans="4:11">
      <c r="D2913" s="3">
        <v>8817</v>
      </c>
      <c r="E2913" s="3" t="s">
        <v>216</v>
      </c>
      <c r="J2913" s="3" t="s">
        <v>3155</v>
      </c>
      <c r="K2913" s="3" t="s">
        <v>216</v>
      </c>
    </row>
    <row r="2914" ht="15.6" spans="4:11">
      <c r="D2914" s="3">
        <v>8818</v>
      </c>
      <c r="E2914" s="3" t="s">
        <v>216</v>
      </c>
      <c r="J2914" s="3" t="s">
        <v>3156</v>
      </c>
      <c r="K2914" s="3" t="s">
        <v>216</v>
      </c>
    </row>
    <row r="2915" ht="15.6" spans="4:11">
      <c r="D2915" s="3">
        <v>8819</v>
      </c>
      <c r="E2915" s="3" t="s">
        <v>216</v>
      </c>
      <c r="J2915" s="3" t="s">
        <v>3157</v>
      </c>
      <c r="K2915" s="3" t="s">
        <v>216</v>
      </c>
    </row>
    <row r="2916" ht="15.6" spans="4:11">
      <c r="D2916" s="3">
        <v>8820</v>
      </c>
      <c r="E2916" s="3" t="s">
        <v>216</v>
      </c>
      <c r="J2916" s="3" t="s">
        <v>3158</v>
      </c>
      <c r="K2916" s="3" t="s">
        <v>216</v>
      </c>
    </row>
    <row r="2917" ht="15.6" spans="4:11">
      <c r="D2917" s="3">
        <v>8821</v>
      </c>
      <c r="E2917" s="3" t="s">
        <v>216</v>
      </c>
      <c r="J2917" s="3" t="s">
        <v>3159</v>
      </c>
      <c r="K2917" s="3" t="s">
        <v>216</v>
      </c>
    </row>
    <row r="2918" ht="15.6" spans="4:11">
      <c r="D2918" s="3">
        <v>8822</v>
      </c>
      <c r="E2918" s="3" t="s">
        <v>216</v>
      </c>
      <c r="J2918" s="3" t="s">
        <v>3160</v>
      </c>
      <c r="K2918" s="3" t="s">
        <v>216</v>
      </c>
    </row>
    <row r="2919" ht="15.6" spans="4:11">
      <c r="D2919" s="3">
        <v>8823</v>
      </c>
      <c r="E2919" s="3" t="s">
        <v>216</v>
      </c>
      <c r="J2919" s="3" t="s">
        <v>3161</v>
      </c>
      <c r="K2919" s="3" t="s">
        <v>216</v>
      </c>
    </row>
    <row r="2920" ht="15.6" spans="4:11">
      <c r="D2920" s="3">
        <v>8824</v>
      </c>
      <c r="E2920" s="3" t="s">
        <v>216</v>
      </c>
      <c r="J2920" s="3" t="s">
        <v>3162</v>
      </c>
      <c r="K2920" s="3" t="s">
        <v>216</v>
      </c>
    </row>
    <row r="2921" ht="15.6" spans="4:11">
      <c r="D2921" s="3">
        <v>8825</v>
      </c>
      <c r="E2921" s="3" t="s">
        <v>216</v>
      </c>
      <c r="J2921" s="3" t="s">
        <v>3163</v>
      </c>
      <c r="K2921" s="3" t="s">
        <v>216</v>
      </c>
    </row>
    <row r="2922" ht="15.6" spans="4:11">
      <c r="D2922" s="3">
        <v>8826</v>
      </c>
      <c r="E2922" s="3" t="s">
        <v>216</v>
      </c>
      <c r="J2922" s="3" t="s">
        <v>3164</v>
      </c>
      <c r="K2922" s="3" t="s">
        <v>216</v>
      </c>
    </row>
    <row r="2923" ht="15.6" spans="4:11">
      <c r="D2923" s="3">
        <v>8827</v>
      </c>
      <c r="E2923" s="3" t="s">
        <v>216</v>
      </c>
      <c r="J2923" s="3" t="s">
        <v>3165</v>
      </c>
      <c r="K2923" s="3" t="s">
        <v>216</v>
      </c>
    </row>
    <row r="2924" ht="15.6" spans="4:11">
      <c r="D2924" s="3">
        <v>8828</v>
      </c>
      <c r="E2924" s="3" t="s">
        <v>216</v>
      </c>
      <c r="J2924" s="3" t="s">
        <v>3166</v>
      </c>
      <c r="K2924" s="3" t="s">
        <v>216</v>
      </c>
    </row>
    <row r="2925" ht="15.6" spans="4:11">
      <c r="D2925" s="3">
        <v>8829</v>
      </c>
      <c r="E2925" s="3" t="s">
        <v>216</v>
      </c>
      <c r="J2925" s="3" t="s">
        <v>3167</v>
      </c>
      <c r="K2925" s="3" t="s">
        <v>216</v>
      </c>
    </row>
    <row r="2926" ht="15.6" spans="4:11">
      <c r="D2926" s="3">
        <v>8830</v>
      </c>
      <c r="E2926" s="3" t="s">
        <v>216</v>
      </c>
      <c r="J2926" s="3" t="s">
        <v>3168</v>
      </c>
      <c r="K2926" s="3" t="s">
        <v>216</v>
      </c>
    </row>
    <row r="2927" ht="15.6" spans="4:11">
      <c r="D2927" s="3">
        <v>8831</v>
      </c>
      <c r="E2927" s="3" t="s">
        <v>216</v>
      </c>
      <c r="J2927" s="3" t="s">
        <v>3169</v>
      </c>
      <c r="K2927" s="3" t="s">
        <v>216</v>
      </c>
    </row>
    <row r="2928" ht="15.6" spans="4:11">
      <c r="D2928" s="3">
        <v>8832</v>
      </c>
      <c r="E2928" s="3" t="s">
        <v>216</v>
      </c>
      <c r="J2928" s="3" t="s">
        <v>3170</v>
      </c>
      <c r="K2928" s="3" t="s">
        <v>216</v>
      </c>
    </row>
    <row r="2929" ht="15.6" spans="4:11">
      <c r="D2929" s="3">
        <v>8833</v>
      </c>
      <c r="E2929" s="3" t="s">
        <v>216</v>
      </c>
      <c r="J2929" s="3" t="s">
        <v>3171</v>
      </c>
      <c r="K2929" s="3" t="s">
        <v>216</v>
      </c>
    </row>
    <row r="2930" ht="15.6" spans="4:11">
      <c r="D2930" s="3">
        <v>8834</v>
      </c>
      <c r="E2930" s="3" t="s">
        <v>216</v>
      </c>
      <c r="J2930" s="3" t="s">
        <v>3172</v>
      </c>
      <c r="K2930" s="3" t="s">
        <v>216</v>
      </c>
    </row>
    <row r="2931" ht="15.6" spans="4:11">
      <c r="D2931" s="3">
        <v>8835</v>
      </c>
      <c r="E2931" s="3" t="s">
        <v>216</v>
      </c>
      <c r="J2931" s="3" t="s">
        <v>3173</v>
      </c>
      <c r="K2931" s="3" t="s">
        <v>216</v>
      </c>
    </row>
    <row r="2932" ht="15.6" spans="4:11">
      <c r="D2932" s="3">
        <v>8836</v>
      </c>
      <c r="E2932" s="3" t="s">
        <v>216</v>
      </c>
      <c r="J2932" s="3" t="s">
        <v>3174</v>
      </c>
      <c r="K2932" s="3" t="s">
        <v>216</v>
      </c>
    </row>
    <row r="2933" ht="15.6" spans="4:11">
      <c r="D2933" s="3">
        <v>8837</v>
      </c>
      <c r="E2933" s="3" t="s">
        <v>216</v>
      </c>
      <c r="J2933" s="3" t="s">
        <v>3175</v>
      </c>
      <c r="K2933" s="3" t="s">
        <v>216</v>
      </c>
    </row>
    <row r="2934" ht="15.6" spans="4:11">
      <c r="D2934" s="3">
        <v>8838</v>
      </c>
      <c r="E2934" s="3" t="s">
        <v>216</v>
      </c>
      <c r="J2934" s="3" t="s">
        <v>3176</v>
      </c>
      <c r="K2934" s="3" t="s">
        <v>216</v>
      </c>
    </row>
    <row r="2935" ht="15.6" spans="4:11">
      <c r="D2935" s="3">
        <v>8839</v>
      </c>
      <c r="E2935" s="3" t="s">
        <v>216</v>
      </c>
      <c r="J2935" s="3" t="s">
        <v>3177</v>
      </c>
      <c r="K2935" s="3" t="s">
        <v>216</v>
      </c>
    </row>
    <row r="2936" ht="15.6" spans="4:11">
      <c r="D2936" s="3">
        <v>8840</v>
      </c>
      <c r="E2936" s="3" t="s">
        <v>216</v>
      </c>
      <c r="J2936" s="3" t="s">
        <v>3178</v>
      </c>
      <c r="K2936" s="3" t="s">
        <v>216</v>
      </c>
    </row>
    <row r="2937" ht="15.6" spans="4:11">
      <c r="D2937" s="3">
        <v>8841</v>
      </c>
      <c r="E2937" s="3" t="s">
        <v>216</v>
      </c>
      <c r="J2937" s="3" t="s">
        <v>3179</v>
      </c>
      <c r="K2937" s="3" t="s">
        <v>216</v>
      </c>
    </row>
    <row r="2938" ht="15.6" spans="4:11">
      <c r="D2938" s="3">
        <v>8842</v>
      </c>
      <c r="E2938" s="3" t="s">
        <v>216</v>
      </c>
      <c r="J2938" s="3" t="s">
        <v>3180</v>
      </c>
      <c r="K2938" s="3" t="s">
        <v>216</v>
      </c>
    </row>
    <row r="2939" ht="15.6" spans="4:11">
      <c r="D2939" s="3">
        <v>8843</v>
      </c>
      <c r="E2939" s="3" t="s">
        <v>216</v>
      </c>
      <c r="J2939" s="3" t="s">
        <v>3181</v>
      </c>
      <c r="K2939" s="3" t="s">
        <v>216</v>
      </c>
    </row>
    <row r="2940" ht="15.6" spans="4:11">
      <c r="D2940" s="3">
        <v>8844</v>
      </c>
      <c r="E2940" s="3" t="s">
        <v>216</v>
      </c>
      <c r="J2940" s="3" t="s">
        <v>3182</v>
      </c>
      <c r="K2940" s="3" t="s">
        <v>216</v>
      </c>
    </row>
    <row r="2941" ht="15.6" spans="4:11">
      <c r="D2941" s="3">
        <v>8845</v>
      </c>
      <c r="E2941" s="3" t="s">
        <v>216</v>
      </c>
      <c r="J2941" s="3" t="s">
        <v>3183</v>
      </c>
      <c r="K2941" s="3" t="s">
        <v>216</v>
      </c>
    </row>
    <row r="2942" ht="15.6" spans="4:11">
      <c r="D2942" s="3">
        <v>8846</v>
      </c>
      <c r="E2942" s="3" t="s">
        <v>216</v>
      </c>
      <c r="J2942" s="3" t="s">
        <v>3184</v>
      </c>
      <c r="K2942" s="3" t="s">
        <v>216</v>
      </c>
    </row>
    <row r="2943" ht="15.6" spans="4:11">
      <c r="D2943" s="3">
        <v>8847</v>
      </c>
      <c r="E2943" s="3" t="s">
        <v>216</v>
      </c>
      <c r="J2943" s="3" t="s">
        <v>3185</v>
      </c>
      <c r="K2943" s="3" t="s">
        <v>216</v>
      </c>
    </row>
    <row r="2944" ht="15.6" spans="4:11">
      <c r="D2944" s="3">
        <v>8848</v>
      </c>
      <c r="E2944" s="3" t="s">
        <v>216</v>
      </c>
      <c r="J2944" s="3" t="s">
        <v>3186</v>
      </c>
      <c r="K2944" s="3" t="s">
        <v>216</v>
      </c>
    </row>
    <row r="2945" ht="15.6" spans="4:11">
      <c r="D2945" s="3">
        <v>8849</v>
      </c>
      <c r="E2945" s="3" t="s">
        <v>216</v>
      </c>
      <c r="J2945" s="3" t="s">
        <v>3187</v>
      </c>
      <c r="K2945" s="3" t="s">
        <v>216</v>
      </c>
    </row>
    <row r="2946" ht="15.6" spans="4:11">
      <c r="D2946" s="3">
        <v>8850</v>
      </c>
      <c r="E2946" s="3" t="s">
        <v>216</v>
      </c>
      <c r="J2946" s="3" t="s">
        <v>3188</v>
      </c>
      <c r="K2946" s="3" t="s">
        <v>216</v>
      </c>
    </row>
    <row r="2947" ht="15.6" spans="4:11">
      <c r="D2947" s="3">
        <v>8851</v>
      </c>
      <c r="E2947" s="3" t="s">
        <v>216</v>
      </c>
      <c r="J2947" s="3" t="s">
        <v>3189</v>
      </c>
      <c r="K2947" s="3" t="s">
        <v>216</v>
      </c>
    </row>
    <row r="2948" ht="15.6" spans="4:11">
      <c r="D2948" s="3">
        <v>8852</v>
      </c>
      <c r="E2948" s="3" t="s">
        <v>216</v>
      </c>
      <c r="J2948" s="3" t="s">
        <v>3190</v>
      </c>
      <c r="K2948" s="3" t="s">
        <v>216</v>
      </c>
    </row>
    <row r="2949" ht="15.6" spans="4:11">
      <c r="D2949" s="3">
        <v>8853</v>
      </c>
      <c r="E2949" s="3" t="s">
        <v>216</v>
      </c>
      <c r="J2949" s="3" t="s">
        <v>3191</v>
      </c>
      <c r="K2949" s="3" t="s">
        <v>216</v>
      </c>
    </row>
    <row r="2950" ht="15.6" spans="4:11">
      <c r="D2950" s="3">
        <v>8854</v>
      </c>
      <c r="E2950" s="3" t="s">
        <v>216</v>
      </c>
      <c r="J2950" s="3" t="s">
        <v>3192</v>
      </c>
      <c r="K2950" s="3" t="s">
        <v>216</v>
      </c>
    </row>
    <row r="2951" ht="15.6" spans="4:11">
      <c r="D2951" s="3">
        <v>8855</v>
      </c>
      <c r="E2951" s="3" t="s">
        <v>216</v>
      </c>
      <c r="J2951" s="3" t="s">
        <v>3193</v>
      </c>
      <c r="K2951" s="3" t="s">
        <v>216</v>
      </c>
    </row>
    <row r="2952" ht="15.6" spans="4:11">
      <c r="D2952" s="3">
        <v>8856</v>
      </c>
      <c r="E2952" s="3" t="s">
        <v>216</v>
      </c>
      <c r="J2952" s="3" t="s">
        <v>3194</v>
      </c>
      <c r="K2952" s="3" t="s">
        <v>216</v>
      </c>
    </row>
    <row r="2953" ht="15.6" spans="4:11">
      <c r="D2953" s="3">
        <v>8857</v>
      </c>
      <c r="E2953" s="3" t="s">
        <v>216</v>
      </c>
      <c r="J2953" s="3" t="s">
        <v>3195</v>
      </c>
      <c r="K2953" s="3" t="s">
        <v>216</v>
      </c>
    </row>
    <row r="2954" ht="15.6" spans="4:11">
      <c r="D2954" s="3">
        <v>8858</v>
      </c>
      <c r="E2954" s="3" t="s">
        <v>216</v>
      </c>
      <c r="J2954" s="3" t="s">
        <v>3196</v>
      </c>
      <c r="K2954" s="3" t="s">
        <v>216</v>
      </c>
    </row>
    <row r="2955" ht="15.6" spans="4:11">
      <c r="D2955" s="3">
        <v>8859</v>
      </c>
      <c r="E2955" s="3" t="s">
        <v>216</v>
      </c>
      <c r="J2955" s="3" t="s">
        <v>3197</v>
      </c>
      <c r="K2955" s="3" t="s">
        <v>216</v>
      </c>
    </row>
    <row r="2956" ht="15.6" spans="4:11">
      <c r="D2956" s="3">
        <v>8860</v>
      </c>
      <c r="E2956" s="3" t="s">
        <v>216</v>
      </c>
      <c r="J2956" s="3" t="s">
        <v>3198</v>
      </c>
      <c r="K2956" s="3" t="s">
        <v>216</v>
      </c>
    </row>
    <row r="2957" ht="15.6" spans="4:11">
      <c r="D2957" s="3">
        <v>8861</v>
      </c>
      <c r="E2957" s="3" t="s">
        <v>216</v>
      </c>
      <c r="J2957" s="3" t="s">
        <v>3199</v>
      </c>
      <c r="K2957" s="3" t="s">
        <v>216</v>
      </c>
    </row>
    <row r="2958" ht="15.6" spans="4:11">
      <c r="D2958" s="3">
        <v>8862</v>
      </c>
      <c r="E2958" s="3" t="s">
        <v>216</v>
      </c>
      <c r="J2958" s="3" t="s">
        <v>3200</v>
      </c>
      <c r="K2958" s="3" t="s">
        <v>216</v>
      </c>
    </row>
    <row r="2959" ht="15.6" spans="4:11">
      <c r="D2959" s="3">
        <v>8863</v>
      </c>
      <c r="E2959" s="3" t="s">
        <v>216</v>
      </c>
      <c r="J2959" s="3" t="s">
        <v>3201</v>
      </c>
      <c r="K2959" s="3" t="s">
        <v>216</v>
      </c>
    </row>
    <row r="2960" ht="15.6" spans="4:11">
      <c r="D2960" s="3">
        <v>8864</v>
      </c>
      <c r="E2960" s="3" t="s">
        <v>216</v>
      </c>
      <c r="J2960" s="3" t="s">
        <v>3202</v>
      </c>
      <c r="K2960" s="3" t="s">
        <v>216</v>
      </c>
    </row>
    <row r="2961" ht="15.6" spans="4:11">
      <c r="D2961" s="3">
        <v>8865</v>
      </c>
      <c r="E2961" s="3" t="s">
        <v>216</v>
      </c>
      <c r="J2961" s="3" t="s">
        <v>3203</v>
      </c>
      <c r="K2961" s="3" t="s">
        <v>216</v>
      </c>
    </row>
    <row r="2962" ht="15.6" spans="4:11">
      <c r="D2962" s="3">
        <v>8866</v>
      </c>
      <c r="E2962" s="3" t="s">
        <v>216</v>
      </c>
      <c r="J2962" s="3" t="s">
        <v>3204</v>
      </c>
      <c r="K2962" s="3" t="s">
        <v>216</v>
      </c>
    </row>
    <row r="2963" ht="15.6" spans="4:11">
      <c r="D2963" s="3">
        <v>8867</v>
      </c>
      <c r="E2963" s="3" t="s">
        <v>216</v>
      </c>
      <c r="J2963" s="3" t="s">
        <v>3205</v>
      </c>
      <c r="K2963" s="3" t="s">
        <v>216</v>
      </c>
    </row>
    <row r="2964" ht="15.6" spans="4:11">
      <c r="D2964" s="3">
        <v>8868</v>
      </c>
      <c r="E2964" s="3" t="s">
        <v>216</v>
      </c>
      <c r="J2964" s="3" t="s">
        <v>3206</v>
      </c>
      <c r="K2964" s="3" t="s">
        <v>216</v>
      </c>
    </row>
    <row r="2965" ht="15.6" spans="4:11">
      <c r="D2965" s="3">
        <v>8869</v>
      </c>
      <c r="E2965" s="3" t="s">
        <v>216</v>
      </c>
      <c r="J2965" s="3" t="s">
        <v>3207</v>
      </c>
      <c r="K2965" s="3" t="s">
        <v>216</v>
      </c>
    </row>
    <row r="2966" ht="15.6" spans="4:11">
      <c r="D2966" s="3">
        <v>8870</v>
      </c>
      <c r="E2966" s="3" t="s">
        <v>216</v>
      </c>
      <c r="J2966" s="3" t="s">
        <v>3208</v>
      </c>
      <c r="K2966" s="3" t="s">
        <v>216</v>
      </c>
    </row>
    <row r="2967" ht="15.6" spans="4:11">
      <c r="D2967" s="3">
        <v>8871</v>
      </c>
      <c r="E2967" s="3" t="s">
        <v>216</v>
      </c>
      <c r="J2967" s="3" t="s">
        <v>3209</v>
      </c>
      <c r="K2967" s="3" t="s">
        <v>216</v>
      </c>
    </row>
    <row r="2968" ht="15.6" spans="4:11">
      <c r="D2968" s="3">
        <v>8872</v>
      </c>
      <c r="E2968" s="3" t="s">
        <v>216</v>
      </c>
      <c r="J2968" s="3" t="s">
        <v>3210</v>
      </c>
      <c r="K2968" s="3" t="s">
        <v>216</v>
      </c>
    </row>
    <row r="2969" ht="15.6" spans="4:11">
      <c r="D2969" s="3">
        <v>8873</v>
      </c>
      <c r="E2969" s="3" t="s">
        <v>216</v>
      </c>
      <c r="J2969" s="3" t="s">
        <v>3211</v>
      </c>
      <c r="K2969" s="3" t="s">
        <v>216</v>
      </c>
    </row>
    <row r="2970" ht="15.6" spans="4:11">
      <c r="D2970" s="3">
        <v>8874</v>
      </c>
      <c r="E2970" s="3" t="s">
        <v>216</v>
      </c>
      <c r="J2970" s="3" t="s">
        <v>3212</v>
      </c>
      <c r="K2970" s="3" t="s">
        <v>216</v>
      </c>
    </row>
    <row r="2971" ht="15.6" spans="4:11">
      <c r="D2971" s="3">
        <v>8875</v>
      </c>
      <c r="E2971" s="3" t="s">
        <v>216</v>
      </c>
      <c r="J2971" s="3" t="s">
        <v>3213</v>
      </c>
      <c r="K2971" s="3" t="s">
        <v>216</v>
      </c>
    </row>
    <row r="2972" ht="15.6" spans="4:11">
      <c r="D2972" s="3">
        <v>8876</v>
      </c>
      <c r="E2972" s="3" t="s">
        <v>216</v>
      </c>
      <c r="J2972" s="3" t="s">
        <v>3214</v>
      </c>
      <c r="K2972" s="3" t="s">
        <v>216</v>
      </c>
    </row>
    <row r="2973" ht="15.6" spans="4:11">
      <c r="D2973" s="3">
        <v>8877</v>
      </c>
      <c r="E2973" s="3" t="s">
        <v>216</v>
      </c>
      <c r="J2973" s="3" t="s">
        <v>3215</v>
      </c>
      <c r="K2973" s="3" t="s">
        <v>216</v>
      </c>
    </row>
    <row r="2974" ht="15.6" spans="4:11">
      <c r="D2974" s="3">
        <v>8878</v>
      </c>
      <c r="E2974" s="3" t="s">
        <v>216</v>
      </c>
      <c r="J2974" s="3" t="s">
        <v>3216</v>
      </c>
      <c r="K2974" s="3" t="s">
        <v>216</v>
      </c>
    </row>
    <row r="2975" ht="15.6" spans="4:11">
      <c r="D2975" s="3">
        <v>8879</v>
      </c>
      <c r="E2975" s="3" t="s">
        <v>216</v>
      </c>
      <c r="J2975" s="3" t="s">
        <v>3217</v>
      </c>
      <c r="K2975" s="3" t="s">
        <v>216</v>
      </c>
    </row>
    <row r="2976" ht="15.6" spans="4:11">
      <c r="D2976" s="3">
        <v>8880</v>
      </c>
      <c r="E2976" s="3" t="s">
        <v>216</v>
      </c>
      <c r="J2976" s="3" t="s">
        <v>3218</v>
      </c>
      <c r="K2976" s="3" t="s">
        <v>216</v>
      </c>
    </row>
    <row r="2977" ht="15.6" spans="4:11">
      <c r="D2977" s="3">
        <v>8881</v>
      </c>
      <c r="E2977" s="3" t="s">
        <v>216</v>
      </c>
      <c r="J2977" s="3" t="s">
        <v>3219</v>
      </c>
      <c r="K2977" s="3" t="s">
        <v>216</v>
      </c>
    </row>
    <row r="2978" ht="15.6" spans="4:11">
      <c r="D2978" s="3">
        <v>8882</v>
      </c>
      <c r="E2978" s="3" t="s">
        <v>216</v>
      </c>
      <c r="J2978" s="3" t="s">
        <v>3220</v>
      </c>
      <c r="K2978" s="3" t="s">
        <v>216</v>
      </c>
    </row>
    <row r="2979" ht="15.6" spans="4:11">
      <c r="D2979" s="3">
        <v>8883</v>
      </c>
      <c r="E2979" s="3" t="s">
        <v>216</v>
      </c>
      <c r="J2979" s="3" t="s">
        <v>3221</v>
      </c>
      <c r="K2979" s="3" t="s">
        <v>216</v>
      </c>
    </row>
    <row r="2980" ht="15.6" spans="4:11">
      <c r="D2980" s="3">
        <v>8884</v>
      </c>
      <c r="E2980" s="3" t="s">
        <v>216</v>
      </c>
      <c r="J2980" s="3" t="s">
        <v>3222</v>
      </c>
      <c r="K2980" s="3" t="s">
        <v>216</v>
      </c>
    </row>
    <row r="2981" ht="15.6" spans="4:11">
      <c r="D2981" s="3">
        <v>8885</v>
      </c>
      <c r="E2981" s="3" t="s">
        <v>216</v>
      </c>
      <c r="J2981" s="3" t="s">
        <v>3223</v>
      </c>
      <c r="K2981" s="3" t="s">
        <v>216</v>
      </c>
    </row>
    <row r="2982" ht="15.6" spans="4:11">
      <c r="D2982" s="3">
        <v>8886</v>
      </c>
      <c r="E2982" s="3" t="s">
        <v>216</v>
      </c>
      <c r="J2982" s="3" t="s">
        <v>3224</v>
      </c>
      <c r="K2982" s="3" t="s">
        <v>216</v>
      </c>
    </row>
    <row r="2983" ht="15.6" spans="4:11">
      <c r="D2983" s="3">
        <v>8887</v>
      </c>
      <c r="E2983" s="3" t="s">
        <v>216</v>
      </c>
      <c r="J2983" s="3" t="s">
        <v>3225</v>
      </c>
      <c r="K2983" s="3" t="s">
        <v>216</v>
      </c>
    </row>
    <row r="2984" ht="15.6" spans="4:11">
      <c r="D2984" s="3">
        <v>8888</v>
      </c>
      <c r="E2984" s="3" t="s">
        <v>216</v>
      </c>
      <c r="J2984" s="3" t="s">
        <v>3226</v>
      </c>
      <c r="K2984" s="3" t="s">
        <v>216</v>
      </c>
    </row>
    <row r="2985" ht="15.6" spans="4:11">
      <c r="D2985" s="3">
        <v>8889</v>
      </c>
      <c r="E2985" s="3" t="s">
        <v>216</v>
      </c>
      <c r="J2985" s="3" t="s">
        <v>3227</v>
      </c>
      <c r="K2985" s="3" t="s">
        <v>216</v>
      </c>
    </row>
    <row r="2986" ht="15.6" spans="4:11">
      <c r="D2986" s="3">
        <v>8890</v>
      </c>
      <c r="E2986" s="3" t="s">
        <v>216</v>
      </c>
      <c r="J2986" s="3" t="s">
        <v>3228</v>
      </c>
      <c r="K2986" s="3" t="s">
        <v>216</v>
      </c>
    </row>
    <row r="2987" ht="15.6" spans="4:11">
      <c r="D2987" s="3">
        <v>8891</v>
      </c>
      <c r="E2987" s="3" t="s">
        <v>216</v>
      </c>
      <c r="J2987" s="3" t="s">
        <v>3229</v>
      </c>
      <c r="K2987" s="3" t="s">
        <v>216</v>
      </c>
    </row>
    <row r="2988" ht="15.6" spans="4:11">
      <c r="D2988" s="3">
        <v>8892</v>
      </c>
      <c r="E2988" s="3" t="s">
        <v>216</v>
      </c>
      <c r="J2988" s="3" t="s">
        <v>3230</v>
      </c>
      <c r="K2988" s="3" t="s">
        <v>216</v>
      </c>
    </row>
    <row r="2989" ht="15.6" spans="4:11">
      <c r="D2989" s="3">
        <v>8893</v>
      </c>
      <c r="E2989" s="3" t="s">
        <v>216</v>
      </c>
      <c r="J2989" s="3" t="s">
        <v>3231</v>
      </c>
      <c r="K2989" s="3" t="s">
        <v>216</v>
      </c>
    </row>
    <row r="2990" ht="15.6" spans="4:11">
      <c r="D2990" s="3">
        <v>8894</v>
      </c>
      <c r="E2990" s="3" t="s">
        <v>216</v>
      </c>
      <c r="J2990" s="3" t="s">
        <v>3232</v>
      </c>
      <c r="K2990" s="3" t="s">
        <v>216</v>
      </c>
    </row>
    <row r="2991" ht="15.6" spans="4:11">
      <c r="D2991" s="3">
        <v>8895</v>
      </c>
      <c r="E2991" s="3" t="s">
        <v>216</v>
      </c>
      <c r="J2991" s="3" t="s">
        <v>3233</v>
      </c>
      <c r="K2991" s="3" t="s">
        <v>216</v>
      </c>
    </row>
    <row r="2992" ht="15.6" spans="4:11">
      <c r="D2992" s="3">
        <v>8896</v>
      </c>
      <c r="E2992" s="3" t="s">
        <v>216</v>
      </c>
      <c r="J2992" s="3" t="s">
        <v>3234</v>
      </c>
      <c r="K2992" s="3" t="s">
        <v>216</v>
      </c>
    </row>
    <row r="2993" ht="15.6" spans="4:11">
      <c r="D2993" s="3">
        <v>8897</v>
      </c>
      <c r="E2993" s="3" t="s">
        <v>216</v>
      </c>
      <c r="J2993" s="3" t="s">
        <v>3235</v>
      </c>
      <c r="K2993" s="3" t="s">
        <v>216</v>
      </c>
    </row>
    <row r="2994" ht="15.6" spans="4:11">
      <c r="D2994" s="3">
        <v>8898</v>
      </c>
      <c r="E2994" s="3" t="s">
        <v>216</v>
      </c>
      <c r="J2994" s="3" t="s">
        <v>3236</v>
      </c>
      <c r="K2994" s="3" t="s">
        <v>216</v>
      </c>
    </row>
    <row r="2995" ht="15.6" spans="4:11">
      <c r="D2995" s="3">
        <v>8899</v>
      </c>
      <c r="E2995" s="3" t="s">
        <v>216</v>
      </c>
      <c r="J2995" s="3" t="s">
        <v>3237</v>
      </c>
      <c r="K2995" s="3" t="s">
        <v>216</v>
      </c>
    </row>
    <row r="2996" ht="15.6" spans="4:11">
      <c r="D2996" s="3">
        <v>8900</v>
      </c>
      <c r="E2996" s="3" t="s">
        <v>216</v>
      </c>
      <c r="J2996" s="3" t="s">
        <v>3238</v>
      </c>
      <c r="K2996" s="3" t="s">
        <v>216</v>
      </c>
    </row>
    <row r="2997" ht="15.6" spans="4:11">
      <c r="D2997" s="3">
        <v>8901</v>
      </c>
      <c r="E2997" s="3" t="s">
        <v>216</v>
      </c>
      <c r="J2997" s="3" t="s">
        <v>3239</v>
      </c>
      <c r="K2997" s="3" t="s">
        <v>216</v>
      </c>
    </row>
    <row r="2998" ht="15.6" spans="4:11">
      <c r="D2998" s="3">
        <v>8902</v>
      </c>
      <c r="E2998" s="3" t="s">
        <v>216</v>
      </c>
      <c r="J2998" s="3" t="s">
        <v>3240</v>
      </c>
      <c r="K2998" s="3" t="s">
        <v>216</v>
      </c>
    </row>
    <row r="2999" ht="15.6" spans="4:11">
      <c r="D2999" s="3">
        <v>8903</v>
      </c>
      <c r="E2999" s="3" t="s">
        <v>216</v>
      </c>
      <c r="J2999" s="3" t="s">
        <v>3241</v>
      </c>
      <c r="K2999" s="3" t="s">
        <v>216</v>
      </c>
    </row>
    <row r="3000" ht="15.6" spans="4:11">
      <c r="D3000" s="3">
        <v>8904</v>
      </c>
      <c r="E3000" s="3" t="s">
        <v>216</v>
      </c>
      <c r="J3000" s="3" t="s">
        <v>3242</v>
      </c>
      <c r="K3000" s="3" t="s">
        <v>216</v>
      </c>
    </row>
    <row r="3001" ht="15.6" spans="4:11">
      <c r="D3001" s="3">
        <v>8905</v>
      </c>
      <c r="E3001" s="3" t="s">
        <v>216</v>
      </c>
      <c r="J3001" s="3" t="s">
        <v>3243</v>
      </c>
      <c r="K3001" s="3" t="s">
        <v>216</v>
      </c>
    </row>
    <row r="3002" ht="15.6" spans="4:11">
      <c r="D3002" s="3">
        <v>8906</v>
      </c>
      <c r="E3002" s="3" t="s">
        <v>216</v>
      </c>
      <c r="J3002" s="3" t="s">
        <v>3244</v>
      </c>
      <c r="K3002" s="3" t="s">
        <v>216</v>
      </c>
    </row>
    <row r="3003" ht="15.6" spans="4:11">
      <c r="D3003" s="3">
        <v>8907</v>
      </c>
      <c r="E3003" s="3" t="s">
        <v>216</v>
      </c>
      <c r="J3003" s="3" t="s">
        <v>3245</v>
      </c>
      <c r="K3003" s="3" t="s">
        <v>216</v>
      </c>
    </row>
    <row r="3004" ht="15.6" spans="4:11">
      <c r="D3004" s="3">
        <v>8908</v>
      </c>
      <c r="E3004" s="3" t="s">
        <v>216</v>
      </c>
      <c r="J3004" s="3" t="s">
        <v>3246</v>
      </c>
      <c r="K3004" s="3" t="s">
        <v>216</v>
      </c>
    </row>
    <row r="3005" ht="15.6" spans="4:11">
      <c r="D3005" s="3">
        <v>8909</v>
      </c>
      <c r="E3005" s="3" t="s">
        <v>216</v>
      </c>
      <c r="J3005" s="3" t="s">
        <v>3247</v>
      </c>
      <c r="K3005" s="3" t="s">
        <v>216</v>
      </c>
    </row>
    <row r="3006" ht="15.6" spans="4:11">
      <c r="D3006" s="3">
        <v>8910</v>
      </c>
      <c r="E3006" s="3" t="s">
        <v>216</v>
      </c>
      <c r="J3006" s="3" t="s">
        <v>3248</v>
      </c>
      <c r="K3006" s="3" t="s">
        <v>216</v>
      </c>
    </row>
    <row r="3007" ht="15.6" spans="4:11">
      <c r="D3007" s="3">
        <v>8911</v>
      </c>
      <c r="E3007" s="3" t="s">
        <v>216</v>
      </c>
      <c r="J3007" s="3" t="s">
        <v>3249</v>
      </c>
      <c r="K3007" s="3" t="s">
        <v>216</v>
      </c>
    </row>
    <row r="3008" ht="15.6" spans="4:11">
      <c r="D3008" s="3">
        <v>8912</v>
      </c>
      <c r="E3008" s="3" t="s">
        <v>216</v>
      </c>
      <c r="J3008" s="3" t="s">
        <v>3250</v>
      </c>
      <c r="K3008" s="3" t="s">
        <v>216</v>
      </c>
    </row>
    <row r="3009" ht="15.6" spans="4:11">
      <c r="D3009" s="3">
        <v>8913</v>
      </c>
      <c r="E3009" s="3" t="s">
        <v>216</v>
      </c>
      <c r="J3009" s="3" t="s">
        <v>3251</v>
      </c>
      <c r="K3009" s="3" t="s">
        <v>216</v>
      </c>
    </row>
    <row r="3010" ht="15.6" spans="4:11">
      <c r="D3010" s="3">
        <v>8914</v>
      </c>
      <c r="E3010" s="3" t="s">
        <v>216</v>
      </c>
      <c r="J3010" s="3" t="s">
        <v>3252</v>
      </c>
      <c r="K3010" s="3" t="s">
        <v>216</v>
      </c>
    </row>
    <row r="3011" ht="15.6" spans="4:11">
      <c r="D3011" s="3">
        <v>8915</v>
      </c>
      <c r="E3011" s="3" t="s">
        <v>216</v>
      </c>
      <c r="J3011" s="3" t="s">
        <v>3253</v>
      </c>
      <c r="K3011" s="3" t="s">
        <v>216</v>
      </c>
    </row>
    <row r="3012" ht="15.6" spans="4:11">
      <c r="D3012" s="3">
        <v>8916</v>
      </c>
      <c r="E3012" s="3" t="s">
        <v>216</v>
      </c>
      <c r="J3012" s="3" t="s">
        <v>3254</v>
      </c>
      <c r="K3012" s="3" t="s">
        <v>216</v>
      </c>
    </row>
    <row r="3013" ht="15.6" spans="4:11">
      <c r="D3013" s="3">
        <v>8917</v>
      </c>
      <c r="E3013" s="3" t="s">
        <v>216</v>
      </c>
      <c r="J3013" s="3" t="s">
        <v>3255</v>
      </c>
      <c r="K3013" s="3" t="s">
        <v>216</v>
      </c>
    </row>
    <row r="3014" ht="15.6" spans="4:11">
      <c r="D3014" s="3">
        <v>8918</v>
      </c>
      <c r="E3014" s="3" t="s">
        <v>216</v>
      </c>
      <c r="J3014" s="3" t="s">
        <v>3256</v>
      </c>
      <c r="K3014" s="3" t="s">
        <v>216</v>
      </c>
    </row>
    <row r="3015" ht="15.6" spans="4:11">
      <c r="D3015" s="3">
        <v>8919</v>
      </c>
      <c r="E3015" s="3" t="s">
        <v>216</v>
      </c>
      <c r="J3015" s="3" t="s">
        <v>3257</v>
      </c>
      <c r="K3015" s="3" t="s">
        <v>216</v>
      </c>
    </row>
    <row r="3016" ht="15.6" spans="4:11">
      <c r="D3016" s="3">
        <v>8920</v>
      </c>
      <c r="E3016" s="3" t="s">
        <v>216</v>
      </c>
      <c r="J3016" s="3" t="s">
        <v>3258</v>
      </c>
      <c r="K3016" s="3" t="s">
        <v>216</v>
      </c>
    </row>
    <row r="3017" ht="15.6" spans="4:11">
      <c r="D3017" s="3">
        <v>8921</v>
      </c>
      <c r="E3017" s="3" t="s">
        <v>216</v>
      </c>
      <c r="J3017" s="3" t="s">
        <v>3259</v>
      </c>
      <c r="K3017" s="3" t="s">
        <v>216</v>
      </c>
    </row>
    <row r="3018" ht="15.6" spans="4:11">
      <c r="D3018" s="3">
        <v>8922</v>
      </c>
      <c r="E3018" s="3" t="s">
        <v>216</v>
      </c>
      <c r="J3018" s="3" t="s">
        <v>3260</v>
      </c>
      <c r="K3018" s="3" t="s">
        <v>216</v>
      </c>
    </row>
    <row r="3019" ht="15.6" spans="4:11">
      <c r="D3019" s="3">
        <v>8923</v>
      </c>
      <c r="E3019" s="3" t="s">
        <v>216</v>
      </c>
      <c r="J3019" s="3" t="s">
        <v>3261</v>
      </c>
      <c r="K3019" s="3" t="s">
        <v>216</v>
      </c>
    </row>
    <row r="3020" ht="15.6" spans="4:11">
      <c r="D3020" s="3">
        <v>8924</v>
      </c>
      <c r="E3020" s="3" t="s">
        <v>216</v>
      </c>
      <c r="J3020" s="3" t="s">
        <v>3262</v>
      </c>
      <c r="K3020" s="3" t="s">
        <v>216</v>
      </c>
    </row>
    <row r="3021" ht="15.6" spans="4:11">
      <c r="D3021" s="3">
        <v>8925</v>
      </c>
      <c r="E3021" s="3" t="s">
        <v>216</v>
      </c>
      <c r="J3021" s="3" t="s">
        <v>3263</v>
      </c>
      <c r="K3021" s="3" t="s">
        <v>216</v>
      </c>
    </row>
    <row r="3022" ht="15.6" spans="4:11">
      <c r="D3022" s="3">
        <v>8926</v>
      </c>
      <c r="E3022" s="3" t="s">
        <v>216</v>
      </c>
      <c r="J3022" s="3" t="s">
        <v>3264</v>
      </c>
      <c r="K3022" s="3" t="s">
        <v>216</v>
      </c>
    </row>
    <row r="3023" ht="15.6" spans="4:11">
      <c r="D3023" s="3">
        <v>8927</v>
      </c>
      <c r="E3023" s="3" t="s">
        <v>216</v>
      </c>
      <c r="J3023" s="3" t="s">
        <v>3265</v>
      </c>
      <c r="K3023" s="3" t="s">
        <v>216</v>
      </c>
    </row>
    <row r="3024" ht="15.6" spans="4:11">
      <c r="D3024" s="3">
        <v>8928</v>
      </c>
      <c r="E3024" s="3" t="s">
        <v>216</v>
      </c>
      <c r="J3024" s="3" t="s">
        <v>3266</v>
      </c>
      <c r="K3024" s="3" t="s">
        <v>216</v>
      </c>
    </row>
    <row r="3025" ht="15.6" spans="4:11">
      <c r="D3025" s="3">
        <v>8929</v>
      </c>
      <c r="E3025" s="3" t="s">
        <v>216</v>
      </c>
      <c r="J3025" s="3" t="s">
        <v>3267</v>
      </c>
      <c r="K3025" s="3" t="s">
        <v>216</v>
      </c>
    </row>
    <row r="3026" ht="15.6" spans="4:11">
      <c r="D3026" s="3">
        <v>8930</v>
      </c>
      <c r="E3026" s="3" t="s">
        <v>216</v>
      </c>
      <c r="J3026" s="3" t="s">
        <v>3268</v>
      </c>
      <c r="K3026" s="3" t="s">
        <v>216</v>
      </c>
    </row>
    <row r="3027" ht="15.6" spans="4:11">
      <c r="D3027" s="3">
        <v>8931</v>
      </c>
      <c r="E3027" s="3" t="s">
        <v>216</v>
      </c>
      <c r="J3027" s="3" t="s">
        <v>3269</v>
      </c>
      <c r="K3027" s="3" t="s">
        <v>216</v>
      </c>
    </row>
    <row r="3028" ht="15.6" spans="4:11">
      <c r="D3028" s="3">
        <v>8932</v>
      </c>
      <c r="E3028" s="3" t="s">
        <v>216</v>
      </c>
      <c r="J3028" s="3" t="s">
        <v>3270</v>
      </c>
      <c r="K3028" s="3" t="s">
        <v>216</v>
      </c>
    </row>
    <row r="3029" ht="15.6" spans="4:11">
      <c r="D3029" s="3">
        <v>8933</v>
      </c>
      <c r="E3029" s="3" t="s">
        <v>216</v>
      </c>
      <c r="J3029" s="3" t="s">
        <v>3271</v>
      </c>
      <c r="K3029" s="3" t="s">
        <v>216</v>
      </c>
    </row>
    <row r="3030" ht="15.6" spans="4:11">
      <c r="D3030" s="3">
        <v>8934</v>
      </c>
      <c r="E3030" s="3" t="s">
        <v>216</v>
      </c>
      <c r="J3030" s="3" t="s">
        <v>3272</v>
      </c>
      <c r="K3030" s="3" t="s">
        <v>216</v>
      </c>
    </row>
    <row r="3031" ht="15.6" spans="4:11">
      <c r="D3031" s="3">
        <v>8935</v>
      </c>
      <c r="E3031" s="3" t="s">
        <v>216</v>
      </c>
      <c r="J3031" s="3" t="s">
        <v>3273</v>
      </c>
      <c r="K3031" s="3" t="s">
        <v>216</v>
      </c>
    </row>
    <row r="3032" ht="15.6" spans="4:11">
      <c r="D3032" s="3">
        <v>8936</v>
      </c>
      <c r="E3032" s="3" t="s">
        <v>216</v>
      </c>
      <c r="J3032" s="3" t="s">
        <v>3274</v>
      </c>
      <c r="K3032" s="3" t="s">
        <v>216</v>
      </c>
    </row>
    <row r="3033" ht="15.6" spans="4:11">
      <c r="D3033" s="3">
        <v>8937</v>
      </c>
      <c r="E3033" s="3" t="s">
        <v>216</v>
      </c>
      <c r="J3033" s="3" t="s">
        <v>3275</v>
      </c>
      <c r="K3033" s="3" t="s">
        <v>216</v>
      </c>
    </row>
    <row r="3034" ht="15.6" spans="4:11">
      <c r="D3034" s="3">
        <v>8938</v>
      </c>
      <c r="E3034" s="3" t="s">
        <v>216</v>
      </c>
      <c r="J3034" s="3" t="s">
        <v>3276</v>
      </c>
      <c r="K3034" s="3" t="s">
        <v>216</v>
      </c>
    </row>
    <row r="3035" ht="15.6" spans="4:11">
      <c r="D3035" s="3">
        <v>8939</v>
      </c>
      <c r="E3035" s="3" t="s">
        <v>216</v>
      </c>
      <c r="J3035" s="3" t="s">
        <v>3277</v>
      </c>
      <c r="K3035" s="3" t="s">
        <v>216</v>
      </c>
    </row>
    <row r="3036" ht="15.6" spans="4:11">
      <c r="D3036" s="3">
        <v>8940</v>
      </c>
      <c r="E3036" s="3" t="s">
        <v>216</v>
      </c>
      <c r="J3036" s="3" t="s">
        <v>3278</v>
      </c>
      <c r="K3036" s="3" t="s">
        <v>216</v>
      </c>
    </row>
    <row r="3037" ht="15.6" spans="4:11">
      <c r="D3037" s="3">
        <v>8941</v>
      </c>
      <c r="E3037" s="3" t="s">
        <v>216</v>
      </c>
      <c r="J3037" s="3" t="s">
        <v>3279</v>
      </c>
      <c r="K3037" s="3" t="s">
        <v>216</v>
      </c>
    </row>
    <row r="3038" ht="15.6" spans="4:11">
      <c r="D3038" s="3">
        <v>8942</v>
      </c>
      <c r="E3038" s="3" t="s">
        <v>216</v>
      </c>
      <c r="J3038" s="3" t="s">
        <v>3280</v>
      </c>
      <c r="K3038" s="3" t="s">
        <v>216</v>
      </c>
    </row>
    <row r="3039" ht="15.6" spans="4:11">
      <c r="D3039" s="3">
        <v>8943</v>
      </c>
      <c r="E3039" s="3" t="s">
        <v>216</v>
      </c>
      <c r="J3039" s="3" t="s">
        <v>3281</v>
      </c>
      <c r="K3039" s="3" t="s">
        <v>216</v>
      </c>
    </row>
    <row r="3040" ht="15.6" spans="4:11">
      <c r="D3040" s="3">
        <v>8944</v>
      </c>
      <c r="E3040" s="3" t="s">
        <v>216</v>
      </c>
      <c r="J3040" s="3" t="s">
        <v>3282</v>
      </c>
      <c r="K3040" s="3" t="s">
        <v>216</v>
      </c>
    </row>
    <row r="3041" ht="15.6" spans="4:11">
      <c r="D3041" s="3">
        <v>8945</v>
      </c>
      <c r="E3041" s="3" t="s">
        <v>216</v>
      </c>
      <c r="J3041" s="3" t="s">
        <v>3283</v>
      </c>
      <c r="K3041" s="3" t="s">
        <v>216</v>
      </c>
    </row>
    <row r="3042" ht="15.6" spans="4:11">
      <c r="D3042" s="3">
        <v>8946</v>
      </c>
      <c r="E3042" s="3" t="s">
        <v>216</v>
      </c>
      <c r="J3042" s="3" t="s">
        <v>3284</v>
      </c>
      <c r="K3042" s="3" t="s">
        <v>216</v>
      </c>
    </row>
    <row r="3043" ht="15.6" spans="4:11">
      <c r="D3043" s="3">
        <v>8947</v>
      </c>
      <c r="E3043" s="3" t="s">
        <v>216</v>
      </c>
      <c r="J3043" s="3" t="s">
        <v>3285</v>
      </c>
      <c r="K3043" s="3" t="s">
        <v>216</v>
      </c>
    </row>
    <row r="3044" ht="15.6" spans="4:11">
      <c r="D3044" s="3">
        <v>8948</v>
      </c>
      <c r="E3044" s="3" t="s">
        <v>216</v>
      </c>
      <c r="J3044" s="3" t="s">
        <v>3286</v>
      </c>
      <c r="K3044" s="3" t="s">
        <v>216</v>
      </c>
    </row>
    <row r="3045" ht="15.6" spans="4:11">
      <c r="D3045" s="3">
        <v>8949</v>
      </c>
      <c r="E3045" s="3" t="s">
        <v>216</v>
      </c>
      <c r="J3045" s="3" t="s">
        <v>3287</v>
      </c>
      <c r="K3045" s="3" t="s">
        <v>216</v>
      </c>
    </row>
    <row r="3046" ht="15.6" spans="4:11">
      <c r="D3046" s="3">
        <v>8950</v>
      </c>
      <c r="E3046" s="3" t="s">
        <v>216</v>
      </c>
      <c r="J3046" s="3" t="s">
        <v>3288</v>
      </c>
      <c r="K3046" s="3" t="s">
        <v>216</v>
      </c>
    </row>
    <row r="3047" ht="15.6" spans="4:11">
      <c r="D3047" s="3">
        <v>8951</v>
      </c>
      <c r="E3047" s="3" t="s">
        <v>216</v>
      </c>
      <c r="J3047" s="3" t="s">
        <v>3289</v>
      </c>
      <c r="K3047" s="3" t="s">
        <v>216</v>
      </c>
    </row>
    <row r="3048" ht="15.6" spans="4:11">
      <c r="D3048" s="3">
        <v>8952</v>
      </c>
      <c r="E3048" s="3" t="s">
        <v>216</v>
      </c>
      <c r="J3048" s="3" t="s">
        <v>3290</v>
      </c>
      <c r="K3048" s="3" t="s">
        <v>216</v>
      </c>
    </row>
    <row r="3049" ht="15.6" spans="4:11">
      <c r="D3049" s="3">
        <v>8953</v>
      </c>
      <c r="E3049" s="3" t="s">
        <v>216</v>
      </c>
      <c r="J3049" s="3" t="s">
        <v>3291</v>
      </c>
      <c r="K3049" s="3" t="s">
        <v>216</v>
      </c>
    </row>
    <row r="3050" ht="15.6" spans="4:11">
      <c r="D3050" s="3">
        <v>8954</v>
      </c>
      <c r="E3050" s="3" t="s">
        <v>216</v>
      </c>
      <c r="J3050" s="3" t="s">
        <v>3292</v>
      </c>
      <c r="K3050" s="3" t="s">
        <v>216</v>
      </c>
    </row>
    <row r="3051" ht="15.6" spans="4:11">
      <c r="D3051" s="3">
        <v>8955</v>
      </c>
      <c r="E3051" s="3" t="s">
        <v>216</v>
      </c>
      <c r="J3051" s="3" t="s">
        <v>3293</v>
      </c>
      <c r="K3051" s="3" t="s">
        <v>216</v>
      </c>
    </row>
    <row r="3052" ht="15.6" spans="4:11">
      <c r="D3052" s="3">
        <v>8956</v>
      </c>
      <c r="E3052" s="3" t="s">
        <v>216</v>
      </c>
      <c r="J3052" s="3" t="s">
        <v>3294</v>
      </c>
      <c r="K3052" s="3" t="s">
        <v>216</v>
      </c>
    </row>
    <row r="3053" ht="15.6" spans="4:11">
      <c r="D3053" s="3">
        <v>8957</v>
      </c>
      <c r="E3053" s="3" t="s">
        <v>216</v>
      </c>
      <c r="J3053" s="3" t="s">
        <v>3295</v>
      </c>
      <c r="K3053" s="3" t="s">
        <v>216</v>
      </c>
    </row>
    <row r="3054" ht="15.6" spans="4:11">
      <c r="D3054" s="3">
        <v>8958</v>
      </c>
      <c r="E3054" s="3" t="s">
        <v>216</v>
      </c>
      <c r="J3054" s="3" t="s">
        <v>3296</v>
      </c>
      <c r="K3054" s="3" t="s">
        <v>216</v>
      </c>
    </row>
    <row r="3055" ht="15.6" spans="4:11">
      <c r="D3055" s="3">
        <v>8959</v>
      </c>
      <c r="E3055" s="3" t="s">
        <v>216</v>
      </c>
      <c r="J3055" s="3" t="s">
        <v>3297</v>
      </c>
      <c r="K3055" s="3" t="s">
        <v>216</v>
      </c>
    </row>
    <row r="3056" ht="15.6" spans="4:11">
      <c r="D3056" s="3">
        <v>8960</v>
      </c>
      <c r="E3056" s="3" t="s">
        <v>216</v>
      </c>
      <c r="J3056" s="3" t="s">
        <v>3298</v>
      </c>
      <c r="K3056" s="3" t="s">
        <v>216</v>
      </c>
    </row>
    <row r="3057" ht="15.6" spans="4:11">
      <c r="D3057" s="3">
        <v>8961</v>
      </c>
      <c r="E3057" s="3" t="s">
        <v>216</v>
      </c>
      <c r="J3057" s="3" t="s">
        <v>3299</v>
      </c>
      <c r="K3057" s="3" t="s">
        <v>216</v>
      </c>
    </row>
    <row r="3058" ht="15.6" spans="4:11">
      <c r="D3058" s="3">
        <v>8962</v>
      </c>
      <c r="E3058" s="3" t="s">
        <v>216</v>
      </c>
      <c r="J3058" s="3" t="s">
        <v>3300</v>
      </c>
      <c r="K3058" s="3" t="s">
        <v>216</v>
      </c>
    </row>
    <row r="3059" ht="15.6" spans="4:11">
      <c r="D3059" s="3">
        <v>8963</v>
      </c>
      <c r="E3059" s="3" t="s">
        <v>216</v>
      </c>
      <c r="J3059" s="3" t="s">
        <v>3301</v>
      </c>
      <c r="K3059" s="3" t="s">
        <v>216</v>
      </c>
    </row>
    <row r="3060" ht="15.6" spans="4:11">
      <c r="D3060" s="3">
        <v>8964</v>
      </c>
      <c r="E3060" s="3" t="s">
        <v>216</v>
      </c>
      <c r="J3060" s="3" t="s">
        <v>3302</v>
      </c>
      <c r="K3060" s="3" t="s">
        <v>216</v>
      </c>
    </row>
    <row r="3061" ht="15.6" spans="4:11">
      <c r="D3061" s="3">
        <v>8965</v>
      </c>
      <c r="E3061" s="3" t="s">
        <v>216</v>
      </c>
      <c r="J3061" s="3" t="s">
        <v>3303</v>
      </c>
      <c r="K3061" s="3" t="s">
        <v>216</v>
      </c>
    </row>
    <row r="3062" ht="15.6" spans="4:11">
      <c r="D3062" s="3">
        <v>8966</v>
      </c>
      <c r="E3062" s="3" t="s">
        <v>216</v>
      </c>
      <c r="J3062" s="3" t="s">
        <v>3304</v>
      </c>
      <c r="K3062" s="3" t="s">
        <v>216</v>
      </c>
    </row>
    <row r="3063" ht="15.6" spans="4:11">
      <c r="D3063" s="3">
        <v>8967</v>
      </c>
      <c r="E3063" s="3" t="s">
        <v>216</v>
      </c>
      <c r="J3063" s="3" t="s">
        <v>3305</v>
      </c>
      <c r="K3063" s="3" t="s">
        <v>216</v>
      </c>
    </row>
    <row r="3064" ht="15.6" spans="4:11">
      <c r="D3064" s="3">
        <v>8968</v>
      </c>
      <c r="E3064" s="3" t="s">
        <v>216</v>
      </c>
      <c r="J3064" s="3" t="s">
        <v>3306</v>
      </c>
      <c r="K3064" s="3" t="s">
        <v>216</v>
      </c>
    </row>
    <row r="3065" ht="15.6" spans="4:11">
      <c r="D3065" s="3">
        <v>8969</v>
      </c>
      <c r="E3065" s="3" t="s">
        <v>216</v>
      </c>
      <c r="J3065" s="3" t="s">
        <v>3307</v>
      </c>
      <c r="K3065" s="3" t="s">
        <v>216</v>
      </c>
    </row>
    <row r="3066" ht="15.6" spans="4:11">
      <c r="D3066" s="3">
        <v>8970</v>
      </c>
      <c r="E3066" s="3" t="s">
        <v>216</v>
      </c>
      <c r="J3066" s="3" t="s">
        <v>3308</v>
      </c>
      <c r="K3066" s="3" t="s">
        <v>216</v>
      </c>
    </row>
    <row r="3067" ht="15.6" spans="4:11">
      <c r="D3067" s="3">
        <v>8971</v>
      </c>
      <c r="E3067" s="3" t="s">
        <v>216</v>
      </c>
      <c r="J3067" s="3" t="s">
        <v>3309</v>
      </c>
      <c r="K3067" s="3" t="s">
        <v>216</v>
      </c>
    </row>
    <row r="3068" ht="15.6" spans="4:11">
      <c r="D3068" s="3">
        <v>8972</v>
      </c>
      <c r="E3068" s="3" t="s">
        <v>216</v>
      </c>
      <c r="J3068" s="3" t="s">
        <v>3310</v>
      </c>
      <c r="K3068" s="3" t="s">
        <v>216</v>
      </c>
    </row>
    <row r="3069" ht="15.6" spans="4:11">
      <c r="D3069" s="3">
        <v>8973</v>
      </c>
      <c r="E3069" s="3" t="s">
        <v>216</v>
      </c>
      <c r="J3069" s="3" t="s">
        <v>3311</v>
      </c>
      <c r="K3069" s="3" t="s">
        <v>216</v>
      </c>
    </row>
    <row r="3070" ht="15.6" spans="4:11">
      <c r="D3070" s="3">
        <v>8974</v>
      </c>
      <c r="E3070" s="3" t="s">
        <v>216</v>
      </c>
      <c r="J3070" s="3" t="s">
        <v>3312</v>
      </c>
      <c r="K3070" s="3" t="s">
        <v>216</v>
      </c>
    </row>
    <row r="3071" ht="15.6" spans="4:11">
      <c r="D3071" s="3">
        <v>8975</v>
      </c>
      <c r="E3071" s="3" t="s">
        <v>216</v>
      </c>
      <c r="J3071" s="3" t="s">
        <v>3313</v>
      </c>
      <c r="K3071" s="3" t="s">
        <v>216</v>
      </c>
    </row>
    <row r="3072" ht="15.6" spans="4:11">
      <c r="D3072" s="3">
        <v>8976</v>
      </c>
      <c r="E3072" s="3" t="s">
        <v>216</v>
      </c>
      <c r="J3072" s="3" t="s">
        <v>3314</v>
      </c>
      <c r="K3072" s="3" t="s">
        <v>216</v>
      </c>
    </row>
    <row r="3073" ht="15.6" spans="4:11">
      <c r="D3073" s="3">
        <v>8977</v>
      </c>
      <c r="E3073" s="3" t="s">
        <v>216</v>
      </c>
      <c r="J3073" s="3" t="s">
        <v>3315</v>
      </c>
      <c r="K3073" s="3" t="s">
        <v>216</v>
      </c>
    </row>
    <row r="3074" ht="15.6" spans="4:11">
      <c r="D3074" s="3">
        <v>8978</v>
      </c>
      <c r="E3074" s="3" t="s">
        <v>216</v>
      </c>
      <c r="J3074" s="3" t="s">
        <v>3316</v>
      </c>
      <c r="K3074" s="3" t="s">
        <v>216</v>
      </c>
    </row>
    <row r="3075" ht="15.6" spans="4:11">
      <c r="D3075" s="3">
        <v>8979</v>
      </c>
      <c r="E3075" s="3" t="s">
        <v>216</v>
      </c>
      <c r="J3075" s="3" t="s">
        <v>3317</v>
      </c>
      <c r="K3075" s="3" t="s">
        <v>216</v>
      </c>
    </row>
    <row r="3076" ht="15.6" spans="4:11">
      <c r="D3076" s="3">
        <v>8980</v>
      </c>
      <c r="E3076" s="3" t="s">
        <v>216</v>
      </c>
      <c r="J3076" s="3" t="s">
        <v>3318</v>
      </c>
      <c r="K3076" s="3" t="s">
        <v>216</v>
      </c>
    </row>
    <row r="3077" ht="15.6" spans="4:11">
      <c r="D3077" s="3">
        <v>8981</v>
      </c>
      <c r="E3077" s="3" t="s">
        <v>216</v>
      </c>
      <c r="J3077" s="3" t="s">
        <v>3319</v>
      </c>
      <c r="K3077" s="3" t="s">
        <v>216</v>
      </c>
    </row>
    <row r="3078" ht="15.6" spans="4:11">
      <c r="D3078" s="3">
        <v>8982</v>
      </c>
      <c r="E3078" s="3" t="s">
        <v>216</v>
      </c>
      <c r="J3078" s="3" t="s">
        <v>3320</v>
      </c>
      <c r="K3078" s="3" t="s">
        <v>216</v>
      </c>
    </row>
    <row r="3079" ht="15.6" spans="4:11">
      <c r="D3079" s="3">
        <v>8983</v>
      </c>
      <c r="E3079" s="3" t="s">
        <v>216</v>
      </c>
      <c r="J3079" s="3" t="s">
        <v>3321</v>
      </c>
      <c r="K3079" s="3" t="s">
        <v>216</v>
      </c>
    </row>
    <row r="3080" ht="15.6" spans="4:11">
      <c r="D3080" s="3">
        <v>8984</v>
      </c>
      <c r="E3080" s="3" t="s">
        <v>216</v>
      </c>
      <c r="J3080" s="3" t="s">
        <v>3322</v>
      </c>
      <c r="K3080" s="3" t="s">
        <v>216</v>
      </c>
    </row>
    <row r="3081" ht="15.6" spans="4:11">
      <c r="D3081" s="3">
        <v>8985</v>
      </c>
      <c r="E3081" s="3" t="s">
        <v>216</v>
      </c>
      <c r="J3081" s="3" t="s">
        <v>3323</v>
      </c>
      <c r="K3081" s="3" t="s">
        <v>216</v>
      </c>
    </row>
    <row r="3082" ht="15.6" spans="4:11">
      <c r="D3082" s="3">
        <v>8986</v>
      </c>
      <c r="E3082" s="3" t="s">
        <v>216</v>
      </c>
      <c r="J3082" s="3" t="s">
        <v>3324</v>
      </c>
      <c r="K3082" s="3" t="s">
        <v>216</v>
      </c>
    </row>
    <row r="3083" ht="15.6" spans="4:11">
      <c r="D3083" s="3">
        <v>8987</v>
      </c>
      <c r="E3083" s="3" t="s">
        <v>216</v>
      </c>
      <c r="J3083" s="3" t="s">
        <v>3325</v>
      </c>
      <c r="K3083" s="3" t="s">
        <v>216</v>
      </c>
    </row>
    <row r="3084" ht="15.6" spans="4:11">
      <c r="D3084" s="3">
        <v>8988</v>
      </c>
      <c r="E3084" s="3" t="s">
        <v>216</v>
      </c>
      <c r="J3084" s="3" t="s">
        <v>3326</v>
      </c>
      <c r="K3084" s="3" t="s">
        <v>216</v>
      </c>
    </row>
    <row r="3085" ht="15.6" spans="4:11">
      <c r="D3085" s="3">
        <v>8989</v>
      </c>
      <c r="E3085" s="3" t="s">
        <v>216</v>
      </c>
      <c r="J3085" s="3" t="s">
        <v>3327</v>
      </c>
      <c r="K3085" s="3" t="s">
        <v>216</v>
      </c>
    </row>
    <row r="3086" ht="15.6" spans="4:11">
      <c r="D3086" s="3">
        <v>8990</v>
      </c>
      <c r="E3086" s="3" t="s">
        <v>216</v>
      </c>
      <c r="J3086" s="3" t="s">
        <v>3328</v>
      </c>
      <c r="K3086" s="3" t="s">
        <v>216</v>
      </c>
    </row>
    <row r="3087" ht="15.6" spans="4:11">
      <c r="D3087" s="3">
        <v>8991</v>
      </c>
      <c r="E3087" s="3" t="s">
        <v>216</v>
      </c>
      <c r="J3087" s="3" t="s">
        <v>3329</v>
      </c>
      <c r="K3087" s="3" t="s">
        <v>216</v>
      </c>
    </row>
    <row r="3088" ht="15.6" spans="4:11">
      <c r="D3088" s="3">
        <v>8992</v>
      </c>
      <c r="E3088" s="3" t="s">
        <v>216</v>
      </c>
      <c r="J3088" s="3" t="s">
        <v>3330</v>
      </c>
      <c r="K3088" s="3" t="s">
        <v>216</v>
      </c>
    </row>
    <row r="3089" ht="15.6" spans="4:11">
      <c r="D3089" s="3">
        <v>8993</v>
      </c>
      <c r="E3089" s="3" t="s">
        <v>216</v>
      </c>
      <c r="J3089" s="3" t="s">
        <v>3331</v>
      </c>
      <c r="K3089" s="3" t="s">
        <v>216</v>
      </c>
    </row>
    <row r="3090" ht="15.6" spans="4:11">
      <c r="D3090" s="3">
        <v>8994</v>
      </c>
      <c r="E3090" s="3" t="s">
        <v>216</v>
      </c>
      <c r="J3090" s="3" t="s">
        <v>3332</v>
      </c>
      <c r="K3090" s="3" t="s">
        <v>216</v>
      </c>
    </row>
    <row r="3091" ht="15.6" spans="4:11">
      <c r="D3091" s="3">
        <v>8995</v>
      </c>
      <c r="E3091" s="3" t="s">
        <v>216</v>
      </c>
      <c r="J3091" s="3" t="s">
        <v>3333</v>
      </c>
      <c r="K3091" s="3" t="s">
        <v>216</v>
      </c>
    </row>
    <row r="3092" ht="15.6" spans="4:11">
      <c r="D3092" s="3">
        <v>8996</v>
      </c>
      <c r="E3092" s="3" t="s">
        <v>216</v>
      </c>
      <c r="J3092" s="3" t="s">
        <v>3334</v>
      </c>
      <c r="K3092" s="3" t="s">
        <v>216</v>
      </c>
    </row>
    <row r="3093" ht="15.6" spans="4:11">
      <c r="D3093" s="3">
        <v>8997</v>
      </c>
      <c r="E3093" s="3" t="s">
        <v>216</v>
      </c>
      <c r="J3093" s="3" t="s">
        <v>3335</v>
      </c>
      <c r="K3093" s="3" t="s">
        <v>216</v>
      </c>
    </row>
    <row r="3094" ht="15.6" spans="4:11">
      <c r="D3094" s="3">
        <v>8998</v>
      </c>
      <c r="E3094" s="3" t="s">
        <v>216</v>
      </c>
      <c r="J3094" s="3" t="s">
        <v>3336</v>
      </c>
      <c r="K3094" s="3" t="s">
        <v>216</v>
      </c>
    </row>
    <row r="3095" ht="15.6" spans="4:11">
      <c r="D3095" s="3">
        <v>8999</v>
      </c>
      <c r="E3095" s="3" t="s">
        <v>216</v>
      </c>
      <c r="J3095" s="3" t="s">
        <v>3337</v>
      </c>
      <c r="K3095" s="3" t="s">
        <v>216</v>
      </c>
    </row>
    <row r="3096" ht="15.6" spans="4:11">
      <c r="D3096" s="3">
        <v>9000</v>
      </c>
      <c r="E3096" s="3" t="s">
        <v>216</v>
      </c>
      <c r="J3096" s="3" t="s">
        <v>3338</v>
      </c>
      <c r="K3096" s="3" t="s">
        <v>216</v>
      </c>
    </row>
    <row r="3097" ht="15.6" spans="4:11">
      <c r="D3097" s="3">
        <v>9001</v>
      </c>
      <c r="E3097" s="3" t="s">
        <v>216</v>
      </c>
      <c r="J3097" s="3" t="s">
        <v>3339</v>
      </c>
      <c r="K3097" s="3" t="s">
        <v>216</v>
      </c>
    </row>
    <row r="3098" ht="15.6" spans="4:11">
      <c r="D3098" s="3">
        <v>9002</v>
      </c>
      <c r="E3098" s="3" t="s">
        <v>216</v>
      </c>
      <c r="J3098" s="3" t="s">
        <v>3340</v>
      </c>
      <c r="K3098" s="3" t="s">
        <v>216</v>
      </c>
    </row>
    <row r="3099" ht="15.6" spans="4:11">
      <c r="D3099" s="3">
        <v>9003</v>
      </c>
      <c r="E3099" s="3" t="s">
        <v>216</v>
      </c>
      <c r="J3099" s="3" t="s">
        <v>3341</v>
      </c>
      <c r="K3099" s="3" t="s">
        <v>216</v>
      </c>
    </row>
    <row r="3100" ht="15.6" spans="4:11">
      <c r="D3100" s="3">
        <v>9004</v>
      </c>
      <c r="E3100" s="3" t="s">
        <v>216</v>
      </c>
      <c r="J3100" s="3" t="s">
        <v>3342</v>
      </c>
      <c r="K3100" s="3" t="s">
        <v>216</v>
      </c>
    </row>
    <row r="3101" ht="15.6" spans="4:11">
      <c r="D3101" s="3">
        <v>9005</v>
      </c>
      <c r="E3101" s="3" t="s">
        <v>216</v>
      </c>
      <c r="J3101" s="3" t="s">
        <v>3343</v>
      </c>
      <c r="K3101" s="3" t="s">
        <v>216</v>
      </c>
    </row>
    <row r="3102" ht="15.6" spans="4:11">
      <c r="D3102" s="3">
        <v>9006</v>
      </c>
      <c r="E3102" s="3" t="s">
        <v>216</v>
      </c>
      <c r="J3102" s="3" t="s">
        <v>3344</v>
      </c>
      <c r="K3102" s="3" t="s">
        <v>216</v>
      </c>
    </row>
    <row r="3103" ht="15.6" spans="4:11">
      <c r="D3103" s="3">
        <v>9007</v>
      </c>
      <c r="E3103" s="3" t="s">
        <v>216</v>
      </c>
      <c r="J3103" s="3" t="s">
        <v>3345</v>
      </c>
      <c r="K3103" s="3" t="s">
        <v>216</v>
      </c>
    </row>
    <row r="3104" ht="15.6" spans="4:11">
      <c r="D3104" s="3">
        <v>9008</v>
      </c>
      <c r="E3104" s="3" t="s">
        <v>216</v>
      </c>
      <c r="J3104" s="3" t="s">
        <v>3346</v>
      </c>
      <c r="K3104" s="3" t="s">
        <v>216</v>
      </c>
    </row>
    <row r="3105" ht="15.6" spans="4:11">
      <c r="D3105" s="3">
        <v>9009</v>
      </c>
      <c r="E3105" s="3" t="s">
        <v>216</v>
      </c>
      <c r="J3105" s="3" t="s">
        <v>3347</v>
      </c>
      <c r="K3105" s="3" t="s">
        <v>216</v>
      </c>
    </row>
    <row r="3106" ht="15.6" spans="4:11">
      <c r="D3106" s="3">
        <v>9010</v>
      </c>
      <c r="E3106" s="3" t="s">
        <v>216</v>
      </c>
      <c r="J3106" s="3" t="s">
        <v>3348</v>
      </c>
      <c r="K3106" s="3" t="s">
        <v>216</v>
      </c>
    </row>
    <row r="3107" ht="15.6" spans="4:11">
      <c r="D3107" s="3">
        <v>9011</v>
      </c>
      <c r="E3107" s="3" t="s">
        <v>216</v>
      </c>
      <c r="J3107" s="3" t="s">
        <v>3349</v>
      </c>
      <c r="K3107" s="3" t="s">
        <v>216</v>
      </c>
    </row>
    <row r="3108" ht="15.6" spans="4:11">
      <c r="D3108" s="3">
        <v>9012</v>
      </c>
      <c r="E3108" s="3" t="s">
        <v>216</v>
      </c>
      <c r="J3108" s="3" t="s">
        <v>3350</v>
      </c>
      <c r="K3108" s="3" t="s">
        <v>216</v>
      </c>
    </row>
    <row r="3109" ht="15.6" spans="4:11">
      <c r="D3109" s="3">
        <v>9013</v>
      </c>
      <c r="E3109" s="3" t="s">
        <v>216</v>
      </c>
      <c r="J3109" s="3" t="s">
        <v>3351</v>
      </c>
      <c r="K3109" s="3" t="s">
        <v>216</v>
      </c>
    </row>
    <row r="3110" ht="15.6" spans="4:11">
      <c r="D3110" s="3">
        <v>9014</v>
      </c>
      <c r="E3110" s="3" t="s">
        <v>216</v>
      </c>
      <c r="J3110" s="3" t="s">
        <v>3352</v>
      </c>
      <c r="K3110" s="3" t="s">
        <v>216</v>
      </c>
    </row>
    <row r="3111" ht="15.6" spans="4:11">
      <c r="D3111" s="3">
        <v>9015</v>
      </c>
      <c r="E3111" s="3" t="s">
        <v>216</v>
      </c>
      <c r="J3111" s="3" t="s">
        <v>3353</v>
      </c>
      <c r="K3111" s="3" t="s">
        <v>216</v>
      </c>
    </row>
    <row r="3112" ht="15.6" spans="4:11">
      <c r="D3112" s="3">
        <v>9016</v>
      </c>
      <c r="E3112" s="3" t="s">
        <v>216</v>
      </c>
      <c r="J3112" s="3" t="s">
        <v>3354</v>
      </c>
      <c r="K3112" s="3" t="s">
        <v>216</v>
      </c>
    </row>
    <row r="3113" ht="15.6" spans="4:11">
      <c r="D3113" s="3">
        <v>9017</v>
      </c>
      <c r="E3113" s="3" t="s">
        <v>216</v>
      </c>
      <c r="J3113" s="3" t="s">
        <v>3355</v>
      </c>
      <c r="K3113" s="3" t="s">
        <v>216</v>
      </c>
    </row>
    <row r="3114" ht="15.6" spans="4:11">
      <c r="D3114" s="3">
        <v>9018</v>
      </c>
      <c r="E3114" s="3" t="s">
        <v>216</v>
      </c>
      <c r="J3114" s="3" t="s">
        <v>3356</v>
      </c>
      <c r="K3114" s="3" t="s">
        <v>216</v>
      </c>
    </row>
    <row r="3115" ht="15.6" spans="4:11">
      <c r="D3115" s="3">
        <v>9019</v>
      </c>
      <c r="E3115" s="3" t="s">
        <v>216</v>
      </c>
      <c r="J3115" s="3" t="s">
        <v>3357</v>
      </c>
      <c r="K3115" s="3" t="s">
        <v>216</v>
      </c>
    </row>
    <row r="3116" ht="15.6" spans="4:11">
      <c r="D3116" s="3">
        <v>9020</v>
      </c>
      <c r="E3116" s="3" t="s">
        <v>216</v>
      </c>
      <c r="J3116" s="3" t="s">
        <v>3358</v>
      </c>
      <c r="K3116" s="3" t="s">
        <v>216</v>
      </c>
    </row>
    <row r="3117" ht="15.6" spans="4:11">
      <c r="D3117" s="3">
        <v>9021</v>
      </c>
      <c r="E3117" s="3" t="s">
        <v>216</v>
      </c>
      <c r="J3117" s="3" t="s">
        <v>3359</v>
      </c>
      <c r="K3117" s="3" t="s">
        <v>216</v>
      </c>
    </row>
    <row r="3118" ht="15.6" spans="4:11">
      <c r="D3118" s="3">
        <v>9022</v>
      </c>
      <c r="E3118" s="3" t="s">
        <v>216</v>
      </c>
      <c r="J3118" s="3" t="s">
        <v>3360</v>
      </c>
      <c r="K3118" s="3" t="s">
        <v>216</v>
      </c>
    </row>
    <row r="3119" ht="15.6" spans="4:11">
      <c r="D3119" s="3">
        <v>9023</v>
      </c>
      <c r="E3119" s="3" t="s">
        <v>216</v>
      </c>
      <c r="J3119" s="3" t="s">
        <v>3361</v>
      </c>
      <c r="K3119" s="3" t="s">
        <v>216</v>
      </c>
    </row>
    <row r="3120" ht="15.6" spans="4:11">
      <c r="D3120" s="3">
        <v>9024</v>
      </c>
      <c r="E3120" s="3" t="s">
        <v>216</v>
      </c>
      <c r="J3120" s="3" t="s">
        <v>3362</v>
      </c>
      <c r="K3120" s="3" t="s">
        <v>216</v>
      </c>
    </row>
    <row r="3121" ht="15.6" spans="4:11">
      <c r="D3121" s="3">
        <v>9025</v>
      </c>
      <c r="E3121" s="3" t="s">
        <v>216</v>
      </c>
      <c r="J3121" s="3" t="s">
        <v>3363</v>
      </c>
      <c r="K3121" s="3" t="s">
        <v>216</v>
      </c>
    </row>
    <row r="3122" ht="15.6" spans="4:11">
      <c r="D3122" s="3">
        <v>9026</v>
      </c>
      <c r="E3122" s="3" t="s">
        <v>216</v>
      </c>
      <c r="J3122" s="3" t="s">
        <v>3364</v>
      </c>
      <c r="K3122" s="3" t="s">
        <v>216</v>
      </c>
    </row>
    <row r="3123" ht="15.6" spans="4:11">
      <c r="D3123" s="3">
        <v>9027</v>
      </c>
      <c r="E3123" s="3" t="s">
        <v>216</v>
      </c>
      <c r="J3123" s="3" t="s">
        <v>3365</v>
      </c>
      <c r="K3123" s="3" t="s">
        <v>216</v>
      </c>
    </row>
    <row r="3124" ht="15.6" spans="4:11">
      <c r="D3124" s="3">
        <v>9028</v>
      </c>
      <c r="E3124" s="3" t="s">
        <v>216</v>
      </c>
      <c r="J3124" s="3" t="s">
        <v>3366</v>
      </c>
      <c r="K3124" s="3" t="s">
        <v>216</v>
      </c>
    </row>
    <row r="3125" ht="15.6" spans="4:11">
      <c r="D3125" s="3">
        <v>9029</v>
      </c>
      <c r="E3125" s="3" t="s">
        <v>216</v>
      </c>
      <c r="J3125" s="3" t="s">
        <v>3367</v>
      </c>
      <c r="K3125" s="3" t="s">
        <v>216</v>
      </c>
    </row>
    <row r="3126" ht="15.6" spans="4:11">
      <c r="D3126" s="3">
        <v>9030</v>
      </c>
      <c r="E3126" s="3" t="s">
        <v>216</v>
      </c>
      <c r="J3126" s="3" t="s">
        <v>3368</v>
      </c>
      <c r="K3126" s="3" t="s">
        <v>216</v>
      </c>
    </row>
    <row r="3127" ht="15.6" spans="4:11">
      <c r="D3127" s="3">
        <v>9031</v>
      </c>
      <c r="E3127" s="3" t="s">
        <v>216</v>
      </c>
      <c r="J3127" s="3" t="s">
        <v>3369</v>
      </c>
      <c r="K3127" s="3" t="s">
        <v>216</v>
      </c>
    </row>
    <row r="3128" ht="15.6" spans="4:11">
      <c r="D3128" s="3">
        <v>9032</v>
      </c>
      <c r="E3128" s="3" t="s">
        <v>216</v>
      </c>
      <c r="J3128" s="3" t="s">
        <v>3370</v>
      </c>
      <c r="K3128" s="3" t="s">
        <v>216</v>
      </c>
    </row>
    <row r="3129" ht="15.6" spans="4:11">
      <c r="D3129" s="3">
        <v>9033</v>
      </c>
      <c r="E3129" s="3" t="s">
        <v>216</v>
      </c>
      <c r="J3129" s="3" t="s">
        <v>3371</v>
      </c>
      <c r="K3129" s="3" t="s">
        <v>216</v>
      </c>
    </row>
    <row r="3130" ht="15.6" spans="4:11">
      <c r="D3130" s="3">
        <v>9034</v>
      </c>
      <c r="E3130" s="3" t="s">
        <v>216</v>
      </c>
      <c r="J3130" s="3" t="s">
        <v>3372</v>
      </c>
      <c r="K3130" s="3" t="s">
        <v>216</v>
      </c>
    </row>
    <row r="3131" ht="15.6" spans="4:11">
      <c r="D3131" s="3">
        <v>9035</v>
      </c>
      <c r="E3131" s="3" t="s">
        <v>216</v>
      </c>
      <c r="J3131" s="3" t="s">
        <v>3373</v>
      </c>
      <c r="K3131" s="3" t="s">
        <v>216</v>
      </c>
    </row>
    <row r="3132" ht="15.6" spans="4:11">
      <c r="D3132" s="3">
        <v>9036</v>
      </c>
      <c r="E3132" s="3" t="s">
        <v>216</v>
      </c>
      <c r="J3132" s="3" t="s">
        <v>3374</v>
      </c>
      <c r="K3132" s="3" t="s">
        <v>216</v>
      </c>
    </row>
    <row r="3133" ht="15.6" spans="4:11">
      <c r="D3133" s="3">
        <v>9037</v>
      </c>
      <c r="E3133" s="3" t="s">
        <v>216</v>
      </c>
      <c r="J3133" s="3" t="s">
        <v>3375</v>
      </c>
      <c r="K3133" s="3" t="s">
        <v>216</v>
      </c>
    </row>
    <row r="3134" ht="15.6" spans="4:11">
      <c r="D3134" s="3">
        <v>9038</v>
      </c>
      <c r="E3134" s="3" t="s">
        <v>216</v>
      </c>
      <c r="J3134" s="3" t="s">
        <v>3376</v>
      </c>
      <c r="K3134" s="3" t="s">
        <v>216</v>
      </c>
    </row>
    <row r="3135" ht="15.6" spans="4:11">
      <c r="D3135" s="3">
        <v>9039</v>
      </c>
      <c r="E3135" s="3" t="s">
        <v>216</v>
      </c>
      <c r="J3135" s="3" t="s">
        <v>3377</v>
      </c>
      <c r="K3135" s="3" t="s">
        <v>216</v>
      </c>
    </row>
    <row r="3136" ht="15.6" spans="4:11">
      <c r="D3136" s="3">
        <v>9040</v>
      </c>
      <c r="E3136" s="3" t="s">
        <v>216</v>
      </c>
      <c r="J3136" s="3" t="s">
        <v>3378</v>
      </c>
      <c r="K3136" s="3" t="s">
        <v>216</v>
      </c>
    </row>
    <row r="3137" ht="15.6" spans="4:11">
      <c r="D3137" s="3">
        <v>9041</v>
      </c>
      <c r="E3137" s="3" t="s">
        <v>216</v>
      </c>
      <c r="J3137" s="3" t="s">
        <v>3379</v>
      </c>
      <c r="K3137" s="3" t="s">
        <v>216</v>
      </c>
    </row>
    <row r="3138" ht="15.6" spans="4:11">
      <c r="D3138" s="3">
        <v>9042</v>
      </c>
      <c r="E3138" s="3" t="s">
        <v>216</v>
      </c>
      <c r="J3138" s="3" t="s">
        <v>3380</v>
      </c>
      <c r="K3138" s="3" t="s">
        <v>216</v>
      </c>
    </row>
    <row r="3139" ht="15.6" spans="4:11">
      <c r="D3139" s="3">
        <v>9043</v>
      </c>
      <c r="E3139" s="3" t="s">
        <v>216</v>
      </c>
      <c r="J3139" s="3" t="s">
        <v>3381</v>
      </c>
      <c r="K3139" s="3" t="s">
        <v>216</v>
      </c>
    </row>
    <row r="3140" ht="15.6" spans="4:11">
      <c r="D3140" s="3">
        <v>9044</v>
      </c>
      <c r="E3140" s="3" t="s">
        <v>216</v>
      </c>
      <c r="J3140" s="3" t="s">
        <v>3382</v>
      </c>
      <c r="K3140" s="3" t="s">
        <v>216</v>
      </c>
    </row>
    <row r="3141" ht="15.6" spans="4:11">
      <c r="D3141" s="3">
        <v>9045</v>
      </c>
      <c r="E3141" s="3" t="s">
        <v>216</v>
      </c>
      <c r="J3141" s="3" t="s">
        <v>3383</v>
      </c>
      <c r="K3141" s="3" t="s">
        <v>216</v>
      </c>
    </row>
    <row r="3142" ht="15.6" spans="4:11">
      <c r="D3142" s="3">
        <v>9046</v>
      </c>
      <c r="E3142" s="3" t="s">
        <v>216</v>
      </c>
      <c r="J3142" s="3" t="s">
        <v>3384</v>
      </c>
      <c r="K3142" s="3" t="s">
        <v>216</v>
      </c>
    </row>
    <row r="3143" ht="15.6" spans="4:11">
      <c r="D3143" s="3">
        <v>9047</v>
      </c>
      <c r="E3143" s="3" t="s">
        <v>216</v>
      </c>
      <c r="J3143" s="3" t="s">
        <v>3385</v>
      </c>
      <c r="K3143" s="3" t="s">
        <v>216</v>
      </c>
    </row>
    <row r="3144" ht="15.6" spans="4:11">
      <c r="D3144" s="3">
        <v>9048</v>
      </c>
      <c r="E3144" s="3" t="s">
        <v>216</v>
      </c>
      <c r="J3144" s="3" t="s">
        <v>3386</v>
      </c>
      <c r="K3144" s="3" t="s">
        <v>216</v>
      </c>
    </row>
    <row r="3145" ht="15.6" spans="4:11">
      <c r="D3145" s="3">
        <v>9049</v>
      </c>
      <c r="E3145" s="3" t="s">
        <v>216</v>
      </c>
      <c r="J3145" s="3" t="s">
        <v>3387</v>
      </c>
      <c r="K3145" s="3" t="s">
        <v>216</v>
      </c>
    </row>
    <row r="3146" ht="15.6" spans="4:11">
      <c r="D3146" s="3">
        <v>9050</v>
      </c>
      <c r="E3146" s="3" t="s">
        <v>216</v>
      </c>
      <c r="J3146" s="3" t="s">
        <v>3388</v>
      </c>
      <c r="K3146" s="3" t="s">
        <v>216</v>
      </c>
    </row>
    <row r="3147" ht="15.6" spans="4:11">
      <c r="D3147" s="3">
        <v>9051</v>
      </c>
      <c r="E3147" s="3" t="s">
        <v>216</v>
      </c>
      <c r="J3147" s="3" t="s">
        <v>3389</v>
      </c>
      <c r="K3147" s="3" t="s">
        <v>216</v>
      </c>
    </row>
    <row r="3148" ht="15.6" spans="4:11">
      <c r="D3148" s="3">
        <v>9052</v>
      </c>
      <c r="E3148" s="3" t="s">
        <v>216</v>
      </c>
      <c r="J3148" s="3" t="s">
        <v>3390</v>
      </c>
      <c r="K3148" s="3" t="s">
        <v>216</v>
      </c>
    </row>
    <row r="3149" ht="15.6" spans="4:11">
      <c r="D3149" s="3">
        <v>9053</v>
      </c>
      <c r="E3149" s="3" t="s">
        <v>216</v>
      </c>
      <c r="J3149" s="3" t="s">
        <v>3391</v>
      </c>
      <c r="K3149" s="3" t="s">
        <v>216</v>
      </c>
    </row>
    <row r="3150" ht="15.6" spans="4:11">
      <c r="D3150" s="3">
        <v>9054</v>
      </c>
      <c r="E3150" s="3" t="s">
        <v>216</v>
      </c>
      <c r="J3150" s="3" t="s">
        <v>3392</v>
      </c>
      <c r="K3150" s="3" t="s">
        <v>216</v>
      </c>
    </row>
    <row r="3151" ht="15.6" spans="4:11">
      <c r="D3151" s="3">
        <v>9055</v>
      </c>
      <c r="E3151" s="3" t="s">
        <v>216</v>
      </c>
      <c r="J3151" s="3" t="s">
        <v>3393</v>
      </c>
      <c r="K3151" s="3" t="s">
        <v>216</v>
      </c>
    </row>
    <row r="3152" ht="15.6" spans="4:11">
      <c r="D3152" s="3">
        <v>9056</v>
      </c>
      <c r="E3152" s="3" t="s">
        <v>216</v>
      </c>
      <c r="J3152" s="3" t="s">
        <v>3394</v>
      </c>
      <c r="K3152" s="3" t="s">
        <v>216</v>
      </c>
    </row>
    <row r="3153" ht="15.6" spans="4:11">
      <c r="D3153" s="3">
        <v>9057</v>
      </c>
      <c r="E3153" s="3" t="s">
        <v>216</v>
      </c>
      <c r="J3153" s="3" t="s">
        <v>3395</v>
      </c>
      <c r="K3153" s="3" t="s">
        <v>216</v>
      </c>
    </row>
    <row r="3154" ht="15.6" spans="4:11">
      <c r="D3154" s="3">
        <v>9058</v>
      </c>
      <c r="E3154" s="3" t="s">
        <v>216</v>
      </c>
      <c r="J3154" s="3" t="s">
        <v>3396</v>
      </c>
      <c r="K3154" s="3" t="s">
        <v>216</v>
      </c>
    </row>
    <row r="3155" ht="15.6" spans="4:11">
      <c r="D3155" s="3">
        <v>9059</v>
      </c>
      <c r="E3155" s="3" t="s">
        <v>216</v>
      </c>
      <c r="J3155" s="3" t="s">
        <v>3397</v>
      </c>
      <c r="K3155" s="3" t="s">
        <v>216</v>
      </c>
    </row>
    <row r="3156" ht="15.6" spans="4:11">
      <c r="D3156" s="3">
        <v>9060</v>
      </c>
      <c r="E3156" s="3" t="s">
        <v>216</v>
      </c>
      <c r="J3156" s="3" t="s">
        <v>3398</v>
      </c>
      <c r="K3156" s="3" t="s">
        <v>216</v>
      </c>
    </row>
    <row r="3157" ht="15.6" spans="4:11">
      <c r="D3157" s="3">
        <v>9061</v>
      </c>
      <c r="E3157" s="3" t="s">
        <v>216</v>
      </c>
      <c r="J3157" s="3" t="s">
        <v>3399</v>
      </c>
      <c r="K3157" s="3" t="s">
        <v>216</v>
      </c>
    </row>
    <row r="3158" ht="15.6" spans="4:11">
      <c r="D3158" s="3">
        <v>9062</v>
      </c>
      <c r="E3158" s="3" t="s">
        <v>216</v>
      </c>
      <c r="J3158" s="3" t="s">
        <v>3400</v>
      </c>
      <c r="K3158" s="3" t="s">
        <v>216</v>
      </c>
    </row>
    <row r="3159" ht="15.6" spans="4:11">
      <c r="D3159" s="3">
        <v>9063</v>
      </c>
      <c r="E3159" s="3" t="s">
        <v>216</v>
      </c>
      <c r="J3159" s="3" t="s">
        <v>3401</v>
      </c>
      <c r="K3159" s="3" t="s">
        <v>216</v>
      </c>
    </row>
    <row r="3160" ht="15.6" spans="4:11">
      <c r="D3160" s="3">
        <v>9064</v>
      </c>
      <c r="E3160" s="3" t="s">
        <v>216</v>
      </c>
      <c r="J3160" s="3" t="s">
        <v>3402</v>
      </c>
      <c r="K3160" s="3" t="s">
        <v>216</v>
      </c>
    </row>
    <row r="3161" ht="15.6" spans="4:11">
      <c r="D3161" s="3">
        <v>9065</v>
      </c>
      <c r="E3161" s="3" t="s">
        <v>216</v>
      </c>
      <c r="J3161" s="3" t="s">
        <v>3403</v>
      </c>
      <c r="K3161" s="3" t="s">
        <v>216</v>
      </c>
    </row>
    <row r="3162" ht="15.6" spans="4:11">
      <c r="D3162" s="3">
        <v>9066</v>
      </c>
      <c r="E3162" s="3" t="s">
        <v>216</v>
      </c>
      <c r="J3162" s="3" t="s">
        <v>3404</v>
      </c>
      <c r="K3162" s="3" t="s">
        <v>216</v>
      </c>
    </row>
    <row r="3163" ht="15.6" spans="4:11">
      <c r="D3163" s="3">
        <v>9067</v>
      </c>
      <c r="E3163" s="3" t="s">
        <v>216</v>
      </c>
      <c r="J3163" s="3" t="s">
        <v>3405</v>
      </c>
      <c r="K3163" s="3" t="s">
        <v>216</v>
      </c>
    </row>
    <row r="3164" ht="15.6" spans="4:11">
      <c r="D3164" s="3">
        <v>9068</v>
      </c>
      <c r="E3164" s="3" t="s">
        <v>216</v>
      </c>
      <c r="J3164" s="3" t="s">
        <v>3406</v>
      </c>
      <c r="K3164" s="3" t="s">
        <v>216</v>
      </c>
    </row>
    <row r="3165" ht="15.6" spans="4:11">
      <c r="D3165" s="3">
        <v>9069</v>
      </c>
      <c r="E3165" s="3" t="s">
        <v>216</v>
      </c>
      <c r="J3165" s="3" t="s">
        <v>3407</v>
      </c>
      <c r="K3165" s="3" t="s">
        <v>216</v>
      </c>
    </row>
    <row r="3166" ht="15.6" spans="4:11">
      <c r="D3166" s="3">
        <v>9070</v>
      </c>
      <c r="E3166" s="3" t="s">
        <v>216</v>
      </c>
      <c r="J3166" s="3" t="s">
        <v>3408</v>
      </c>
      <c r="K3166" s="3" t="s">
        <v>216</v>
      </c>
    </row>
    <row r="3167" ht="15.6" spans="4:11">
      <c r="D3167" s="3">
        <v>9071</v>
      </c>
      <c r="E3167" s="3" t="s">
        <v>216</v>
      </c>
      <c r="J3167" s="3" t="s">
        <v>3409</v>
      </c>
      <c r="K3167" s="3" t="s">
        <v>216</v>
      </c>
    </row>
    <row r="3168" ht="15.6" spans="4:11">
      <c r="D3168" s="3">
        <v>9072</v>
      </c>
      <c r="E3168" s="3" t="s">
        <v>216</v>
      </c>
      <c r="J3168" s="3" t="s">
        <v>3410</v>
      </c>
      <c r="K3168" s="3" t="s">
        <v>216</v>
      </c>
    </row>
    <row r="3169" ht="15.6" spans="4:11">
      <c r="D3169" s="3">
        <v>9073</v>
      </c>
      <c r="E3169" s="3" t="s">
        <v>216</v>
      </c>
      <c r="J3169" s="3" t="s">
        <v>3411</v>
      </c>
      <c r="K3169" s="3" t="s">
        <v>216</v>
      </c>
    </row>
    <row r="3170" ht="15.6" spans="4:11">
      <c r="D3170" s="3">
        <v>9074</v>
      </c>
      <c r="E3170" s="3" t="s">
        <v>216</v>
      </c>
      <c r="J3170" s="3" t="s">
        <v>3412</v>
      </c>
      <c r="K3170" s="3" t="s">
        <v>216</v>
      </c>
    </row>
    <row r="3171" ht="15.6" spans="4:11">
      <c r="D3171" s="3">
        <v>9075</v>
      </c>
      <c r="E3171" s="3" t="s">
        <v>216</v>
      </c>
      <c r="J3171" s="3" t="s">
        <v>3413</v>
      </c>
      <c r="K3171" s="3" t="s">
        <v>216</v>
      </c>
    </row>
    <row r="3172" ht="15.6" spans="4:11">
      <c r="D3172" s="3">
        <v>9076</v>
      </c>
      <c r="E3172" s="3" t="s">
        <v>216</v>
      </c>
      <c r="J3172" s="3" t="s">
        <v>3414</v>
      </c>
      <c r="K3172" s="3" t="s">
        <v>216</v>
      </c>
    </row>
    <row r="3173" ht="15.6" spans="4:11">
      <c r="D3173" s="3">
        <v>9077</v>
      </c>
      <c r="E3173" s="3" t="s">
        <v>216</v>
      </c>
      <c r="J3173" s="3" t="s">
        <v>3415</v>
      </c>
      <c r="K3173" s="3" t="s">
        <v>216</v>
      </c>
    </row>
    <row r="3174" ht="15.6" spans="4:11">
      <c r="D3174" s="3">
        <v>9078</v>
      </c>
      <c r="E3174" s="3" t="s">
        <v>216</v>
      </c>
      <c r="J3174" s="3" t="s">
        <v>3416</v>
      </c>
      <c r="K3174" s="3" t="s">
        <v>216</v>
      </c>
    </row>
    <row r="3175" ht="15.6" spans="4:11">
      <c r="D3175" s="3">
        <v>9079</v>
      </c>
      <c r="E3175" s="3" t="s">
        <v>216</v>
      </c>
      <c r="J3175" s="3" t="s">
        <v>3417</v>
      </c>
      <c r="K3175" s="3" t="s">
        <v>216</v>
      </c>
    </row>
    <row r="3176" ht="15.6" spans="4:11">
      <c r="D3176" s="3">
        <v>9080</v>
      </c>
      <c r="E3176" s="3" t="s">
        <v>216</v>
      </c>
      <c r="J3176" s="3" t="s">
        <v>3418</v>
      </c>
      <c r="K3176" s="3" t="s">
        <v>216</v>
      </c>
    </row>
    <row r="3177" ht="15.6" spans="4:11">
      <c r="D3177" s="3">
        <v>9081</v>
      </c>
      <c r="E3177" s="3" t="s">
        <v>216</v>
      </c>
      <c r="J3177" s="3" t="s">
        <v>3419</v>
      </c>
      <c r="K3177" s="3" t="s">
        <v>216</v>
      </c>
    </row>
    <row r="3178" ht="15.6" spans="4:11">
      <c r="D3178" s="3">
        <v>9082</v>
      </c>
      <c r="E3178" s="3" t="s">
        <v>216</v>
      </c>
      <c r="J3178" s="3" t="s">
        <v>3420</v>
      </c>
      <c r="K3178" s="3" t="s">
        <v>216</v>
      </c>
    </row>
    <row r="3179" ht="15.6" spans="4:11">
      <c r="D3179" s="3">
        <v>9083</v>
      </c>
      <c r="E3179" s="3" t="s">
        <v>216</v>
      </c>
      <c r="J3179" s="3" t="s">
        <v>3421</v>
      </c>
      <c r="K3179" s="3" t="s">
        <v>216</v>
      </c>
    </row>
    <row r="3180" ht="15.6" spans="4:11">
      <c r="D3180" s="3">
        <v>9084</v>
      </c>
      <c r="E3180" s="3" t="s">
        <v>216</v>
      </c>
      <c r="J3180" s="3" t="s">
        <v>3422</v>
      </c>
      <c r="K3180" s="3" t="s">
        <v>216</v>
      </c>
    </row>
    <row r="3181" ht="15.6" spans="4:11">
      <c r="D3181" s="3">
        <v>9085</v>
      </c>
      <c r="E3181" s="3" t="s">
        <v>216</v>
      </c>
      <c r="J3181" s="3" t="s">
        <v>3423</v>
      </c>
      <c r="K3181" s="3" t="s">
        <v>216</v>
      </c>
    </row>
    <row r="3182" ht="15.6" spans="4:11">
      <c r="D3182" s="3">
        <v>9086</v>
      </c>
      <c r="E3182" s="3" t="s">
        <v>216</v>
      </c>
      <c r="J3182" s="3" t="s">
        <v>3424</v>
      </c>
      <c r="K3182" s="3" t="s">
        <v>216</v>
      </c>
    </row>
    <row r="3183" ht="15.6" spans="4:11">
      <c r="D3183" s="3">
        <v>9087</v>
      </c>
      <c r="E3183" s="3" t="s">
        <v>216</v>
      </c>
      <c r="J3183" s="3" t="s">
        <v>3425</v>
      </c>
      <c r="K3183" s="3" t="s">
        <v>216</v>
      </c>
    </row>
    <row r="3184" ht="15.6" spans="4:11">
      <c r="D3184" s="3">
        <v>9088</v>
      </c>
      <c r="E3184" s="3" t="s">
        <v>216</v>
      </c>
      <c r="J3184" s="3" t="s">
        <v>3426</v>
      </c>
      <c r="K3184" s="3" t="s">
        <v>216</v>
      </c>
    </row>
    <row r="3185" ht="15.6" spans="4:11">
      <c r="D3185" s="3">
        <v>9089</v>
      </c>
      <c r="E3185" s="3" t="s">
        <v>216</v>
      </c>
      <c r="J3185" s="3" t="s">
        <v>3427</v>
      </c>
      <c r="K3185" s="3" t="s">
        <v>216</v>
      </c>
    </row>
    <row r="3186" ht="15.6" spans="4:11">
      <c r="D3186" s="3">
        <v>9090</v>
      </c>
      <c r="E3186" s="3" t="s">
        <v>216</v>
      </c>
      <c r="J3186" s="3" t="s">
        <v>3428</v>
      </c>
      <c r="K3186" s="3" t="s">
        <v>216</v>
      </c>
    </row>
    <row r="3187" ht="15.6" spans="4:11">
      <c r="D3187" s="3">
        <v>9091</v>
      </c>
      <c r="E3187" s="3" t="s">
        <v>216</v>
      </c>
      <c r="J3187" s="3" t="s">
        <v>3429</v>
      </c>
      <c r="K3187" s="3" t="s">
        <v>216</v>
      </c>
    </row>
    <row r="3188" ht="15.6" spans="4:11">
      <c r="D3188" s="3">
        <v>9092</v>
      </c>
      <c r="E3188" s="3" t="s">
        <v>216</v>
      </c>
      <c r="J3188" s="3" t="s">
        <v>3430</v>
      </c>
      <c r="K3188" s="3" t="s">
        <v>216</v>
      </c>
    </row>
    <row r="3189" ht="15.6" spans="4:11">
      <c r="D3189" s="3">
        <v>9093</v>
      </c>
      <c r="E3189" s="3" t="s">
        <v>216</v>
      </c>
      <c r="J3189" s="3" t="s">
        <v>3431</v>
      </c>
      <c r="K3189" s="3" t="s">
        <v>216</v>
      </c>
    </row>
    <row r="3190" ht="15.6" spans="4:11">
      <c r="D3190" s="3">
        <v>9094</v>
      </c>
      <c r="E3190" s="3" t="s">
        <v>216</v>
      </c>
      <c r="J3190" s="3" t="s">
        <v>3432</v>
      </c>
      <c r="K3190" s="3" t="s">
        <v>216</v>
      </c>
    </row>
    <row r="3191" ht="15.6" spans="4:11">
      <c r="D3191" s="3">
        <v>9095</v>
      </c>
      <c r="E3191" s="3" t="s">
        <v>216</v>
      </c>
      <c r="J3191" s="3" t="s">
        <v>3433</v>
      </c>
      <c r="K3191" s="3" t="s">
        <v>216</v>
      </c>
    </row>
    <row r="3192" ht="15.6" spans="4:11">
      <c r="D3192" s="3">
        <v>9096</v>
      </c>
      <c r="E3192" s="3" t="s">
        <v>216</v>
      </c>
      <c r="J3192" s="3" t="s">
        <v>3434</v>
      </c>
      <c r="K3192" s="3" t="s">
        <v>216</v>
      </c>
    </row>
    <row r="3193" ht="15.6" spans="4:11">
      <c r="D3193" s="3">
        <v>9097</v>
      </c>
      <c r="E3193" s="3" t="s">
        <v>216</v>
      </c>
      <c r="J3193" s="3" t="s">
        <v>3435</v>
      </c>
      <c r="K3193" s="3" t="s">
        <v>216</v>
      </c>
    </row>
    <row r="3194" ht="15.6" spans="4:11">
      <c r="D3194" s="3">
        <v>9098</v>
      </c>
      <c r="E3194" s="3" t="s">
        <v>216</v>
      </c>
      <c r="J3194" s="3" t="s">
        <v>3436</v>
      </c>
      <c r="K3194" s="3" t="s">
        <v>216</v>
      </c>
    </row>
    <row r="3195" ht="15.6" spans="4:11">
      <c r="D3195" s="3">
        <v>9099</v>
      </c>
      <c r="E3195" s="3" t="s">
        <v>216</v>
      </c>
      <c r="J3195" s="3" t="s">
        <v>3437</v>
      </c>
      <c r="K3195" s="3" t="s">
        <v>216</v>
      </c>
    </row>
    <row r="3196" ht="15.6" spans="4:11">
      <c r="D3196" s="3">
        <v>9100</v>
      </c>
      <c r="E3196" s="3" t="s">
        <v>216</v>
      </c>
      <c r="J3196" s="3" t="s">
        <v>3438</v>
      </c>
      <c r="K3196" s="3" t="s">
        <v>216</v>
      </c>
    </row>
    <row r="3197" ht="15.6" spans="4:11">
      <c r="D3197" s="3">
        <v>9101</v>
      </c>
      <c r="E3197" s="3" t="s">
        <v>216</v>
      </c>
      <c r="J3197" s="3" t="s">
        <v>3439</v>
      </c>
      <c r="K3197" s="3" t="s">
        <v>216</v>
      </c>
    </row>
    <row r="3198" ht="15.6" spans="4:11">
      <c r="D3198" s="3">
        <v>9102</v>
      </c>
      <c r="E3198" s="3" t="s">
        <v>216</v>
      </c>
      <c r="J3198" s="3" t="s">
        <v>3440</v>
      </c>
      <c r="K3198" s="3" t="s">
        <v>216</v>
      </c>
    </row>
    <row r="3199" ht="15.6" spans="4:11">
      <c r="D3199" s="3">
        <v>9103</v>
      </c>
      <c r="E3199" s="3" t="s">
        <v>216</v>
      </c>
      <c r="J3199" s="3" t="s">
        <v>3441</v>
      </c>
      <c r="K3199" s="3" t="s">
        <v>216</v>
      </c>
    </row>
    <row r="3200" ht="15.6" spans="4:11">
      <c r="D3200" s="3">
        <v>9104</v>
      </c>
      <c r="E3200" s="3" t="s">
        <v>216</v>
      </c>
      <c r="J3200" s="3" t="s">
        <v>3442</v>
      </c>
      <c r="K3200" s="3" t="s">
        <v>216</v>
      </c>
    </row>
    <row r="3201" ht="15.6" spans="4:11">
      <c r="D3201" s="3">
        <v>9105</v>
      </c>
      <c r="E3201" s="3" t="s">
        <v>216</v>
      </c>
      <c r="J3201" s="3" t="s">
        <v>3443</v>
      </c>
      <c r="K3201" s="3" t="s">
        <v>216</v>
      </c>
    </row>
    <row r="3202" ht="15.6" spans="4:11">
      <c r="D3202" s="3">
        <v>9106</v>
      </c>
      <c r="E3202" s="3" t="s">
        <v>216</v>
      </c>
      <c r="J3202" s="3" t="s">
        <v>3444</v>
      </c>
      <c r="K3202" s="3" t="s">
        <v>216</v>
      </c>
    </row>
    <row r="3203" ht="15.6" spans="4:11">
      <c r="D3203" s="3">
        <v>9107</v>
      </c>
      <c r="E3203" s="3" t="s">
        <v>216</v>
      </c>
      <c r="J3203" s="3" t="s">
        <v>3445</v>
      </c>
      <c r="K3203" s="3" t="s">
        <v>216</v>
      </c>
    </row>
    <row r="3204" ht="15.6" spans="4:11">
      <c r="D3204" s="3">
        <v>9108</v>
      </c>
      <c r="E3204" s="3" t="s">
        <v>216</v>
      </c>
      <c r="J3204" s="3" t="s">
        <v>3446</v>
      </c>
      <c r="K3204" s="3" t="s">
        <v>216</v>
      </c>
    </row>
    <row r="3205" ht="15.6" spans="4:11">
      <c r="D3205" s="3">
        <v>9109</v>
      </c>
      <c r="E3205" s="3" t="s">
        <v>216</v>
      </c>
      <c r="J3205" s="3" t="s">
        <v>3447</v>
      </c>
      <c r="K3205" s="3" t="s">
        <v>216</v>
      </c>
    </row>
    <row r="3206" ht="15.6" spans="4:11">
      <c r="D3206" s="3">
        <v>9110</v>
      </c>
      <c r="E3206" s="3" t="s">
        <v>216</v>
      </c>
      <c r="J3206" s="3" t="s">
        <v>3448</v>
      </c>
      <c r="K3206" s="3" t="s">
        <v>216</v>
      </c>
    </row>
    <row r="3207" ht="15.6" spans="4:11">
      <c r="D3207" s="3">
        <v>9111</v>
      </c>
      <c r="E3207" s="3" t="s">
        <v>216</v>
      </c>
      <c r="J3207" s="3" t="s">
        <v>3449</v>
      </c>
      <c r="K3207" s="3" t="s">
        <v>216</v>
      </c>
    </row>
    <row r="3208" ht="15.6" spans="4:11">
      <c r="D3208" s="3">
        <v>9112</v>
      </c>
      <c r="E3208" s="3" t="s">
        <v>216</v>
      </c>
      <c r="J3208" s="3" t="s">
        <v>3450</v>
      </c>
      <c r="K3208" s="3" t="s">
        <v>216</v>
      </c>
    </row>
    <row r="3209" ht="15.6" spans="4:11">
      <c r="D3209" s="3">
        <v>9113</v>
      </c>
      <c r="E3209" s="3" t="s">
        <v>216</v>
      </c>
      <c r="J3209" s="3" t="s">
        <v>3451</v>
      </c>
      <c r="K3209" s="3" t="s">
        <v>216</v>
      </c>
    </row>
    <row r="3210" ht="15.6" spans="4:11">
      <c r="D3210" s="3">
        <v>9114</v>
      </c>
      <c r="E3210" s="3" t="s">
        <v>216</v>
      </c>
      <c r="J3210" s="3" t="s">
        <v>3452</v>
      </c>
      <c r="K3210" s="3" t="s">
        <v>216</v>
      </c>
    </row>
    <row r="3211" ht="15.6" spans="4:11">
      <c r="D3211" s="3">
        <v>9115</v>
      </c>
      <c r="E3211" s="3" t="s">
        <v>216</v>
      </c>
      <c r="J3211" s="3" t="s">
        <v>3453</v>
      </c>
      <c r="K3211" s="3" t="s">
        <v>216</v>
      </c>
    </row>
    <row r="3212" ht="15.6" spans="4:11">
      <c r="D3212" s="3">
        <v>9116</v>
      </c>
      <c r="E3212" s="3" t="s">
        <v>216</v>
      </c>
      <c r="J3212" s="3" t="s">
        <v>3454</v>
      </c>
      <c r="K3212" s="3" t="s">
        <v>216</v>
      </c>
    </row>
    <row r="3213" ht="15.6" spans="4:11">
      <c r="D3213" s="3">
        <v>9117</v>
      </c>
      <c r="E3213" s="3" t="s">
        <v>216</v>
      </c>
      <c r="J3213" s="3" t="s">
        <v>3455</v>
      </c>
      <c r="K3213" s="3" t="s">
        <v>216</v>
      </c>
    </row>
    <row r="3214" ht="15.6" spans="4:11">
      <c r="D3214" s="3">
        <v>9118</v>
      </c>
      <c r="E3214" s="3" t="s">
        <v>216</v>
      </c>
      <c r="J3214" s="3" t="s">
        <v>3456</v>
      </c>
      <c r="K3214" s="3" t="s">
        <v>216</v>
      </c>
    </row>
    <row r="3215" ht="15.6" spans="4:11">
      <c r="D3215" s="3">
        <v>9119</v>
      </c>
      <c r="E3215" s="3" t="s">
        <v>216</v>
      </c>
      <c r="J3215" s="3" t="s">
        <v>3457</v>
      </c>
      <c r="K3215" s="3" t="s">
        <v>216</v>
      </c>
    </row>
    <row r="3216" ht="15.6" spans="4:11">
      <c r="D3216" s="3">
        <v>9120</v>
      </c>
      <c r="E3216" s="3" t="s">
        <v>216</v>
      </c>
      <c r="J3216" s="3" t="s">
        <v>3458</v>
      </c>
      <c r="K3216" s="3" t="s">
        <v>216</v>
      </c>
    </row>
    <row r="3217" ht="15.6" spans="4:11">
      <c r="D3217" s="3">
        <v>9121</v>
      </c>
      <c r="E3217" s="3" t="s">
        <v>216</v>
      </c>
      <c r="J3217" s="3" t="s">
        <v>3459</v>
      </c>
      <c r="K3217" s="3" t="s">
        <v>216</v>
      </c>
    </row>
    <row r="3218" ht="15.6" spans="4:11">
      <c r="D3218" s="3">
        <v>9122</v>
      </c>
      <c r="E3218" s="3" t="s">
        <v>216</v>
      </c>
      <c r="J3218" s="3" t="s">
        <v>3460</v>
      </c>
      <c r="K3218" s="3" t="s">
        <v>216</v>
      </c>
    </row>
    <row r="3219" ht="15.6" spans="4:11">
      <c r="D3219" s="3">
        <v>9123</v>
      </c>
      <c r="E3219" s="3" t="s">
        <v>216</v>
      </c>
      <c r="J3219" s="3" t="s">
        <v>3461</v>
      </c>
      <c r="K3219" s="3" t="s">
        <v>216</v>
      </c>
    </row>
    <row r="3220" ht="15.6" spans="4:11">
      <c r="D3220" s="3">
        <v>9124</v>
      </c>
      <c r="E3220" s="3" t="s">
        <v>216</v>
      </c>
      <c r="J3220" s="3" t="s">
        <v>3462</v>
      </c>
      <c r="K3220" s="3" t="s">
        <v>216</v>
      </c>
    </row>
    <row r="3221" ht="15.6" spans="4:11">
      <c r="D3221" s="3">
        <v>9125</v>
      </c>
      <c r="E3221" s="3" t="s">
        <v>216</v>
      </c>
      <c r="J3221" s="3" t="s">
        <v>3463</v>
      </c>
      <c r="K3221" s="3" t="s">
        <v>216</v>
      </c>
    </row>
    <row r="3222" ht="15.6" spans="4:11">
      <c r="D3222" s="3">
        <v>9126</v>
      </c>
      <c r="E3222" s="3" t="s">
        <v>216</v>
      </c>
      <c r="J3222" s="3" t="s">
        <v>3464</v>
      </c>
      <c r="K3222" s="3" t="s">
        <v>216</v>
      </c>
    </row>
    <row r="3223" ht="15.6" spans="4:11">
      <c r="D3223" s="3">
        <v>9127</v>
      </c>
      <c r="E3223" s="3" t="s">
        <v>216</v>
      </c>
      <c r="J3223" s="3" t="s">
        <v>3465</v>
      </c>
      <c r="K3223" s="3" t="s">
        <v>216</v>
      </c>
    </row>
    <row r="3224" ht="15.6" spans="4:11">
      <c r="D3224" s="3">
        <v>9128</v>
      </c>
      <c r="E3224" s="3" t="s">
        <v>216</v>
      </c>
      <c r="J3224" s="3" t="s">
        <v>3466</v>
      </c>
      <c r="K3224" s="3" t="s">
        <v>216</v>
      </c>
    </row>
    <row r="3225" ht="15.6" spans="4:11">
      <c r="D3225" s="3">
        <v>9129</v>
      </c>
      <c r="E3225" s="3" t="s">
        <v>216</v>
      </c>
      <c r="J3225" s="3" t="s">
        <v>3467</v>
      </c>
      <c r="K3225" s="3" t="s">
        <v>216</v>
      </c>
    </row>
    <row r="3226" ht="15.6" spans="4:11">
      <c r="D3226" s="3">
        <v>9130</v>
      </c>
      <c r="E3226" s="3" t="s">
        <v>216</v>
      </c>
      <c r="J3226" s="3" t="s">
        <v>3468</v>
      </c>
      <c r="K3226" s="3" t="s">
        <v>216</v>
      </c>
    </row>
    <row r="3227" ht="15.6" spans="4:11">
      <c r="D3227" s="3">
        <v>9131</v>
      </c>
      <c r="E3227" s="3" t="s">
        <v>216</v>
      </c>
      <c r="J3227" s="3" t="s">
        <v>3469</v>
      </c>
      <c r="K3227" s="3" t="s">
        <v>216</v>
      </c>
    </row>
    <row r="3228" ht="15.6" spans="4:11">
      <c r="D3228" s="3">
        <v>9132</v>
      </c>
      <c r="E3228" s="3" t="s">
        <v>216</v>
      </c>
      <c r="J3228" s="3" t="s">
        <v>3470</v>
      </c>
      <c r="K3228" s="3" t="s">
        <v>216</v>
      </c>
    </row>
    <row r="3229" ht="15.6" spans="4:11">
      <c r="D3229" s="3">
        <v>9133</v>
      </c>
      <c r="E3229" s="3" t="s">
        <v>216</v>
      </c>
      <c r="J3229" s="3" t="s">
        <v>3471</v>
      </c>
      <c r="K3229" s="3" t="s">
        <v>216</v>
      </c>
    </row>
    <row r="3230" ht="15.6" spans="4:11">
      <c r="D3230" s="3">
        <v>9134</v>
      </c>
      <c r="E3230" s="3" t="s">
        <v>216</v>
      </c>
      <c r="J3230" s="3" t="s">
        <v>3472</v>
      </c>
      <c r="K3230" s="3" t="s">
        <v>216</v>
      </c>
    </row>
    <row r="3231" ht="15.6" spans="4:11">
      <c r="D3231" s="3">
        <v>9135</v>
      </c>
      <c r="E3231" s="3" t="s">
        <v>216</v>
      </c>
      <c r="J3231" s="3" t="s">
        <v>3473</v>
      </c>
      <c r="K3231" s="3" t="s">
        <v>216</v>
      </c>
    </row>
    <row r="3232" ht="15.6" spans="4:11">
      <c r="D3232" s="3">
        <v>9136</v>
      </c>
      <c r="E3232" s="3" t="s">
        <v>216</v>
      </c>
      <c r="J3232" s="3" t="s">
        <v>3474</v>
      </c>
      <c r="K3232" s="3" t="s">
        <v>216</v>
      </c>
    </row>
    <row r="3233" ht="15.6" spans="4:11">
      <c r="D3233" s="3">
        <v>9137</v>
      </c>
      <c r="E3233" s="3" t="s">
        <v>216</v>
      </c>
      <c r="J3233" s="3" t="s">
        <v>3475</v>
      </c>
      <c r="K3233" s="3" t="s">
        <v>216</v>
      </c>
    </row>
    <row r="3234" ht="15.6" spans="4:11">
      <c r="D3234" s="3">
        <v>9138</v>
      </c>
      <c r="E3234" s="3" t="s">
        <v>216</v>
      </c>
      <c r="J3234" s="3" t="s">
        <v>3476</v>
      </c>
      <c r="K3234" s="3" t="s">
        <v>216</v>
      </c>
    </row>
    <row r="3235" ht="15.6" spans="4:11">
      <c r="D3235" s="3">
        <v>9139</v>
      </c>
      <c r="E3235" s="3" t="s">
        <v>216</v>
      </c>
      <c r="J3235" s="3" t="s">
        <v>3477</v>
      </c>
      <c r="K3235" s="3" t="s">
        <v>216</v>
      </c>
    </row>
    <row r="3236" ht="15.6" spans="4:11">
      <c r="D3236" s="3">
        <v>9140</v>
      </c>
      <c r="E3236" s="3" t="s">
        <v>216</v>
      </c>
      <c r="J3236" s="3" t="s">
        <v>3478</v>
      </c>
      <c r="K3236" s="3" t="s">
        <v>216</v>
      </c>
    </row>
    <row r="3237" ht="15.6" spans="4:11">
      <c r="D3237" s="3">
        <v>9141</v>
      </c>
      <c r="E3237" s="3" t="s">
        <v>216</v>
      </c>
      <c r="J3237" s="3" t="s">
        <v>3479</v>
      </c>
      <c r="K3237" s="3" t="s">
        <v>216</v>
      </c>
    </row>
    <row r="3238" ht="15.6" spans="4:11">
      <c r="D3238" s="3">
        <v>9142</v>
      </c>
      <c r="E3238" s="3" t="s">
        <v>216</v>
      </c>
      <c r="J3238" s="3" t="s">
        <v>3480</v>
      </c>
      <c r="K3238" s="3" t="s">
        <v>216</v>
      </c>
    </row>
    <row r="3239" ht="15.6" spans="4:11">
      <c r="D3239" s="3">
        <v>9143</v>
      </c>
      <c r="E3239" s="3" t="s">
        <v>216</v>
      </c>
      <c r="J3239" s="3" t="s">
        <v>3481</v>
      </c>
      <c r="K3239" s="3" t="s">
        <v>216</v>
      </c>
    </row>
    <row r="3240" ht="15.6" spans="4:11">
      <c r="D3240" s="3">
        <v>9144</v>
      </c>
      <c r="E3240" s="3" t="s">
        <v>216</v>
      </c>
      <c r="J3240" s="3" t="s">
        <v>3482</v>
      </c>
      <c r="K3240" s="3" t="s">
        <v>216</v>
      </c>
    </row>
    <row r="3241" ht="15.6" spans="4:11">
      <c r="D3241" s="3">
        <v>9145</v>
      </c>
      <c r="E3241" s="3" t="s">
        <v>216</v>
      </c>
      <c r="J3241" s="3" t="s">
        <v>3483</v>
      </c>
      <c r="K3241" s="3" t="s">
        <v>216</v>
      </c>
    </row>
    <row r="3242" ht="15.6" spans="4:11">
      <c r="D3242" s="3">
        <v>9146</v>
      </c>
      <c r="E3242" s="3" t="s">
        <v>216</v>
      </c>
      <c r="J3242" s="3" t="s">
        <v>3484</v>
      </c>
      <c r="K3242" s="3" t="s">
        <v>216</v>
      </c>
    </row>
    <row r="3243" ht="15.6" spans="4:11">
      <c r="D3243" s="3">
        <v>9147</v>
      </c>
      <c r="E3243" s="3" t="s">
        <v>216</v>
      </c>
      <c r="J3243" s="3" t="s">
        <v>3485</v>
      </c>
      <c r="K3243" s="3" t="s">
        <v>216</v>
      </c>
    </row>
    <row r="3244" ht="15.6" spans="4:11">
      <c r="D3244" s="3">
        <v>9148</v>
      </c>
      <c r="E3244" s="3" t="s">
        <v>216</v>
      </c>
      <c r="J3244" s="3" t="s">
        <v>3486</v>
      </c>
      <c r="K3244" s="3" t="s">
        <v>216</v>
      </c>
    </row>
    <row r="3245" ht="15.6" spans="4:11">
      <c r="D3245" s="3">
        <v>9149</v>
      </c>
      <c r="E3245" s="3" t="s">
        <v>216</v>
      </c>
      <c r="J3245" s="3" t="s">
        <v>3487</v>
      </c>
      <c r="K3245" s="3" t="s">
        <v>216</v>
      </c>
    </row>
    <row r="3246" ht="15.6" spans="4:11">
      <c r="D3246" s="3">
        <v>9150</v>
      </c>
      <c r="E3246" s="3" t="s">
        <v>216</v>
      </c>
      <c r="J3246" s="3" t="s">
        <v>3488</v>
      </c>
      <c r="K3246" s="3" t="s">
        <v>216</v>
      </c>
    </row>
    <row r="3247" ht="15.6" spans="4:11">
      <c r="D3247" s="3">
        <v>9151</v>
      </c>
      <c r="E3247" s="3" t="s">
        <v>216</v>
      </c>
      <c r="J3247" s="3" t="s">
        <v>3489</v>
      </c>
      <c r="K3247" s="3" t="s">
        <v>216</v>
      </c>
    </row>
    <row r="3248" ht="15.6" spans="4:11">
      <c r="D3248" s="3">
        <v>9152</v>
      </c>
      <c r="E3248" s="3" t="s">
        <v>216</v>
      </c>
      <c r="J3248" s="3" t="s">
        <v>3490</v>
      </c>
      <c r="K3248" s="3" t="s">
        <v>216</v>
      </c>
    </row>
    <row r="3249" ht="15.6" spans="4:11">
      <c r="D3249" s="3">
        <v>9153</v>
      </c>
      <c r="E3249" s="3" t="s">
        <v>216</v>
      </c>
      <c r="J3249" s="3" t="s">
        <v>3491</v>
      </c>
      <c r="K3249" s="3" t="s">
        <v>216</v>
      </c>
    </row>
    <row r="3250" ht="15.6" spans="4:11">
      <c r="D3250" s="3">
        <v>9154</v>
      </c>
      <c r="E3250" s="3" t="s">
        <v>216</v>
      </c>
      <c r="J3250" s="3" t="s">
        <v>3492</v>
      </c>
      <c r="K3250" s="3" t="s">
        <v>216</v>
      </c>
    </row>
    <row r="3251" ht="15.6" spans="4:11">
      <c r="D3251" s="3">
        <v>9155</v>
      </c>
      <c r="E3251" s="3" t="s">
        <v>216</v>
      </c>
      <c r="J3251" s="3" t="s">
        <v>3493</v>
      </c>
      <c r="K3251" s="3" t="s">
        <v>216</v>
      </c>
    </row>
    <row r="3252" ht="15.6" spans="4:11">
      <c r="D3252" s="3">
        <v>9156</v>
      </c>
      <c r="E3252" s="3" t="s">
        <v>216</v>
      </c>
      <c r="J3252" s="3" t="s">
        <v>3494</v>
      </c>
      <c r="K3252" s="3" t="s">
        <v>216</v>
      </c>
    </row>
    <row r="3253" ht="15.6" spans="4:11">
      <c r="D3253" s="3">
        <v>9157</v>
      </c>
      <c r="E3253" s="3" t="s">
        <v>216</v>
      </c>
      <c r="J3253" s="3" t="s">
        <v>3495</v>
      </c>
      <c r="K3253" s="3" t="s">
        <v>216</v>
      </c>
    </row>
    <row r="3254" ht="15.6" spans="4:11">
      <c r="D3254" s="3">
        <v>9158</v>
      </c>
      <c r="E3254" s="3" t="s">
        <v>216</v>
      </c>
      <c r="J3254" s="3" t="s">
        <v>3496</v>
      </c>
      <c r="K3254" s="3" t="s">
        <v>216</v>
      </c>
    </row>
    <row r="3255" ht="15.6" spans="4:11">
      <c r="D3255" s="3">
        <v>9159</v>
      </c>
      <c r="E3255" s="3" t="s">
        <v>216</v>
      </c>
      <c r="J3255" s="3" t="s">
        <v>3497</v>
      </c>
      <c r="K3255" s="3" t="s">
        <v>216</v>
      </c>
    </row>
    <row r="3256" ht="15.6" spans="4:11">
      <c r="D3256" s="3">
        <v>9160</v>
      </c>
      <c r="E3256" s="3" t="s">
        <v>216</v>
      </c>
      <c r="J3256" s="3" t="s">
        <v>3498</v>
      </c>
      <c r="K3256" s="3" t="s">
        <v>216</v>
      </c>
    </row>
    <row r="3257" ht="15.6" spans="4:11">
      <c r="D3257" s="3">
        <v>9161</v>
      </c>
      <c r="E3257" s="3" t="s">
        <v>216</v>
      </c>
      <c r="J3257" s="3" t="s">
        <v>3499</v>
      </c>
      <c r="K3257" s="3" t="s">
        <v>216</v>
      </c>
    </row>
    <row r="3258" ht="15.6" spans="4:11">
      <c r="D3258" s="3">
        <v>9162</v>
      </c>
      <c r="E3258" s="3" t="s">
        <v>216</v>
      </c>
      <c r="J3258" s="3" t="s">
        <v>3500</v>
      </c>
      <c r="K3258" s="3" t="s">
        <v>216</v>
      </c>
    </row>
    <row r="3259" ht="15.6" spans="4:11">
      <c r="D3259" s="3">
        <v>9163</v>
      </c>
      <c r="E3259" s="3" t="s">
        <v>216</v>
      </c>
      <c r="J3259" s="3" t="s">
        <v>3501</v>
      </c>
      <c r="K3259" s="3" t="s">
        <v>216</v>
      </c>
    </row>
    <row r="3260" ht="15.6" spans="4:11">
      <c r="D3260" s="3">
        <v>9164</v>
      </c>
      <c r="E3260" s="3" t="s">
        <v>216</v>
      </c>
      <c r="J3260" s="3" t="s">
        <v>3502</v>
      </c>
      <c r="K3260" s="3" t="s">
        <v>216</v>
      </c>
    </row>
    <row r="3261" ht="15.6" spans="4:11">
      <c r="D3261" s="3">
        <v>9165</v>
      </c>
      <c r="E3261" s="3" t="s">
        <v>216</v>
      </c>
      <c r="J3261" s="3" t="s">
        <v>3503</v>
      </c>
      <c r="K3261" s="3" t="s">
        <v>216</v>
      </c>
    </row>
    <row r="3262" ht="15.6" spans="4:11">
      <c r="D3262" s="3">
        <v>9166</v>
      </c>
      <c r="E3262" s="3" t="s">
        <v>216</v>
      </c>
      <c r="J3262" s="3" t="s">
        <v>3504</v>
      </c>
      <c r="K3262" s="3" t="s">
        <v>216</v>
      </c>
    </row>
    <row r="3263" ht="15.6" spans="4:11">
      <c r="D3263" s="3">
        <v>9167</v>
      </c>
      <c r="E3263" s="3" t="s">
        <v>216</v>
      </c>
      <c r="J3263" s="3" t="s">
        <v>3505</v>
      </c>
      <c r="K3263" s="3" t="s">
        <v>216</v>
      </c>
    </row>
    <row r="3264" ht="15.6" spans="4:11">
      <c r="D3264" s="3">
        <v>9168</v>
      </c>
      <c r="E3264" s="3" t="s">
        <v>216</v>
      </c>
      <c r="J3264" s="3" t="s">
        <v>3506</v>
      </c>
      <c r="K3264" s="3" t="s">
        <v>216</v>
      </c>
    </row>
    <row r="3265" ht="15.6" spans="4:11">
      <c r="D3265" s="3">
        <v>9169</v>
      </c>
      <c r="E3265" s="3" t="s">
        <v>216</v>
      </c>
      <c r="J3265" s="3" t="s">
        <v>3507</v>
      </c>
      <c r="K3265" s="3" t="s">
        <v>216</v>
      </c>
    </row>
    <row r="3266" ht="15.6" spans="4:11">
      <c r="D3266" s="3">
        <v>9170</v>
      </c>
      <c r="E3266" s="3" t="s">
        <v>216</v>
      </c>
      <c r="J3266" s="3" t="s">
        <v>3508</v>
      </c>
      <c r="K3266" s="3" t="s">
        <v>216</v>
      </c>
    </row>
    <row r="3267" ht="15.6" spans="4:11">
      <c r="D3267" s="3">
        <v>9171</v>
      </c>
      <c r="E3267" s="3" t="s">
        <v>216</v>
      </c>
      <c r="J3267" s="3" t="s">
        <v>3509</v>
      </c>
      <c r="K3267" s="3" t="s">
        <v>216</v>
      </c>
    </row>
    <row r="3268" ht="15.6" spans="4:11">
      <c r="D3268" s="3">
        <v>9172</v>
      </c>
      <c r="E3268" s="3" t="s">
        <v>216</v>
      </c>
      <c r="J3268" s="3" t="s">
        <v>3510</v>
      </c>
      <c r="K3268" s="3" t="s">
        <v>216</v>
      </c>
    </row>
    <row r="3269" ht="15.6" spans="4:11">
      <c r="D3269" s="3">
        <v>9173</v>
      </c>
      <c r="E3269" s="3" t="s">
        <v>216</v>
      </c>
      <c r="J3269" s="3" t="s">
        <v>3511</v>
      </c>
      <c r="K3269" s="3" t="s">
        <v>216</v>
      </c>
    </row>
    <row r="3270" ht="15.6" spans="4:11">
      <c r="D3270" s="3">
        <v>9174</v>
      </c>
      <c r="E3270" s="3" t="s">
        <v>216</v>
      </c>
      <c r="J3270" s="3" t="s">
        <v>3512</v>
      </c>
      <c r="K3270" s="3" t="s">
        <v>216</v>
      </c>
    </row>
    <row r="3271" ht="15.6" spans="4:11">
      <c r="D3271" s="3">
        <v>9175</v>
      </c>
      <c r="E3271" s="3" t="s">
        <v>216</v>
      </c>
      <c r="J3271" s="3" t="s">
        <v>3513</v>
      </c>
      <c r="K3271" s="3" t="s">
        <v>216</v>
      </c>
    </row>
    <row r="3272" ht="15.6" spans="4:11">
      <c r="D3272" s="3">
        <v>9176</v>
      </c>
      <c r="E3272" s="3" t="s">
        <v>216</v>
      </c>
      <c r="J3272" s="3" t="s">
        <v>3514</v>
      </c>
      <c r="K3272" s="3" t="s">
        <v>216</v>
      </c>
    </row>
    <row r="3273" ht="15.6" spans="4:11">
      <c r="D3273" s="3">
        <v>9177</v>
      </c>
      <c r="E3273" s="3" t="s">
        <v>216</v>
      </c>
      <c r="J3273" s="3" t="s">
        <v>3515</v>
      </c>
      <c r="K3273" s="3" t="s">
        <v>216</v>
      </c>
    </row>
    <row r="3274" ht="15.6" spans="4:11">
      <c r="D3274" s="3">
        <v>9178</v>
      </c>
      <c r="E3274" s="3" t="s">
        <v>216</v>
      </c>
      <c r="J3274" s="3" t="s">
        <v>3516</v>
      </c>
      <c r="K3274" s="3" t="s">
        <v>216</v>
      </c>
    </row>
    <row r="3275" ht="15.6" spans="4:11">
      <c r="D3275" s="3">
        <v>9179</v>
      </c>
      <c r="E3275" s="3" t="s">
        <v>216</v>
      </c>
      <c r="J3275" s="3" t="s">
        <v>3517</v>
      </c>
      <c r="K3275" s="3" t="s">
        <v>216</v>
      </c>
    </row>
    <row r="3276" ht="15.6" spans="4:11">
      <c r="D3276" s="3">
        <v>9180</v>
      </c>
      <c r="E3276" s="3" t="s">
        <v>216</v>
      </c>
      <c r="J3276" s="3" t="s">
        <v>3518</v>
      </c>
      <c r="K3276" s="3" t="s">
        <v>216</v>
      </c>
    </row>
    <row r="3277" ht="15.6" spans="4:11">
      <c r="D3277" s="3">
        <v>9181</v>
      </c>
      <c r="E3277" s="3" t="s">
        <v>216</v>
      </c>
      <c r="J3277" s="3" t="s">
        <v>3519</v>
      </c>
      <c r="K3277" s="3" t="s">
        <v>216</v>
      </c>
    </row>
    <row r="3278" ht="15.6" spans="4:11">
      <c r="D3278" s="3">
        <v>9182</v>
      </c>
      <c r="E3278" s="3" t="s">
        <v>216</v>
      </c>
      <c r="J3278" s="3" t="s">
        <v>3520</v>
      </c>
      <c r="K3278" s="3" t="s">
        <v>216</v>
      </c>
    </row>
    <row r="3279" ht="15.6" spans="4:11">
      <c r="D3279" s="3">
        <v>9183</v>
      </c>
      <c r="E3279" s="3" t="s">
        <v>216</v>
      </c>
      <c r="J3279" s="3" t="s">
        <v>3521</v>
      </c>
      <c r="K3279" s="3" t="s">
        <v>216</v>
      </c>
    </row>
    <row r="3280" ht="15.6" spans="4:11">
      <c r="D3280" s="3">
        <v>9184</v>
      </c>
      <c r="E3280" s="3" t="s">
        <v>216</v>
      </c>
      <c r="J3280" s="3" t="s">
        <v>3522</v>
      </c>
      <c r="K3280" s="3" t="s">
        <v>216</v>
      </c>
    </row>
    <row r="3281" ht="15.6" spans="4:11">
      <c r="D3281" s="3">
        <v>9185</v>
      </c>
      <c r="E3281" s="3" t="s">
        <v>216</v>
      </c>
      <c r="J3281" s="3" t="s">
        <v>3523</v>
      </c>
      <c r="K3281" s="3" t="s">
        <v>216</v>
      </c>
    </row>
    <row r="3282" ht="15.6" spans="4:11">
      <c r="D3282" s="3">
        <v>9186</v>
      </c>
      <c r="E3282" s="3" t="s">
        <v>216</v>
      </c>
      <c r="J3282" s="3" t="s">
        <v>3524</v>
      </c>
      <c r="K3282" s="3" t="s">
        <v>216</v>
      </c>
    </row>
    <row r="3283" ht="15.6" spans="4:11">
      <c r="D3283" s="3">
        <v>9187</v>
      </c>
      <c r="E3283" s="3" t="s">
        <v>216</v>
      </c>
      <c r="J3283" s="3" t="s">
        <v>3525</v>
      </c>
      <c r="K3283" s="3" t="s">
        <v>216</v>
      </c>
    </row>
    <row r="3284" ht="15.6" spans="4:11">
      <c r="D3284" s="3">
        <v>9188</v>
      </c>
      <c r="E3284" s="3" t="s">
        <v>216</v>
      </c>
      <c r="J3284" s="3" t="s">
        <v>3526</v>
      </c>
      <c r="K3284" s="3" t="s">
        <v>216</v>
      </c>
    </row>
    <row r="3285" ht="15.6" spans="4:11">
      <c r="D3285" s="3">
        <v>9189</v>
      </c>
      <c r="E3285" s="3" t="s">
        <v>216</v>
      </c>
      <c r="J3285" s="3" t="s">
        <v>3527</v>
      </c>
      <c r="K3285" s="3" t="s">
        <v>216</v>
      </c>
    </row>
    <row r="3286" ht="15.6" spans="4:11">
      <c r="D3286" s="3">
        <v>9190</v>
      </c>
      <c r="E3286" s="3" t="s">
        <v>216</v>
      </c>
      <c r="J3286" s="3" t="s">
        <v>3528</v>
      </c>
      <c r="K3286" s="3" t="s">
        <v>216</v>
      </c>
    </row>
    <row r="3287" ht="15.6" spans="4:11">
      <c r="D3287" s="3">
        <v>9191</v>
      </c>
      <c r="E3287" s="3" t="s">
        <v>216</v>
      </c>
      <c r="J3287" s="3" t="s">
        <v>3529</v>
      </c>
      <c r="K3287" s="3" t="s">
        <v>216</v>
      </c>
    </row>
    <row r="3288" ht="15.6" spans="4:11">
      <c r="D3288" s="3">
        <v>9192</v>
      </c>
      <c r="E3288" s="3" t="s">
        <v>216</v>
      </c>
      <c r="J3288" s="3" t="s">
        <v>3530</v>
      </c>
      <c r="K3288" s="3" t="s">
        <v>216</v>
      </c>
    </row>
    <row r="3289" ht="15.6" spans="4:11">
      <c r="D3289" s="3">
        <v>9193</v>
      </c>
      <c r="E3289" s="3" t="s">
        <v>216</v>
      </c>
      <c r="J3289" s="3" t="s">
        <v>3531</v>
      </c>
      <c r="K3289" s="3" t="s">
        <v>216</v>
      </c>
    </row>
    <row r="3290" ht="15.6" spans="4:11">
      <c r="D3290" s="3">
        <v>9194</v>
      </c>
      <c r="E3290" s="3" t="s">
        <v>216</v>
      </c>
      <c r="J3290" s="3" t="s">
        <v>3532</v>
      </c>
      <c r="K3290" s="3" t="s">
        <v>216</v>
      </c>
    </row>
    <row r="3291" ht="15.6" spans="4:11">
      <c r="D3291" s="3">
        <v>9195</v>
      </c>
      <c r="E3291" s="3" t="s">
        <v>216</v>
      </c>
      <c r="J3291" s="3" t="s">
        <v>3533</v>
      </c>
      <c r="K3291" s="3" t="s">
        <v>216</v>
      </c>
    </row>
    <row r="3292" ht="15.6" spans="4:11">
      <c r="D3292" s="3">
        <v>9196</v>
      </c>
      <c r="E3292" s="3" t="s">
        <v>216</v>
      </c>
      <c r="J3292" s="3" t="s">
        <v>3534</v>
      </c>
      <c r="K3292" s="3" t="s">
        <v>216</v>
      </c>
    </row>
    <row r="3293" ht="15.6" spans="4:11">
      <c r="D3293" s="3">
        <v>9197</v>
      </c>
      <c r="E3293" s="3" t="s">
        <v>216</v>
      </c>
      <c r="J3293" s="3" t="s">
        <v>3535</v>
      </c>
      <c r="K3293" s="3" t="s">
        <v>216</v>
      </c>
    </row>
    <row r="3294" ht="15.6" spans="4:11">
      <c r="D3294" s="3">
        <v>9198</v>
      </c>
      <c r="E3294" s="3" t="s">
        <v>216</v>
      </c>
      <c r="J3294" s="3" t="s">
        <v>3536</v>
      </c>
      <c r="K3294" s="3" t="s">
        <v>216</v>
      </c>
    </row>
    <row r="3295" ht="15.6" spans="4:11">
      <c r="D3295" s="3">
        <v>9199</v>
      </c>
      <c r="E3295" s="3" t="s">
        <v>216</v>
      </c>
      <c r="J3295" s="3" t="s">
        <v>3537</v>
      </c>
      <c r="K3295" s="3" t="s">
        <v>216</v>
      </c>
    </row>
    <row r="3296" ht="15.6" spans="4:11">
      <c r="D3296" s="3">
        <v>9200</v>
      </c>
      <c r="E3296" s="3" t="s">
        <v>216</v>
      </c>
      <c r="J3296" s="3" t="s">
        <v>3538</v>
      </c>
      <c r="K3296" s="3" t="s">
        <v>216</v>
      </c>
    </row>
    <row r="3297" ht="15.6" spans="4:11">
      <c r="D3297" s="3">
        <v>9201</v>
      </c>
      <c r="E3297" s="3" t="s">
        <v>216</v>
      </c>
      <c r="J3297" s="3" t="s">
        <v>3539</v>
      </c>
      <c r="K3297" s="3" t="s">
        <v>216</v>
      </c>
    </row>
    <row r="3298" ht="15.6" spans="4:11">
      <c r="D3298" s="3">
        <v>9202</v>
      </c>
      <c r="E3298" s="3" t="s">
        <v>216</v>
      </c>
      <c r="J3298" s="3" t="s">
        <v>3540</v>
      </c>
      <c r="K3298" s="3" t="s">
        <v>216</v>
      </c>
    </row>
    <row r="3299" ht="15.6" spans="4:11">
      <c r="D3299" s="3">
        <v>9203</v>
      </c>
      <c r="E3299" s="3" t="s">
        <v>216</v>
      </c>
      <c r="J3299" s="3" t="s">
        <v>3541</v>
      </c>
      <c r="K3299" s="3" t="s">
        <v>216</v>
      </c>
    </row>
    <row r="3300" ht="15.6" spans="4:11">
      <c r="D3300" s="3">
        <v>9204</v>
      </c>
      <c r="E3300" s="3" t="s">
        <v>216</v>
      </c>
      <c r="J3300" s="3" t="s">
        <v>3542</v>
      </c>
      <c r="K3300" s="3" t="s">
        <v>216</v>
      </c>
    </row>
    <row r="3301" ht="15.6" spans="4:11">
      <c r="D3301" s="3">
        <v>9205</v>
      </c>
      <c r="E3301" s="3" t="s">
        <v>216</v>
      </c>
      <c r="J3301" s="3" t="s">
        <v>3543</v>
      </c>
      <c r="K3301" s="3" t="s">
        <v>216</v>
      </c>
    </row>
    <row r="3302" ht="15.6" spans="4:11">
      <c r="D3302" s="3">
        <v>9206</v>
      </c>
      <c r="E3302" s="3" t="s">
        <v>216</v>
      </c>
      <c r="J3302" s="3" t="s">
        <v>3544</v>
      </c>
      <c r="K3302" s="3" t="s">
        <v>216</v>
      </c>
    </row>
    <row r="3303" ht="15.6" spans="4:11">
      <c r="D3303" s="3">
        <v>9207</v>
      </c>
      <c r="E3303" s="3" t="s">
        <v>216</v>
      </c>
      <c r="J3303" s="3" t="s">
        <v>3545</v>
      </c>
      <c r="K3303" s="3" t="s">
        <v>216</v>
      </c>
    </row>
    <row r="3304" ht="15.6" spans="4:11">
      <c r="D3304" s="3">
        <v>9208</v>
      </c>
      <c r="E3304" s="3" t="s">
        <v>216</v>
      </c>
      <c r="J3304" s="3" t="s">
        <v>3546</v>
      </c>
      <c r="K3304" s="3" t="s">
        <v>216</v>
      </c>
    </row>
    <row r="3305" ht="15.6" spans="4:11">
      <c r="D3305" s="3">
        <v>9209</v>
      </c>
      <c r="E3305" s="3" t="s">
        <v>216</v>
      </c>
      <c r="J3305" s="3" t="s">
        <v>3547</v>
      </c>
      <c r="K3305" s="3" t="s">
        <v>216</v>
      </c>
    </row>
    <row r="3306" ht="15.6" spans="4:11">
      <c r="D3306" s="3">
        <v>9210</v>
      </c>
      <c r="E3306" s="3" t="s">
        <v>216</v>
      </c>
      <c r="J3306" s="3" t="s">
        <v>3548</v>
      </c>
      <c r="K3306" s="3" t="s">
        <v>216</v>
      </c>
    </row>
    <row r="3307" ht="15.6" spans="4:11">
      <c r="D3307" s="3">
        <v>9211</v>
      </c>
      <c r="E3307" s="3" t="s">
        <v>216</v>
      </c>
      <c r="J3307" s="3" t="s">
        <v>3549</v>
      </c>
      <c r="K3307" s="3" t="s">
        <v>216</v>
      </c>
    </row>
    <row r="3308" ht="15.6" spans="4:11">
      <c r="D3308" s="3">
        <v>9212</v>
      </c>
      <c r="E3308" s="3" t="s">
        <v>216</v>
      </c>
      <c r="J3308" s="3" t="s">
        <v>3550</v>
      </c>
      <c r="K3308" s="3" t="s">
        <v>216</v>
      </c>
    </row>
    <row r="3309" ht="15.6" spans="4:11">
      <c r="D3309" s="3">
        <v>9213</v>
      </c>
      <c r="E3309" s="3" t="s">
        <v>216</v>
      </c>
      <c r="J3309" s="3" t="s">
        <v>3551</v>
      </c>
      <c r="K3309" s="3" t="s">
        <v>216</v>
      </c>
    </row>
    <row r="3310" ht="15.6" spans="4:11">
      <c r="D3310" s="3">
        <v>9214</v>
      </c>
      <c r="E3310" s="3" t="s">
        <v>216</v>
      </c>
      <c r="J3310" s="3" t="s">
        <v>3552</v>
      </c>
      <c r="K3310" s="3" t="s">
        <v>216</v>
      </c>
    </row>
    <row r="3311" ht="15.6" spans="4:11">
      <c r="D3311" s="3">
        <v>9215</v>
      </c>
      <c r="E3311" s="3" t="s">
        <v>216</v>
      </c>
      <c r="J3311" s="3" t="s">
        <v>3553</v>
      </c>
      <c r="K3311" s="3" t="s">
        <v>216</v>
      </c>
    </row>
    <row r="3312" ht="15.6" spans="4:11">
      <c r="D3312" s="3">
        <v>9216</v>
      </c>
      <c r="E3312" s="3" t="s">
        <v>216</v>
      </c>
      <c r="J3312" s="3" t="s">
        <v>3554</v>
      </c>
      <c r="K3312" s="3" t="s">
        <v>216</v>
      </c>
    </row>
    <row r="3313" ht="15.6" spans="4:11">
      <c r="D3313" s="3">
        <v>9217</v>
      </c>
      <c r="E3313" s="3" t="s">
        <v>216</v>
      </c>
      <c r="J3313" s="3" t="s">
        <v>3555</v>
      </c>
      <c r="K3313" s="3" t="s">
        <v>216</v>
      </c>
    </row>
    <row r="3314" ht="15.6" spans="4:11">
      <c r="D3314" s="3">
        <v>9218</v>
      </c>
      <c r="E3314" s="3" t="s">
        <v>216</v>
      </c>
      <c r="J3314" s="3" t="s">
        <v>3556</v>
      </c>
      <c r="K3314" s="3" t="s">
        <v>216</v>
      </c>
    </row>
    <row r="3315" ht="15.6" spans="4:11">
      <c r="D3315" s="3">
        <v>9219</v>
      </c>
      <c r="E3315" s="3" t="s">
        <v>216</v>
      </c>
      <c r="J3315" s="3" t="s">
        <v>3557</v>
      </c>
      <c r="K3315" s="3" t="s">
        <v>216</v>
      </c>
    </row>
    <row r="3316" ht="15.6" spans="4:11">
      <c r="D3316" s="3">
        <v>9220</v>
      </c>
      <c r="E3316" s="3" t="s">
        <v>216</v>
      </c>
      <c r="J3316" s="3" t="s">
        <v>3558</v>
      </c>
      <c r="K3316" s="3" t="s">
        <v>216</v>
      </c>
    </row>
    <row r="3317" ht="15.6" spans="4:11">
      <c r="D3317" s="3">
        <v>9221</v>
      </c>
      <c r="E3317" s="3" t="s">
        <v>216</v>
      </c>
      <c r="J3317" s="3" t="s">
        <v>3559</v>
      </c>
      <c r="K3317" s="3" t="s">
        <v>216</v>
      </c>
    </row>
    <row r="3318" ht="15.6" spans="4:11">
      <c r="D3318" s="3">
        <v>9222</v>
      </c>
      <c r="E3318" s="3" t="s">
        <v>216</v>
      </c>
      <c r="J3318" s="3" t="s">
        <v>3560</v>
      </c>
      <c r="K3318" s="3" t="s">
        <v>216</v>
      </c>
    </row>
    <row r="3319" ht="15.6" spans="4:11">
      <c r="D3319" s="3">
        <v>9223</v>
      </c>
      <c r="E3319" s="3" t="s">
        <v>216</v>
      </c>
      <c r="J3319" s="3" t="s">
        <v>3561</v>
      </c>
      <c r="K3319" s="3" t="s">
        <v>216</v>
      </c>
    </row>
    <row r="3320" ht="15.6" spans="4:11">
      <c r="D3320" s="3">
        <v>9224</v>
      </c>
      <c r="E3320" s="3" t="s">
        <v>216</v>
      </c>
      <c r="J3320" s="3" t="s">
        <v>3562</v>
      </c>
      <c r="K3320" s="3" t="s">
        <v>216</v>
      </c>
    </row>
    <row r="3321" ht="15.6" spans="4:11">
      <c r="D3321" s="3">
        <v>9225</v>
      </c>
      <c r="E3321" s="3" t="s">
        <v>216</v>
      </c>
      <c r="J3321" s="3" t="s">
        <v>3563</v>
      </c>
      <c r="K3321" s="3" t="s">
        <v>216</v>
      </c>
    </row>
    <row r="3322" ht="15.6" spans="4:11">
      <c r="D3322" s="3">
        <v>9226</v>
      </c>
      <c r="E3322" s="3" t="s">
        <v>216</v>
      </c>
      <c r="J3322" s="3" t="s">
        <v>3564</v>
      </c>
      <c r="K3322" s="3" t="s">
        <v>216</v>
      </c>
    </row>
    <row r="3323" ht="15.6" spans="4:11">
      <c r="D3323" s="3">
        <v>9227</v>
      </c>
      <c r="E3323" s="3" t="s">
        <v>216</v>
      </c>
      <c r="J3323" s="3" t="s">
        <v>3565</v>
      </c>
      <c r="K3323" s="3" t="s">
        <v>216</v>
      </c>
    </row>
    <row r="3324" ht="15.6" spans="4:11">
      <c r="D3324" s="3">
        <v>9228</v>
      </c>
      <c r="E3324" s="3" t="s">
        <v>216</v>
      </c>
      <c r="J3324" s="3" t="s">
        <v>3566</v>
      </c>
      <c r="K3324" s="3" t="s">
        <v>216</v>
      </c>
    </row>
    <row r="3325" ht="15.6" spans="4:11">
      <c r="D3325" s="3">
        <v>9229</v>
      </c>
      <c r="E3325" s="3" t="s">
        <v>216</v>
      </c>
      <c r="J3325" s="3" t="s">
        <v>3567</v>
      </c>
      <c r="K3325" s="3" t="s">
        <v>216</v>
      </c>
    </row>
    <row r="3326" ht="15.6" spans="4:11">
      <c r="D3326" s="3">
        <v>9230</v>
      </c>
      <c r="E3326" s="3" t="s">
        <v>216</v>
      </c>
      <c r="J3326" s="3" t="s">
        <v>3568</v>
      </c>
      <c r="K3326" s="3" t="s">
        <v>216</v>
      </c>
    </row>
    <row r="3327" ht="15.6" spans="4:11">
      <c r="D3327" s="3">
        <v>9231</v>
      </c>
      <c r="E3327" s="3" t="s">
        <v>216</v>
      </c>
      <c r="J3327" s="3" t="s">
        <v>3569</v>
      </c>
      <c r="K3327" s="3" t="s">
        <v>216</v>
      </c>
    </row>
    <row r="3328" ht="15.6" spans="4:11">
      <c r="D3328" s="3">
        <v>9232</v>
      </c>
      <c r="E3328" s="3" t="s">
        <v>216</v>
      </c>
      <c r="J3328" s="3" t="s">
        <v>3570</v>
      </c>
      <c r="K3328" s="3" t="s">
        <v>216</v>
      </c>
    </row>
    <row r="3329" ht="15.6" spans="4:11">
      <c r="D3329" s="3">
        <v>9233</v>
      </c>
      <c r="E3329" s="3" t="s">
        <v>216</v>
      </c>
      <c r="J3329" s="3" t="s">
        <v>3571</v>
      </c>
      <c r="K3329" s="3" t="s">
        <v>216</v>
      </c>
    </row>
    <row r="3330" ht="15.6" spans="4:11">
      <c r="D3330" s="3">
        <v>9234</v>
      </c>
      <c r="E3330" s="3" t="s">
        <v>216</v>
      </c>
      <c r="J3330" s="3" t="s">
        <v>3572</v>
      </c>
      <c r="K3330" s="3" t="s">
        <v>216</v>
      </c>
    </row>
    <row r="3331" ht="15.6" spans="4:11">
      <c r="D3331" s="3">
        <v>9235</v>
      </c>
      <c r="E3331" s="3" t="s">
        <v>216</v>
      </c>
      <c r="J3331" s="3" t="s">
        <v>3573</v>
      </c>
      <c r="K3331" s="3" t="s">
        <v>216</v>
      </c>
    </row>
    <row r="3332" ht="15.6" spans="4:11">
      <c r="D3332" s="3">
        <v>9236</v>
      </c>
      <c r="E3332" s="3" t="s">
        <v>216</v>
      </c>
      <c r="J3332" s="3" t="s">
        <v>3574</v>
      </c>
      <c r="K3332" s="3" t="s">
        <v>216</v>
      </c>
    </row>
    <row r="3333" ht="15.6" spans="4:11">
      <c r="D3333" s="3">
        <v>9237</v>
      </c>
      <c r="E3333" s="3" t="s">
        <v>216</v>
      </c>
      <c r="J3333" s="3" t="s">
        <v>3575</v>
      </c>
      <c r="K3333" s="3" t="s">
        <v>216</v>
      </c>
    </row>
    <row r="3334" ht="15.6" spans="4:11">
      <c r="D3334" s="3">
        <v>9238</v>
      </c>
      <c r="E3334" s="3" t="s">
        <v>216</v>
      </c>
      <c r="J3334" s="3" t="s">
        <v>3576</v>
      </c>
      <c r="K3334" s="3" t="s">
        <v>216</v>
      </c>
    </row>
    <row r="3335" ht="15.6" spans="4:11">
      <c r="D3335" s="3">
        <v>9239</v>
      </c>
      <c r="E3335" s="3" t="s">
        <v>216</v>
      </c>
      <c r="J3335" s="3" t="s">
        <v>3577</v>
      </c>
      <c r="K3335" s="3" t="s">
        <v>216</v>
      </c>
    </row>
    <row r="3336" ht="15.6" spans="4:11">
      <c r="D3336" s="3">
        <v>9240</v>
      </c>
      <c r="E3336" s="3" t="s">
        <v>216</v>
      </c>
      <c r="J3336" s="3" t="s">
        <v>3578</v>
      </c>
      <c r="K3336" s="3" t="s">
        <v>216</v>
      </c>
    </row>
    <row r="3337" ht="15.6" spans="4:11">
      <c r="D3337" s="3">
        <v>9241</v>
      </c>
      <c r="E3337" s="3" t="s">
        <v>216</v>
      </c>
      <c r="J3337" s="3" t="s">
        <v>3579</v>
      </c>
      <c r="K3337" s="3" t="s">
        <v>216</v>
      </c>
    </row>
    <row r="3338" ht="15.6" spans="4:11">
      <c r="D3338" s="3">
        <v>9242</v>
      </c>
      <c r="E3338" s="3" t="s">
        <v>216</v>
      </c>
      <c r="J3338" s="3" t="s">
        <v>3580</v>
      </c>
      <c r="K3338" s="3" t="s">
        <v>216</v>
      </c>
    </row>
    <row r="3339" ht="15.6" spans="4:11">
      <c r="D3339" s="3">
        <v>9243</v>
      </c>
      <c r="E3339" s="3" t="s">
        <v>216</v>
      </c>
      <c r="J3339" s="3" t="s">
        <v>3581</v>
      </c>
      <c r="K3339" s="3" t="s">
        <v>216</v>
      </c>
    </row>
    <row r="3340" ht="15.6" spans="4:11">
      <c r="D3340" s="3">
        <v>9244</v>
      </c>
      <c r="E3340" s="3" t="s">
        <v>216</v>
      </c>
      <c r="J3340" s="3" t="s">
        <v>3582</v>
      </c>
      <c r="K3340" s="3" t="s">
        <v>216</v>
      </c>
    </row>
    <row r="3341" ht="15.6" spans="4:11">
      <c r="D3341" s="3">
        <v>9245</v>
      </c>
      <c r="E3341" s="3" t="s">
        <v>216</v>
      </c>
      <c r="J3341" s="3" t="s">
        <v>3583</v>
      </c>
      <c r="K3341" s="3" t="s">
        <v>216</v>
      </c>
    </row>
    <row r="3342" ht="15.6" spans="4:11">
      <c r="D3342" s="3">
        <v>9246</v>
      </c>
      <c r="E3342" s="3" t="s">
        <v>216</v>
      </c>
      <c r="J3342" s="3" t="s">
        <v>3584</v>
      </c>
      <c r="K3342" s="3" t="s">
        <v>216</v>
      </c>
    </row>
    <row r="3343" ht="15.6" spans="4:11">
      <c r="D3343" s="3">
        <v>9247</v>
      </c>
      <c r="E3343" s="3" t="s">
        <v>216</v>
      </c>
      <c r="J3343" s="3" t="s">
        <v>3585</v>
      </c>
      <c r="K3343" s="3" t="s">
        <v>216</v>
      </c>
    </row>
    <row r="3344" ht="15.6" spans="4:11">
      <c r="D3344" s="3">
        <v>9248</v>
      </c>
      <c r="E3344" s="3" t="s">
        <v>216</v>
      </c>
      <c r="J3344" s="3" t="s">
        <v>3586</v>
      </c>
      <c r="K3344" s="3" t="s">
        <v>216</v>
      </c>
    </row>
    <row r="3345" ht="15.6" spans="4:11">
      <c r="D3345" s="3">
        <v>9249</v>
      </c>
      <c r="E3345" s="3" t="s">
        <v>216</v>
      </c>
      <c r="J3345" s="3" t="s">
        <v>3587</v>
      </c>
      <c r="K3345" s="3" t="s">
        <v>216</v>
      </c>
    </row>
    <row r="3346" ht="15.6" spans="4:11">
      <c r="D3346" s="3">
        <v>9250</v>
      </c>
      <c r="E3346" s="3" t="s">
        <v>216</v>
      </c>
      <c r="J3346" s="3" t="s">
        <v>3588</v>
      </c>
      <c r="K3346" s="3" t="s">
        <v>216</v>
      </c>
    </row>
    <row r="3347" ht="15.6" spans="4:11">
      <c r="D3347" s="3">
        <v>9251</v>
      </c>
      <c r="E3347" s="3" t="s">
        <v>216</v>
      </c>
      <c r="J3347" s="3" t="s">
        <v>3589</v>
      </c>
      <c r="K3347" s="3" t="s">
        <v>216</v>
      </c>
    </row>
    <row r="3348" ht="15.6" spans="4:11">
      <c r="D3348" s="3">
        <v>9252</v>
      </c>
      <c r="E3348" s="3" t="s">
        <v>216</v>
      </c>
      <c r="J3348" s="3" t="s">
        <v>3590</v>
      </c>
      <c r="K3348" s="3" t="s">
        <v>216</v>
      </c>
    </row>
    <row r="3349" ht="15.6" spans="4:11">
      <c r="D3349" s="3">
        <v>9253</v>
      </c>
      <c r="E3349" s="3" t="s">
        <v>216</v>
      </c>
      <c r="J3349" s="3" t="s">
        <v>3591</v>
      </c>
      <c r="K3349" s="3" t="s">
        <v>216</v>
      </c>
    </row>
    <row r="3350" ht="15.6" spans="4:11">
      <c r="D3350" s="3">
        <v>9254</v>
      </c>
      <c r="E3350" s="3" t="s">
        <v>216</v>
      </c>
      <c r="J3350" s="3" t="s">
        <v>3592</v>
      </c>
      <c r="K3350" s="3" t="s">
        <v>216</v>
      </c>
    </row>
    <row r="3351" ht="15.6" spans="4:11">
      <c r="D3351" s="3">
        <v>9255</v>
      </c>
      <c r="E3351" s="3" t="s">
        <v>216</v>
      </c>
      <c r="J3351" s="3" t="s">
        <v>3593</v>
      </c>
      <c r="K3351" s="3" t="s">
        <v>216</v>
      </c>
    </row>
    <row r="3352" ht="15.6" spans="4:11">
      <c r="D3352" s="3">
        <v>9256</v>
      </c>
      <c r="E3352" s="3" t="s">
        <v>216</v>
      </c>
      <c r="J3352" s="3" t="s">
        <v>3594</v>
      </c>
      <c r="K3352" s="3" t="s">
        <v>216</v>
      </c>
    </row>
    <row r="3353" ht="15.6" spans="4:11">
      <c r="D3353" s="3">
        <v>9257</v>
      </c>
      <c r="E3353" s="3" t="s">
        <v>216</v>
      </c>
      <c r="J3353" s="3" t="s">
        <v>3595</v>
      </c>
      <c r="K3353" s="3" t="s">
        <v>216</v>
      </c>
    </row>
    <row r="3354" ht="15.6" spans="4:11">
      <c r="D3354" s="3">
        <v>9258</v>
      </c>
      <c r="E3354" s="3" t="s">
        <v>216</v>
      </c>
      <c r="J3354" s="3" t="s">
        <v>3596</v>
      </c>
      <c r="K3354" s="3" t="s">
        <v>216</v>
      </c>
    </row>
    <row r="3355" ht="15.6" spans="4:11">
      <c r="D3355" s="3">
        <v>9259</v>
      </c>
      <c r="E3355" s="3" t="s">
        <v>216</v>
      </c>
      <c r="J3355" s="3" t="s">
        <v>3597</v>
      </c>
      <c r="K3355" s="3" t="s">
        <v>216</v>
      </c>
    </row>
    <row r="3356" ht="15.6" spans="4:11">
      <c r="D3356" s="3">
        <v>9260</v>
      </c>
      <c r="E3356" s="3" t="s">
        <v>216</v>
      </c>
      <c r="J3356" s="3" t="s">
        <v>3598</v>
      </c>
      <c r="K3356" s="3" t="s">
        <v>216</v>
      </c>
    </row>
    <row r="3357" ht="15.6" spans="4:11">
      <c r="D3357" s="3">
        <v>9261</v>
      </c>
      <c r="E3357" s="3" t="s">
        <v>216</v>
      </c>
      <c r="J3357" s="3" t="s">
        <v>3599</v>
      </c>
      <c r="K3357" s="3" t="s">
        <v>216</v>
      </c>
    </row>
    <row r="3358" ht="15.6" spans="4:11">
      <c r="D3358" s="3">
        <v>9262</v>
      </c>
      <c r="E3358" s="3" t="s">
        <v>216</v>
      </c>
      <c r="J3358" s="3" t="s">
        <v>3600</v>
      </c>
      <c r="K3358" s="3" t="s">
        <v>216</v>
      </c>
    </row>
    <row r="3359" ht="15.6" spans="4:11">
      <c r="D3359" s="3">
        <v>9263</v>
      </c>
      <c r="E3359" s="3" t="s">
        <v>216</v>
      </c>
      <c r="J3359" s="3" t="s">
        <v>3601</v>
      </c>
      <c r="K3359" s="3" t="s">
        <v>216</v>
      </c>
    </row>
    <row r="3360" ht="15.6" spans="4:11">
      <c r="D3360" s="3">
        <v>9264</v>
      </c>
      <c r="E3360" s="3" t="s">
        <v>216</v>
      </c>
      <c r="J3360" s="3" t="s">
        <v>3602</v>
      </c>
      <c r="K3360" s="3" t="s">
        <v>216</v>
      </c>
    </row>
    <row r="3361" ht="15.6" spans="4:11">
      <c r="D3361" s="3">
        <v>9265</v>
      </c>
      <c r="E3361" s="3" t="s">
        <v>216</v>
      </c>
      <c r="J3361" s="3" t="s">
        <v>3603</v>
      </c>
      <c r="K3361" s="3" t="s">
        <v>216</v>
      </c>
    </row>
    <row r="3362" ht="15.6" spans="4:11">
      <c r="D3362" s="3">
        <v>9266</v>
      </c>
      <c r="E3362" s="3" t="s">
        <v>216</v>
      </c>
      <c r="J3362" s="3" t="s">
        <v>3604</v>
      </c>
      <c r="K3362" s="3" t="s">
        <v>216</v>
      </c>
    </row>
    <row r="3363" ht="15.6" spans="4:11">
      <c r="D3363" s="3">
        <v>9267</v>
      </c>
      <c r="E3363" s="3" t="s">
        <v>216</v>
      </c>
      <c r="J3363" s="3" t="s">
        <v>3605</v>
      </c>
      <c r="K3363" s="3" t="s">
        <v>216</v>
      </c>
    </row>
    <row r="3364" ht="15.6" spans="4:11">
      <c r="D3364" s="3">
        <v>9268</v>
      </c>
      <c r="E3364" s="3" t="s">
        <v>216</v>
      </c>
      <c r="J3364" s="3" t="s">
        <v>3606</v>
      </c>
      <c r="K3364" s="3" t="s">
        <v>216</v>
      </c>
    </row>
    <row r="3365" ht="15.6" spans="4:11">
      <c r="D3365" s="3">
        <v>9269</v>
      </c>
      <c r="E3365" s="3" t="s">
        <v>216</v>
      </c>
      <c r="J3365" s="3" t="s">
        <v>3607</v>
      </c>
      <c r="K3365" s="3" t="s">
        <v>216</v>
      </c>
    </row>
    <row r="3366" ht="15.6" spans="4:11">
      <c r="D3366" s="3">
        <v>9270</v>
      </c>
      <c r="E3366" s="3" t="s">
        <v>216</v>
      </c>
      <c r="J3366" s="3" t="s">
        <v>3608</v>
      </c>
      <c r="K3366" s="3" t="s">
        <v>216</v>
      </c>
    </row>
    <row r="3367" ht="15.6" spans="4:11">
      <c r="D3367" s="3">
        <v>9271</v>
      </c>
      <c r="E3367" s="3" t="s">
        <v>216</v>
      </c>
      <c r="J3367" s="3" t="s">
        <v>3609</v>
      </c>
      <c r="K3367" s="3" t="s">
        <v>216</v>
      </c>
    </row>
    <row r="3368" ht="15.6" spans="4:11">
      <c r="D3368" s="3">
        <v>9272</v>
      </c>
      <c r="E3368" s="3" t="s">
        <v>216</v>
      </c>
      <c r="J3368" s="3" t="s">
        <v>3610</v>
      </c>
      <c r="K3368" s="3" t="s">
        <v>216</v>
      </c>
    </row>
    <row r="3369" ht="15.6" spans="4:11">
      <c r="D3369" s="3">
        <v>9273</v>
      </c>
      <c r="E3369" s="3" t="s">
        <v>216</v>
      </c>
      <c r="J3369" s="3" t="s">
        <v>3611</v>
      </c>
      <c r="K3369" s="3" t="s">
        <v>216</v>
      </c>
    </row>
    <row r="3370" ht="15.6" spans="4:11">
      <c r="D3370" s="3">
        <v>9274</v>
      </c>
      <c r="E3370" s="3" t="s">
        <v>216</v>
      </c>
      <c r="J3370" s="3" t="s">
        <v>3612</v>
      </c>
      <c r="K3370" s="3" t="s">
        <v>216</v>
      </c>
    </row>
    <row r="3371" ht="15.6" spans="4:11">
      <c r="D3371" s="3">
        <v>9275</v>
      </c>
      <c r="E3371" s="3" t="s">
        <v>216</v>
      </c>
      <c r="J3371" s="3" t="s">
        <v>3613</v>
      </c>
      <c r="K3371" s="3" t="s">
        <v>216</v>
      </c>
    </row>
    <row r="3372" ht="15.6" spans="4:11">
      <c r="D3372" s="3">
        <v>9276</v>
      </c>
      <c r="E3372" s="3" t="s">
        <v>216</v>
      </c>
      <c r="J3372" s="3" t="s">
        <v>3614</v>
      </c>
      <c r="K3372" s="3" t="s">
        <v>216</v>
      </c>
    </row>
    <row r="3373" ht="15.6" spans="4:11">
      <c r="D3373" s="3">
        <v>9277</v>
      </c>
      <c r="E3373" s="3" t="s">
        <v>216</v>
      </c>
      <c r="J3373" s="3" t="s">
        <v>3615</v>
      </c>
      <c r="K3373" s="3" t="s">
        <v>216</v>
      </c>
    </row>
    <row r="3374" ht="15.6" spans="4:11">
      <c r="D3374" s="3">
        <v>9278</v>
      </c>
      <c r="E3374" s="3" t="s">
        <v>216</v>
      </c>
      <c r="J3374" s="3" t="s">
        <v>3616</v>
      </c>
      <c r="K3374" s="3" t="s">
        <v>216</v>
      </c>
    </row>
    <row r="3375" ht="15.6" spans="4:11">
      <c r="D3375" s="3">
        <v>9279</v>
      </c>
      <c r="E3375" s="3" t="s">
        <v>216</v>
      </c>
      <c r="J3375" s="3" t="s">
        <v>3617</v>
      </c>
      <c r="K3375" s="3" t="s">
        <v>216</v>
      </c>
    </row>
    <row r="3376" ht="15.6" spans="4:11">
      <c r="D3376" s="3">
        <v>9280</v>
      </c>
      <c r="E3376" s="3" t="s">
        <v>216</v>
      </c>
      <c r="J3376" s="3" t="s">
        <v>3618</v>
      </c>
      <c r="K3376" s="3" t="s">
        <v>216</v>
      </c>
    </row>
    <row r="3377" ht="15.6" spans="4:11">
      <c r="D3377" s="3">
        <v>9281</v>
      </c>
      <c r="E3377" s="3" t="s">
        <v>216</v>
      </c>
      <c r="J3377" s="3" t="s">
        <v>3619</v>
      </c>
      <c r="K3377" s="3" t="s">
        <v>216</v>
      </c>
    </row>
    <row r="3378" ht="15.6" spans="4:11">
      <c r="D3378" s="3">
        <v>9282</v>
      </c>
      <c r="E3378" s="3" t="s">
        <v>216</v>
      </c>
      <c r="J3378" s="3" t="s">
        <v>3620</v>
      </c>
      <c r="K3378" s="3" t="s">
        <v>216</v>
      </c>
    </row>
    <row r="3379" ht="15.6" spans="4:11">
      <c r="D3379" s="3">
        <v>9283</v>
      </c>
      <c r="E3379" s="3" t="s">
        <v>216</v>
      </c>
      <c r="J3379" s="3" t="s">
        <v>3621</v>
      </c>
      <c r="K3379" s="3" t="s">
        <v>216</v>
      </c>
    </row>
    <row r="3380" ht="15.6" spans="4:11">
      <c r="D3380" s="3">
        <v>9284</v>
      </c>
      <c r="E3380" s="3" t="s">
        <v>216</v>
      </c>
      <c r="J3380" s="3" t="s">
        <v>3622</v>
      </c>
      <c r="K3380" s="3" t="s">
        <v>216</v>
      </c>
    </row>
    <row r="3381" ht="15.6" spans="4:11">
      <c r="D3381" s="3">
        <v>9285</v>
      </c>
      <c r="E3381" s="3" t="s">
        <v>216</v>
      </c>
      <c r="J3381" s="3" t="s">
        <v>3623</v>
      </c>
      <c r="K3381" s="3" t="s">
        <v>216</v>
      </c>
    </row>
    <row r="3382" ht="15.6" spans="4:11">
      <c r="D3382" s="3">
        <v>9286</v>
      </c>
      <c r="E3382" s="3" t="s">
        <v>216</v>
      </c>
      <c r="J3382" s="3" t="s">
        <v>3624</v>
      </c>
      <c r="K3382" s="3" t="s">
        <v>216</v>
      </c>
    </row>
    <row r="3383" ht="15.6" spans="4:11">
      <c r="D3383" s="3">
        <v>9287</v>
      </c>
      <c r="E3383" s="3" t="s">
        <v>216</v>
      </c>
      <c r="J3383" s="3" t="s">
        <v>3625</v>
      </c>
      <c r="K3383" s="3" t="s">
        <v>216</v>
      </c>
    </row>
    <row r="3384" ht="15.6" spans="4:11">
      <c r="D3384" s="3">
        <v>9288</v>
      </c>
      <c r="E3384" s="3" t="s">
        <v>216</v>
      </c>
      <c r="J3384" s="3" t="s">
        <v>3626</v>
      </c>
      <c r="K3384" s="3" t="s">
        <v>216</v>
      </c>
    </row>
    <row r="3385" ht="15.6" spans="4:11">
      <c r="D3385" s="3">
        <v>9289</v>
      </c>
      <c r="E3385" s="3" t="s">
        <v>216</v>
      </c>
      <c r="J3385" s="3" t="s">
        <v>3627</v>
      </c>
      <c r="K3385" s="3" t="s">
        <v>216</v>
      </c>
    </row>
    <row r="3386" ht="15.6" spans="4:11">
      <c r="D3386" s="3">
        <v>9290</v>
      </c>
      <c r="E3386" s="3" t="s">
        <v>216</v>
      </c>
      <c r="J3386" s="3" t="s">
        <v>3628</v>
      </c>
      <c r="K3386" s="3" t="s">
        <v>216</v>
      </c>
    </row>
    <row r="3387" ht="15.6" spans="4:11">
      <c r="D3387" s="3">
        <v>9291</v>
      </c>
      <c r="E3387" s="3" t="s">
        <v>216</v>
      </c>
      <c r="J3387" s="3" t="s">
        <v>3629</v>
      </c>
      <c r="K3387" s="3" t="s">
        <v>216</v>
      </c>
    </row>
    <row r="3388" ht="15.6" spans="4:11">
      <c r="D3388" s="3">
        <v>9292</v>
      </c>
      <c r="E3388" s="3" t="s">
        <v>216</v>
      </c>
      <c r="J3388" s="3" t="s">
        <v>3630</v>
      </c>
      <c r="K3388" s="3" t="s">
        <v>216</v>
      </c>
    </row>
    <row r="3389" ht="15.6" spans="4:11">
      <c r="D3389" s="3">
        <v>9293</v>
      </c>
      <c r="E3389" s="3" t="s">
        <v>216</v>
      </c>
      <c r="J3389" s="3" t="s">
        <v>3631</v>
      </c>
      <c r="K3389" s="3" t="s">
        <v>216</v>
      </c>
    </row>
    <row r="3390" ht="15.6" spans="4:11">
      <c r="D3390" s="3">
        <v>9294</v>
      </c>
      <c r="E3390" s="3" t="s">
        <v>216</v>
      </c>
      <c r="J3390" s="3" t="s">
        <v>3632</v>
      </c>
      <c r="K3390" s="3" t="s">
        <v>216</v>
      </c>
    </row>
    <row r="3391" ht="15.6" spans="4:11">
      <c r="D3391" s="3">
        <v>9295</v>
      </c>
      <c r="E3391" s="3" t="s">
        <v>216</v>
      </c>
      <c r="J3391" s="3" t="s">
        <v>3633</v>
      </c>
      <c r="K3391" s="3" t="s">
        <v>216</v>
      </c>
    </row>
    <row r="3392" ht="15.6" spans="4:11">
      <c r="D3392" s="3">
        <v>9296</v>
      </c>
      <c r="E3392" s="3" t="s">
        <v>216</v>
      </c>
      <c r="J3392" s="3" t="s">
        <v>3634</v>
      </c>
      <c r="K3392" s="3" t="s">
        <v>216</v>
      </c>
    </row>
    <row r="3393" ht="15.6" spans="4:11">
      <c r="D3393" s="3">
        <v>9297</v>
      </c>
      <c r="E3393" s="3" t="s">
        <v>216</v>
      </c>
      <c r="J3393" s="3" t="s">
        <v>3635</v>
      </c>
      <c r="K3393" s="3" t="s">
        <v>216</v>
      </c>
    </row>
    <row r="3394" ht="15.6" spans="4:11">
      <c r="D3394" s="3">
        <v>9298</v>
      </c>
      <c r="E3394" s="3" t="s">
        <v>216</v>
      </c>
      <c r="J3394" s="3" t="s">
        <v>3636</v>
      </c>
      <c r="K3394" s="3" t="s">
        <v>216</v>
      </c>
    </row>
    <row r="3395" ht="15.6" spans="4:11">
      <c r="D3395" s="3">
        <v>9299</v>
      </c>
      <c r="E3395" s="3" t="s">
        <v>216</v>
      </c>
      <c r="J3395" s="3" t="s">
        <v>3637</v>
      </c>
      <c r="K3395" s="3" t="s">
        <v>216</v>
      </c>
    </row>
    <row r="3396" ht="15.6" spans="4:11">
      <c r="D3396" s="3">
        <v>9300</v>
      </c>
      <c r="E3396" s="3" t="s">
        <v>216</v>
      </c>
      <c r="J3396" s="3" t="s">
        <v>3638</v>
      </c>
      <c r="K3396" s="3" t="s">
        <v>216</v>
      </c>
    </row>
    <row r="3397" ht="15.6" spans="4:11">
      <c r="D3397" s="3">
        <v>9301</v>
      </c>
      <c r="E3397" s="3" t="s">
        <v>216</v>
      </c>
      <c r="J3397" s="3" t="s">
        <v>3639</v>
      </c>
      <c r="K3397" s="3" t="s">
        <v>216</v>
      </c>
    </row>
    <row r="3398" ht="15.6" spans="4:11">
      <c r="D3398" s="3">
        <v>9302</v>
      </c>
      <c r="E3398" s="3" t="s">
        <v>216</v>
      </c>
      <c r="J3398" s="3" t="s">
        <v>3640</v>
      </c>
      <c r="K3398" s="3" t="s">
        <v>216</v>
      </c>
    </row>
    <row r="3399" ht="15.6" spans="4:11">
      <c r="D3399" s="3">
        <v>9303</v>
      </c>
      <c r="E3399" s="3" t="s">
        <v>216</v>
      </c>
      <c r="J3399" s="3" t="s">
        <v>3641</v>
      </c>
      <c r="K3399" s="3" t="s">
        <v>216</v>
      </c>
    </row>
    <row r="3400" ht="15.6" spans="4:11">
      <c r="D3400" s="3">
        <v>9304</v>
      </c>
      <c r="E3400" s="3" t="s">
        <v>216</v>
      </c>
      <c r="J3400" s="3" t="s">
        <v>3642</v>
      </c>
      <c r="K3400" s="3" t="s">
        <v>216</v>
      </c>
    </row>
    <row r="3401" ht="15.6" spans="4:11">
      <c r="D3401" s="3">
        <v>9305</v>
      </c>
      <c r="E3401" s="3" t="s">
        <v>216</v>
      </c>
      <c r="J3401" s="3" t="s">
        <v>3643</v>
      </c>
      <c r="K3401" s="3" t="s">
        <v>216</v>
      </c>
    </row>
    <row r="3402" ht="15.6" spans="4:11">
      <c r="D3402" s="3">
        <v>9306</v>
      </c>
      <c r="E3402" s="3" t="s">
        <v>216</v>
      </c>
      <c r="J3402" s="3" t="s">
        <v>3644</v>
      </c>
      <c r="K3402" s="3" t="s">
        <v>216</v>
      </c>
    </row>
    <row r="3403" ht="15.6" spans="4:11">
      <c r="D3403" s="3">
        <v>9307</v>
      </c>
      <c r="E3403" s="3" t="s">
        <v>216</v>
      </c>
      <c r="J3403" s="3" t="s">
        <v>3645</v>
      </c>
      <c r="K3403" s="3" t="s">
        <v>216</v>
      </c>
    </row>
    <row r="3404" ht="15.6" spans="4:11">
      <c r="D3404" s="3">
        <v>9308</v>
      </c>
      <c r="E3404" s="3" t="s">
        <v>216</v>
      </c>
      <c r="J3404" s="3" t="s">
        <v>3646</v>
      </c>
      <c r="K3404" s="3" t="s">
        <v>216</v>
      </c>
    </row>
    <row r="3405" ht="15.6" spans="4:11">
      <c r="D3405" s="3">
        <v>9309</v>
      </c>
      <c r="E3405" s="3" t="s">
        <v>216</v>
      </c>
      <c r="J3405" s="3" t="s">
        <v>3647</v>
      </c>
      <c r="K3405" s="3" t="s">
        <v>216</v>
      </c>
    </row>
    <row r="3406" ht="15.6" spans="4:11">
      <c r="D3406" s="3">
        <v>9310</v>
      </c>
      <c r="E3406" s="3" t="s">
        <v>216</v>
      </c>
      <c r="J3406" s="3" t="s">
        <v>3648</v>
      </c>
      <c r="K3406" s="3" t="s">
        <v>216</v>
      </c>
    </row>
    <row r="3407" ht="15.6" spans="4:11">
      <c r="D3407" s="3">
        <v>9311</v>
      </c>
      <c r="E3407" s="3" t="s">
        <v>216</v>
      </c>
      <c r="J3407" s="3" t="s">
        <v>3649</v>
      </c>
      <c r="K3407" s="3" t="s">
        <v>216</v>
      </c>
    </row>
    <row r="3408" ht="15.6" spans="4:11">
      <c r="D3408" s="3">
        <v>9312</v>
      </c>
      <c r="E3408" s="3" t="s">
        <v>216</v>
      </c>
      <c r="J3408" s="3" t="s">
        <v>3650</v>
      </c>
      <c r="K3408" s="3" t="s">
        <v>216</v>
      </c>
    </row>
    <row r="3409" ht="15.6" spans="4:11">
      <c r="D3409" s="3">
        <v>9313</v>
      </c>
      <c r="E3409" s="3" t="s">
        <v>216</v>
      </c>
      <c r="J3409" s="3" t="s">
        <v>3651</v>
      </c>
      <c r="K3409" s="3" t="s">
        <v>216</v>
      </c>
    </row>
    <row r="3410" ht="15.6" spans="4:11">
      <c r="D3410" s="3">
        <v>9314</v>
      </c>
      <c r="E3410" s="3" t="s">
        <v>216</v>
      </c>
      <c r="J3410" s="3" t="s">
        <v>3652</v>
      </c>
      <c r="K3410" s="3" t="s">
        <v>216</v>
      </c>
    </row>
    <row r="3411" ht="15.6" spans="4:11">
      <c r="D3411" s="3">
        <v>9315</v>
      </c>
      <c r="E3411" s="3" t="s">
        <v>216</v>
      </c>
      <c r="J3411" s="3" t="s">
        <v>3653</v>
      </c>
      <c r="K3411" s="3" t="s">
        <v>216</v>
      </c>
    </row>
    <row r="3412" ht="15.6" spans="4:11">
      <c r="D3412" s="3">
        <v>9316</v>
      </c>
      <c r="E3412" s="3" t="s">
        <v>216</v>
      </c>
      <c r="J3412" s="3" t="s">
        <v>3654</v>
      </c>
      <c r="K3412" s="3" t="s">
        <v>216</v>
      </c>
    </row>
    <row r="3413" ht="15.6" spans="4:11">
      <c r="D3413" s="3">
        <v>9317</v>
      </c>
      <c r="E3413" s="3" t="s">
        <v>216</v>
      </c>
      <c r="J3413" s="3" t="s">
        <v>3655</v>
      </c>
      <c r="K3413" s="3" t="s">
        <v>216</v>
      </c>
    </row>
    <row r="3414" ht="15.6" spans="4:11">
      <c r="D3414" s="3">
        <v>9318</v>
      </c>
      <c r="E3414" s="3" t="s">
        <v>216</v>
      </c>
      <c r="J3414" s="3" t="s">
        <v>3656</v>
      </c>
      <c r="K3414" s="3" t="s">
        <v>216</v>
      </c>
    </row>
    <row r="3415" ht="15.6" spans="4:11">
      <c r="D3415" s="3">
        <v>9319</v>
      </c>
      <c r="E3415" s="3" t="s">
        <v>216</v>
      </c>
      <c r="J3415" s="3" t="s">
        <v>3657</v>
      </c>
      <c r="K3415" s="3" t="s">
        <v>216</v>
      </c>
    </row>
    <row r="3416" ht="15.6" spans="4:11">
      <c r="D3416" s="3">
        <v>9320</v>
      </c>
      <c r="E3416" s="3" t="s">
        <v>216</v>
      </c>
      <c r="J3416" s="3" t="s">
        <v>3658</v>
      </c>
      <c r="K3416" s="3" t="s">
        <v>216</v>
      </c>
    </row>
    <row r="3417" ht="15.6" spans="4:11">
      <c r="D3417" s="3">
        <v>9321</v>
      </c>
      <c r="E3417" s="3" t="s">
        <v>216</v>
      </c>
      <c r="J3417" s="3" t="s">
        <v>3659</v>
      </c>
      <c r="K3417" s="3" t="s">
        <v>216</v>
      </c>
    </row>
    <row r="3418" ht="15.6" spans="4:11">
      <c r="D3418" s="3">
        <v>9322</v>
      </c>
      <c r="E3418" s="3" t="s">
        <v>216</v>
      </c>
      <c r="J3418" s="3" t="s">
        <v>3660</v>
      </c>
      <c r="K3418" s="3" t="s">
        <v>216</v>
      </c>
    </row>
    <row r="3419" ht="15.6" spans="4:11">
      <c r="D3419" s="3">
        <v>9323</v>
      </c>
      <c r="E3419" s="3" t="s">
        <v>216</v>
      </c>
      <c r="J3419" s="3" t="s">
        <v>3661</v>
      </c>
      <c r="K3419" s="3" t="s">
        <v>216</v>
      </c>
    </row>
    <row r="3420" ht="15.6" spans="4:11">
      <c r="D3420" s="3">
        <v>9324</v>
      </c>
      <c r="E3420" s="3" t="s">
        <v>216</v>
      </c>
      <c r="J3420" s="3" t="s">
        <v>3662</v>
      </c>
      <c r="K3420" s="3" t="s">
        <v>216</v>
      </c>
    </row>
    <row r="3421" ht="15.6" spans="4:11">
      <c r="D3421" s="3">
        <v>9325</v>
      </c>
      <c r="E3421" s="3" t="s">
        <v>216</v>
      </c>
      <c r="J3421" s="3" t="s">
        <v>3663</v>
      </c>
      <c r="K3421" s="3" t="s">
        <v>216</v>
      </c>
    </row>
    <row r="3422" ht="15.6" spans="4:11">
      <c r="D3422" s="3">
        <v>9326</v>
      </c>
      <c r="E3422" s="3" t="s">
        <v>216</v>
      </c>
      <c r="J3422" s="3" t="s">
        <v>3664</v>
      </c>
      <c r="K3422" s="3" t="s">
        <v>216</v>
      </c>
    </row>
    <row r="3423" ht="15.6" spans="4:11">
      <c r="D3423" s="3">
        <v>9327</v>
      </c>
      <c r="E3423" s="3" t="s">
        <v>216</v>
      </c>
      <c r="J3423" s="3" t="s">
        <v>3665</v>
      </c>
      <c r="K3423" s="3" t="s">
        <v>216</v>
      </c>
    </row>
    <row r="3424" ht="15.6" spans="4:11">
      <c r="D3424" s="3">
        <v>9328</v>
      </c>
      <c r="E3424" s="3" t="s">
        <v>216</v>
      </c>
      <c r="J3424" s="3" t="s">
        <v>3666</v>
      </c>
      <c r="K3424" s="3" t="s">
        <v>216</v>
      </c>
    </row>
    <row r="3425" ht="15.6" spans="4:11">
      <c r="D3425" s="3">
        <v>9329</v>
      </c>
      <c r="E3425" s="3" t="s">
        <v>216</v>
      </c>
      <c r="J3425" s="3" t="s">
        <v>3667</v>
      </c>
      <c r="K3425" s="3" t="s">
        <v>216</v>
      </c>
    </row>
    <row r="3426" ht="15.6" spans="4:11">
      <c r="D3426" s="3">
        <v>9330</v>
      </c>
      <c r="E3426" s="3" t="s">
        <v>216</v>
      </c>
      <c r="J3426" s="3" t="s">
        <v>3668</v>
      </c>
      <c r="K3426" s="3" t="s">
        <v>216</v>
      </c>
    </row>
    <row r="3427" ht="15.6" spans="4:11">
      <c r="D3427" s="3">
        <v>9331</v>
      </c>
      <c r="E3427" s="3" t="s">
        <v>216</v>
      </c>
      <c r="J3427" s="3" t="s">
        <v>3669</v>
      </c>
      <c r="K3427" s="3" t="s">
        <v>216</v>
      </c>
    </row>
    <row r="3428" ht="15.6" spans="4:11">
      <c r="D3428" s="3">
        <v>9332</v>
      </c>
      <c r="E3428" s="3" t="s">
        <v>216</v>
      </c>
      <c r="J3428" s="3" t="s">
        <v>3670</v>
      </c>
      <c r="K3428" s="3" t="s">
        <v>216</v>
      </c>
    </row>
    <row r="3429" ht="15.6" spans="4:11">
      <c r="D3429" s="3">
        <v>9333</v>
      </c>
      <c r="E3429" s="3" t="s">
        <v>216</v>
      </c>
      <c r="J3429" s="3" t="s">
        <v>3671</v>
      </c>
      <c r="K3429" s="3" t="s">
        <v>216</v>
      </c>
    </row>
    <row r="3430" ht="15.6" spans="4:11">
      <c r="D3430" s="3">
        <v>9334</v>
      </c>
      <c r="E3430" s="3" t="s">
        <v>216</v>
      </c>
      <c r="J3430" s="3" t="s">
        <v>3672</v>
      </c>
      <c r="K3430" s="3" t="s">
        <v>216</v>
      </c>
    </row>
    <row r="3431" ht="15.6" spans="4:11">
      <c r="D3431" s="3">
        <v>9335</v>
      </c>
      <c r="E3431" s="3" t="s">
        <v>216</v>
      </c>
      <c r="J3431" s="3" t="s">
        <v>3673</v>
      </c>
      <c r="K3431" s="3" t="s">
        <v>216</v>
      </c>
    </row>
    <row r="3432" ht="15.6" spans="4:11">
      <c r="D3432" s="3">
        <v>9336</v>
      </c>
      <c r="E3432" s="3" t="s">
        <v>216</v>
      </c>
      <c r="J3432" s="3" t="s">
        <v>3674</v>
      </c>
      <c r="K3432" s="3" t="s">
        <v>216</v>
      </c>
    </row>
    <row r="3433" ht="15.6" spans="4:11">
      <c r="D3433" s="3">
        <v>9337</v>
      </c>
      <c r="E3433" s="3" t="s">
        <v>216</v>
      </c>
      <c r="J3433" s="3" t="s">
        <v>3675</v>
      </c>
      <c r="K3433" s="3" t="s">
        <v>216</v>
      </c>
    </row>
    <row r="3434" ht="15.6" spans="4:11">
      <c r="D3434" s="3">
        <v>9338</v>
      </c>
      <c r="E3434" s="3" t="s">
        <v>216</v>
      </c>
      <c r="J3434" s="3" t="s">
        <v>3676</v>
      </c>
      <c r="K3434" s="3" t="s">
        <v>216</v>
      </c>
    </row>
    <row r="3435" ht="15.6" spans="4:11">
      <c r="D3435" s="3">
        <v>9339</v>
      </c>
      <c r="E3435" s="3" t="s">
        <v>216</v>
      </c>
      <c r="J3435" s="3" t="s">
        <v>3677</v>
      </c>
      <c r="K3435" s="3" t="s">
        <v>216</v>
      </c>
    </row>
    <row r="3436" ht="15.6" spans="4:11">
      <c r="D3436" s="3">
        <v>9340</v>
      </c>
      <c r="E3436" s="3" t="s">
        <v>216</v>
      </c>
      <c r="J3436" s="3" t="s">
        <v>3678</v>
      </c>
      <c r="K3436" s="3" t="s">
        <v>216</v>
      </c>
    </row>
    <row r="3437" ht="15.6" spans="4:11">
      <c r="D3437" s="3">
        <v>9341</v>
      </c>
      <c r="E3437" s="3" t="s">
        <v>216</v>
      </c>
      <c r="J3437" s="3" t="s">
        <v>3679</v>
      </c>
      <c r="K3437" s="3" t="s">
        <v>216</v>
      </c>
    </row>
    <row r="3438" ht="15.6" spans="4:11">
      <c r="D3438" s="3">
        <v>9342</v>
      </c>
      <c r="E3438" s="3" t="s">
        <v>216</v>
      </c>
      <c r="J3438" s="3" t="s">
        <v>3680</v>
      </c>
      <c r="K3438" s="3" t="s">
        <v>216</v>
      </c>
    </row>
    <row r="3439" ht="15.6" spans="4:11">
      <c r="D3439" s="3">
        <v>9343</v>
      </c>
      <c r="E3439" s="3" t="s">
        <v>216</v>
      </c>
      <c r="J3439" s="3" t="s">
        <v>3681</v>
      </c>
      <c r="K3439" s="3" t="s">
        <v>216</v>
      </c>
    </row>
    <row r="3440" ht="15.6" spans="4:11">
      <c r="D3440" s="3">
        <v>9344</v>
      </c>
      <c r="E3440" s="3" t="s">
        <v>216</v>
      </c>
      <c r="J3440" s="3" t="s">
        <v>3682</v>
      </c>
      <c r="K3440" s="3" t="s">
        <v>216</v>
      </c>
    </row>
    <row r="3441" ht="15.6" spans="4:11">
      <c r="D3441" s="3">
        <v>9345</v>
      </c>
      <c r="E3441" s="3" t="s">
        <v>216</v>
      </c>
      <c r="J3441" s="3" t="s">
        <v>3683</v>
      </c>
      <c r="K3441" s="3" t="s">
        <v>216</v>
      </c>
    </row>
    <row r="3442" ht="15.6" spans="4:11">
      <c r="D3442" s="3">
        <v>9346</v>
      </c>
      <c r="E3442" s="3" t="s">
        <v>216</v>
      </c>
      <c r="J3442" s="3" t="s">
        <v>3684</v>
      </c>
      <c r="K3442" s="3" t="s">
        <v>216</v>
      </c>
    </row>
    <row r="3443" ht="15.6" spans="4:11">
      <c r="D3443" s="3">
        <v>9347</v>
      </c>
      <c r="E3443" s="3" t="s">
        <v>216</v>
      </c>
      <c r="J3443" s="3" t="s">
        <v>3685</v>
      </c>
      <c r="K3443" s="3" t="s">
        <v>216</v>
      </c>
    </row>
    <row r="3444" ht="15.6" spans="4:11">
      <c r="D3444" s="3">
        <v>9348</v>
      </c>
      <c r="E3444" s="3" t="s">
        <v>216</v>
      </c>
      <c r="J3444" s="3" t="s">
        <v>3686</v>
      </c>
      <c r="K3444" s="3" t="s">
        <v>216</v>
      </c>
    </row>
    <row r="3445" ht="15.6" spans="4:11">
      <c r="D3445" s="3">
        <v>9349</v>
      </c>
      <c r="E3445" s="3" t="s">
        <v>216</v>
      </c>
      <c r="J3445" s="3" t="s">
        <v>3687</v>
      </c>
      <c r="K3445" s="3" t="s">
        <v>216</v>
      </c>
    </row>
    <row r="3446" ht="15.6" spans="4:11">
      <c r="D3446" s="3">
        <v>9350</v>
      </c>
      <c r="E3446" s="3" t="s">
        <v>216</v>
      </c>
      <c r="J3446" s="3" t="s">
        <v>3688</v>
      </c>
      <c r="K3446" s="3" t="s">
        <v>216</v>
      </c>
    </row>
    <row r="3447" ht="15.6" spans="4:11">
      <c r="D3447" s="3">
        <v>9351</v>
      </c>
      <c r="E3447" s="3" t="s">
        <v>216</v>
      </c>
      <c r="J3447" s="3" t="s">
        <v>3689</v>
      </c>
      <c r="K3447" s="3" t="s">
        <v>216</v>
      </c>
    </row>
    <row r="3448" ht="15.6" spans="4:11">
      <c r="D3448" s="3">
        <v>9352</v>
      </c>
      <c r="E3448" s="3" t="s">
        <v>216</v>
      </c>
      <c r="J3448" s="3" t="s">
        <v>3690</v>
      </c>
      <c r="K3448" s="3" t="s">
        <v>216</v>
      </c>
    </row>
    <row r="3449" ht="15.6" spans="4:11">
      <c r="D3449" s="3">
        <v>9353</v>
      </c>
      <c r="E3449" s="3" t="s">
        <v>216</v>
      </c>
      <c r="J3449" s="3" t="s">
        <v>3691</v>
      </c>
      <c r="K3449" s="3" t="s">
        <v>216</v>
      </c>
    </row>
    <row r="3450" ht="15.6" spans="4:11">
      <c r="D3450" s="3">
        <v>9354</v>
      </c>
      <c r="E3450" s="3" t="s">
        <v>216</v>
      </c>
      <c r="J3450" s="3" t="s">
        <v>3692</v>
      </c>
      <c r="K3450" s="3" t="s">
        <v>216</v>
      </c>
    </row>
    <row r="3451" ht="15.6" spans="4:11">
      <c r="D3451" s="3">
        <v>9355</v>
      </c>
      <c r="E3451" s="3" t="s">
        <v>216</v>
      </c>
      <c r="J3451" s="3" t="s">
        <v>3693</v>
      </c>
      <c r="K3451" s="3" t="s">
        <v>216</v>
      </c>
    </row>
    <row r="3452" ht="15.6" spans="4:11">
      <c r="D3452" s="3">
        <v>9356</v>
      </c>
      <c r="E3452" s="3" t="s">
        <v>216</v>
      </c>
      <c r="J3452" s="3" t="s">
        <v>3694</v>
      </c>
      <c r="K3452" s="3" t="s">
        <v>216</v>
      </c>
    </row>
    <row r="3453" ht="15.6" spans="4:11">
      <c r="D3453" s="3">
        <v>9357</v>
      </c>
      <c r="E3453" s="3" t="s">
        <v>216</v>
      </c>
      <c r="J3453" s="3" t="s">
        <v>3695</v>
      </c>
      <c r="K3453" s="3" t="s">
        <v>216</v>
      </c>
    </row>
    <row r="3454" ht="15.6" spans="4:11">
      <c r="D3454" s="3">
        <v>9358</v>
      </c>
      <c r="E3454" s="3" t="s">
        <v>216</v>
      </c>
      <c r="J3454" s="3" t="s">
        <v>3696</v>
      </c>
      <c r="K3454" s="3" t="s">
        <v>216</v>
      </c>
    </row>
    <row r="3455" ht="15.6" spans="4:11">
      <c r="D3455" s="3">
        <v>9359</v>
      </c>
      <c r="E3455" s="3" t="s">
        <v>216</v>
      </c>
      <c r="J3455" s="3" t="s">
        <v>3697</v>
      </c>
      <c r="K3455" s="3" t="s">
        <v>216</v>
      </c>
    </row>
    <row r="3456" ht="15.6" spans="4:11">
      <c r="D3456" s="3">
        <v>9360</v>
      </c>
      <c r="E3456" s="3" t="s">
        <v>216</v>
      </c>
      <c r="J3456" s="3" t="s">
        <v>3698</v>
      </c>
      <c r="K3456" s="3" t="s">
        <v>216</v>
      </c>
    </row>
    <row r="3457" ht="15.6" spans="4:11">
      <c r="D3457" s="3">
        <v>9361</v>
      </c>
      <c r="E3457" s="3" t="s">
        <v>216</v>
      </c>
      <c r="J3457" s="3" t="s">
        <v>3699</v>
      </c>
      <c r="K3457" s="3" t="s">
        <v>216</v>
      </c>
    </row>
    <row r="3458" ht="15.6" spans="4:11">
      <c r="D3458" s="3">
        <v>9362</v>
      </c>
      <c r="E3458" s="3" t="s">
        <v>216</v>
      </c>
      <c r="J3458" s="3" t="s">
        <v>3700</v>
      </c>
      <c r="K3458" s="3" t="s">
        <v>216</v>
      </c>
    </row>
    <row r="3459" ht="15.6" spans="4:11">
      <c r="D3459" s="3">
        <v>9363</v>
      </c>
      <c r="E3459" s="3" t="s">
        <v>216</v>
      </c>
      <c r="J3459" s="3" t="s">
        <v>3701</v>
      </c>
      <c r="K3459" s="3" t="s">
        <v>216</v>
      </c>
    </row>
    <row r="3460" ht="15.6" spans="4:11">
      <c r="D3460" s="3">
        <v>9364</v>
      </c>
      <c r="E3460" s="3" t="s">
        <v>216</v>
      </c>
      <c r="J3460" s="3" t="s">
        <v>3702</v>
      </c>
      <c r="K3460" s="3" t="s">
        <v>216</v>
      </c>
    </row>
    <row r="3461" ht="15.6" spans="4:11">
      <c r="D3461" s="3">
        <v>9365</v>
      </c>
      <c r="E3461" s="3" t="s">
        <v>216</v>
      </c>
      <c r="J3461" s="3" t="s">
        <v>3703</v>
      </c>
      <c r="K3461" s="3" t="s">
        <v>216</v>
      </c>
    </row>
    <row r="3462" ht="15.6" spans="4:11">
      <c r="D3462" s="3">
        <v>9366</v>
      </c>
      <c r="E3462" s="3" t="s">
        <v>216</v>
      </c>
      <c r="J3462" s="3" t="s">
        <v>3704</v>
      </c>
      <c r="K3462" s="3" t="s">
        <v>216</v>
      </c>
    </row>
    <row r="3463" ht="15.6" spans="4:11">
      <c r="D3463" s="3">
        <v>9367</v>
      </c>
      <c r="E3463" s="3" t="s">
        <v>216</v>
      </c>
      <c r="J3463" s="3" t="s">
        <v>3705</v>
      </c>
      <c r="K3463" s="3" t="s">
        <v>216</v>
      </c>
    </row>
    <row r="3464" ht="15.6" spans="4:11">
      <c r="D3464" s="3">
        <v>9368</v>
      </c>
      <c r="E3464" s="3" t="s">
        <v>216</v>
      </c>
      <c r="J3464" s="3" t="s">
        <v>3706</v>
      </c>
      <c r="K3464" s="3" t="s">
        <v>216</v>
      </c>
    </row>
    <row r="3465" ht="15.6" spans="4:11">
      <c r="D3465" s="3">
        <v>9369</v>
      </c>
      <c r="E3465" s="3" t="s">
        <v>216</v>
      </c>
      <c r="J3465" s="3" t="s">
        <v>3707</v>
      </c>
      <c r="K3465" s="3" t="s">
        <v>216</v>
      </c>
    </row>
    <row r="3466" ht="15.6" spans="4:11">
      <c r="D3466" s="3">
        <v>9370</v>
      </c>
      <c r="E3466" s="3" t="s">
        <v>216</v>
      </c>
      <c r="J3466" s="3" t="s">
        <v>3708</v>
      </c>
      <c r="K3466" s="3" t="s">
        <v>216</v>
      </c>
    </row>
    <row r="3467" ht="15.6" spans="4:11">
      <c r="D3467" s="3">
        <v>9371</v>
      </c>
      <c r="E3467" s="3" t="s">
        <v>216</v>
      </c>
      <c r="J3467" s="3" t="s">
        <v>3709</v>
      </c>
      <c r="K3467" s="3" t="s">
        <v>216</v>
      </c>
    </row>
    <row r="3468" ht="15.6" spans="4:11">
      <c r="D3468" s="3">
        <v>9372</v>
      </c>
      <c r="E3468" s="3" t="s">
        <v>216</v>
      </c>
      <c r="J3468" s="3" t="s">
        <v>3710</v>
      </c>
      <c r="K3468" s="3" t="s">
        <v>216</v>
      </c>
    </row>
    <row r="3469" ht="15.6" spans="4:11">
      <c r="D3469" s="3">
        <v>9373</v>
      </c>
      <c r="E3469" s="3" t="s">
        <v>216</v>
      </c>
      <c r="J3469" s="3" t="s">
        <v>3711</v>
      </c>
      <c r="K3469" s="3" t="s">
        <v>216</v>
      </c>
    </row>
    <row r="3470" ht="15.6" spans="4:11">
      <c r="D3470" s="3">
        <v>9374</v>
      </c>
      <c r="E3470" s="3" t="s">
        <v>216</v>
      </c>
      <c r="J3470" s="3" t="s">
        <v>3712</v>
      </c>
      <c r="K3470" s="3" t="s">
        <v>216</v>
      </c>
    </row>
    <row r="3471" ht="15.6" spans="4:11">
      <c r="D3471" s="3">
        <v>9375</v>
      </c>
      <c r="E3471" s="3" t="s">
        <v>216</v>
      </c>
      <c r="J3471" s="3" t="s">
        <v>3713</v>
      </c>
      <c r="K3471" s="3" t="s">
        <v>216</v>
      </c>
    </row>
    <row r="3472" ht="15.6" spans="4:11">
      <c r="D3472" s="3">
        <v>9376</v>
      </c>
      <c r="E3472" s="3" t="s">
        <v>216</v>
      </c>
      <c r="J3472" s="3" t="s">
        <v>3714</v>
      </c>
      <c r="K3472" s="3" t="s">
        <v>216</v>
      </c>
    </row>
    <row r="3473" ht="15.6" spans="4:11">
      <c r="D3473" s="3">
        <v>9377</v>
      </c>
      <c r="E3473" s="3" t="s">
        <v>216</v>
      </c>
      <c r="J3473" s="3" t="s">
        <v>3715</v>
      </c>
      <c r="K3473" s="3" t="s">
        <v>216</v>
      </c>
    </row>
    <row r="3474" ht="15.6" spans="4:11">
      <c r="D3474" s="3">
        <v>9378</v>
      </c>
      <c r="E3474" s="3" t="s">
        <v>216</v>
      </c>
      <c r="J3474" s="3" t="s">
        <v>3716</v>
      </c>
      <c r="K3474" s="3" t="s">
        <v>216</v>
      </c>
    </row>
    <row r="3475" ht="15.6" spans="4:11">
      <c r="D3475" s="3">
        <v>9379</v>
      </c>
      <c r="E3475" s="3" t="s">
        <v>216</v>
      </c>
      <c r="J3475" s="3" t="s">
        <v>3717</v>
      </c>
      <c r="K3475" s="3" t="s">
        <v>216</v>
      </c>
    </row>
    <row r="3476" ht="15.6" spans="4:11">
      <c r="D3476" s="3">
        <v>9380</v>
      </c>
      <c r="E3476" s="3" t="s">
        <v>216</v>
      </c>
      <c r="J3476" s="3" t="s">
        <v>3718</v>
      </c>
      <c r="K3476" s="3" t="s">
        <v>216</v>
      </c>
    </row>
    <row r="3477" ht="15.6" spans="4:11">
      <c r="D3477" s="3">
        <v>9381</v>
      </c>
      <c r="E3477" s="3" t="s">
        <v>216</v>
      </c>
      <c r="J3477" s="3" t="s">
        <v>3719</v>
      </c>
      <c r="K3477" s="3" t="s">
        <v>216</v>
      </c>
    </row>
    <row r="3478" ht="15.6" spans="4:11">
      <c r="D3478" s="3">
        <v>9382</v>
      </c>
      <c r="E3478" s="3" t="s">
        <v>216</v>
      </c>
      <c r="J3478" s="3" t="s">
        <v>3720</v>
      </c>
      <c r="K3478" s="3" t="s">
        <v>216</v>
      </c>
    </row>
    <row r="3479" ht="15.6" spans="4:11">
      <c r="D3479" s="3">
        <v>9383</v>
      </c>
      <c r="E3479" s="3" t="s">
        <v>216</v>
      </c>
      <c r="J3479" s="3" t="s">
        <v>3721</v>
      </c>
      <c r="K3479" s="3" t="s">
        <v>216</v>
      </c>
    </row>
    <row r="3480" ht="15.6" spans="4:11">
      <c r="D3480" s="3">
        <v>9384</v>
      </c>
      <c r="E3480" s="3" t="s">
        <v>216</v>
      </c>
      <c r="J3480" s="3" t="s">
        <v>3722</v>
      </c>
      <c r="K3480" s="3" t="s">
        <v>216</v>
      </c>
    </row>
    <row r="3481" ht="15.6" spans="4:11">
      <c r="D3481" s="3">
        <v>9385</v>
      </c>
      <c r="E3481" s="3" t="s">
        <v>216</v>
      </c>
      <c r="J3481" s="3" t="s">
        <v>3723</v>
      </c>
      <c r="K3481" s="3" t="s">
        <v>216</v>
      </c>
    </row>
    <row r="3482" ht="15.6" spans="4:11">
      <c r="D3482" s="3">
        <v>9386</v>
      </c>
      <c r="E3482" s="3" t="s">
        <v>216</v>
      </c>
      <c r="J3482" s="3" t="s">
        <v>3724</v>
      </c>
      <c r="K3482" s="3" t="s">
        <v>216</v>
      </c>
    </row>
    <row r="3483" ht="15.6" spans="4:11">
      <c r="D3483" s="3">
        <v>9387</v>
      </c>
      <c r="E3483" s="3" t="s">
        <v>216</v>
      </c>
      <c r="J3483" s="3" t="s">
        <v>3725</v>
      </c>
      <c r="K3483" s="3" t="s">
        <v>216</v>
      </c>
    </row>
    <row r="3484" ht="15.6" spans="4:11">
      <c r="D3484" s="3">
        <v>9388</v>
      </c>
      <c r="E3484" s="3" t="s">
        <v>216</v>
      </c>
      <c r="J3484" s="3" t="s">
        <v>3726</v>
      </c>
      <c r="K3484" s="3" t="s">
        <v>216</v>
      </c>
    </row>
    <row r="3485" ht="15.6" spans="4:11">
      <c r="D3485" s="3">
        <v>9389</v>
      </c>
      <c r="E3485" s="3" t="s">
        <v>216</v>
      </c>
      <c r="J3485" s="3" t="s">
        <v>3727</v>
      </c>
      <c r="K3485" s="3" t="s">
        <v>216</v>
      </c>
    </row>
    <row r="3486" ht="15.6" spans="4:11">
      <c r="D3486" s="3">
        <v>9390</v>
      </c>
      <c r="E3486" s="3" t="s">
        <v>216</v>
      </c>
      <c r="J3486" s="3" t="s">
        <v>3728</v>
      </c>
      <c r="K3486" s="3" t="s">
        <v>216</v>
      </c>
    </row>
    <row r="3487" ht="15.6" spans="4:11">
      <c r="D3487" s="3">
        <v>9391</v>
      </c>
      <c r="E3487" s="3" t="s">
        <v>216</v>
      </c>
      <c r="J3487" s="3" t="s">
        <v>3729</v>
      </c>
      <c r="K3487" s="3" t="s">
        <v>216</v>
      </c>
    </row>
    <row r="3488" ht="15.6" spans="4:11">
      <c r="D3488" s="3">
        <v>9392</v>
      </c>
      <c r="E3488" s="3" t="s">
        <v>216</v>
      </c>
      <c r="J3488" s="3" t="s">
        <v>3730</v>
      </c>
      <c r="K3488" s="3" t="s">
        <v>216</v>
      </c>
    </row>
    <row r="3489" ht="15.6" spans="4:11">
      <c r="D3489" s="3">
        <v>9393</v>
      </c>
      <c r="E3489" s="3" t="s">
        <v>216</v>
      </c>
      <c r="J3489" s="3" t="s">
        <v>3731</v>
      </c>
      <c r="K3489" s="3" t="s">
        <v>216</v>
      </c>
    </row>
    <row r="3490" ht="15.6" spans="4:11">
      <c r="D3490" s="3">
        <v>9394</v>
      </c>
      <c r="E3490" s="3" t="s">
        <v>216</v>
      </c>
      <c r="J3490" s="3" t="s">
        <v>3732</v>
      </c>
      <c r="K3490" s="3" t="s">
        <v>216</v>
      </c>
    </row>
    <row r="3491" ht="15.6" spans="4:11">
      <c r="D3491" s="3">
        <v>9395</v>
      </c>
      <c r="E3491" s="3" t="s">
        <v>216</v>
      </c>
      <c r="J3491" s="3" t="s">
        <v>3733</v>
      </c>
      <c r="K3491" s="3" t="s">
        <v>216</v>
      </c>
    </row>
    <row r="3492" ht="15.6" spans="4:11">
      <c r="D3492" s="3">
        <v>9396</v>
      </c>
      <c r="E3492" s="3" t="s">
        <v>216</v>
      </c>
      <c r="J3492" s="3" t="s">
        <v>3734</v>
      </c>
      <c r="K3492" s="3" t="s">
        <v>216</v>
      </c>
    </row>
    <row r="3493" ht="15.6" spans="4:11">
      <c r="D3493" s="3">
        <v>9397</v>
      </c>
      <c r="E3493" s="3" t="s">
        <v>216</v>
      </c>
      <c r="J3493" s="3" t="s">
        <v>3735</v>
      </c>
      <c r="K3493" s="3" t="s">
        <v>216</v>
      </c>
    </row>
    <row r="3494" ht="15.6" spans="4:11">
      <c r="D3494" s="3">
        <v>9398</v>
      </c>
      <c r="E3494" s="3" t="s">
        <v>216</v>
      </c>
      <c r="J3494" s="3" t="s">
        <v>3736</v>
      </c>
      <c r="K3494" s="3" t="s">
        <v>216</v>
      </c>
    </row>
    <row r="3495" ht="15.6" spans="4:11">
      <c r="D3495" s="3">
        <v>9399</v>
      </c>
      <c r="E3495" s="3" t="s">
        <v>216</v>
      </c>
      <c r="J3495" s="3" t="s">
        <v>3737</v>
      </c>
      <c r="K3495" s="3" t="s">
        <v>216</v>
      </c>
    </row>
    <row r="3496" ht="15.6" spans="4:11">
      <c r="D3496" s="3">
        <v>9400</v>
      </c>
      <c r="E3496" s="3" t="s">
        <v>216</v>
      </c>
      <c r="J3496" s="3" t="s">
        <v>3738</v>
      </c>
      <c r="K3496" s="3" t="s">
        <v>216</v>
      </c>
    </row>
    <row r="3497" ht="15.6" spans="4:11">
      <c r="D3497" s="3">
        <v>9401</v>
      </c>
      <c r="E3497" s="3" t="s">
        <v>216</v>
      </c>
      <c r="J3497" s="3" t="s">
        <v>3739</v>
      </c>
      <c r="K3497" s="3" t="s">
        <v>216</v>
      </c>
    </row>
    <row r="3498" ht="15.6" spans="4:11">
      <c r="D3498" s="3">
        <v>9402</v>
      </c>
      <c r="E3498" s="3" t="s">
        <v>216</v>
      </c>
      <c r="J3498" s="3" t="s">
        <v>3740</v>
      </c>
      <c r="K3498" s="3" t="s">
        <v>216</v>
      </c>
    </row>
    <row r="3499" ht="15.6" spans="4:11">
      <c r="D3499" s="3">
        <v>9403</v>
      </c>
      <c r="E3499" s="3" t="s">
        <v>216</v>
      </c>
      <c r="J3499" s="3" t="s">
        <v>3741</v>
      </c>
      <c r="K3499" s="3" t="s">
        <v>216</v>
      </c>
    </row>
    <row r="3500" ht="15.6" spans="4:11">
      <c r="D3500" s="3">
        <v>9404</v>
      </c>
      <c r="E3500" s="3" t="s">
        <v>216</v>
      </c>
      <c r="J3500" s="3" t="s">
        <v>3742</v>
      </c>
      <c r="K3500" s="3" t="s">
        <v>216</v>
      </c>
    </row>
    <row r="3501" ht="15.6" spans="4:11">
      <c r="D3501" s="3">
        <v>9405</v>
      </c>
      <c r="E3501" s="3" t="s">
        <v>216</v>
      </c>
      <c r="J3501" s="3" t="s">
        <v>3743</v>
      </c>
      <c r="K3501" s="3" t="s">
        <v>216</v>
      </c>
    </row>
    <row r="3502" ht="15.6" spans="4:11">
      <c r="D3502" s="3">
        <v>9406</v>
      </c>
      <c r="E3502" s="3" t="s">
        <v>216</v>
      </c>
      <c r="J3502" s="3" t="s">
        <v>3744</v>
      </c>
      <c r="K3502" s="3" t="s">
        <v>216</v>
      </c>
    </row>
    <row r="3503" ht="15.6" spans="4:11">
      <c r="D3503" s="3">
        <v>9407</v>
      </c>
      <c r="E3503" s="3" t="s">
        <v>216</v>
      </c>
      <c r="J3503" s="3" t="s">
        <v>3745</v>
      </c>
      <c r="K3503" s="3" t="s">
        <v>216</v>
      </c>
    </row>
    <row r="3504" ht="15.6" spans="4:11">
      <c r="D3504" s="3">
        <v>9408</v>
      </c>
      <c r="E3504" s="3" t="s">
        <v>216</v>
      </c>
      <c r="J3504" s="3" t="s">
        <v>3746</v>
      </c>
      <c r="K3504" s="3" t="s">
        <v>216</v>
      </c>
    </row>
    <row r="3505" ht="15.6" spans="4:11">
      <c r="D3505" s="3">
        <v>9409</v>
      </c>
      <c r="E3505" s="3" t="s">
        <v>216</v>
      </c>
      <c r="J3505" s="3" t="s">
        <v>3747</v>
      </c>
      <c r="K3505" s="3" t="s">
        <v>216</v>
      </c>
    </row>
    <row r="3506" ht="15.6" spans="4:11">
      <c r="D3506" s="3">
        <v>9410</v>
      </c>
      <c r="E3506" s="3" t="s">
        <v>216</v>
      </c>
      <c r="J3506" s="3" t="s">
        <v>3748</v>
      </c>
      <c r="K3506" s="3" t="s">
        <v>216</v>
      </c>
    </row>
    <row r="3507" ht="15.6" spans="4:11">
      <c r="D3507" s="3">
        <v>9411</v>
      </c>
      <c r="E3507" s="3" t="s">
        <v>216</v>
      </c>
      <c r="J3507" s="3" t="s">
        <v>3749</v>
      </c>
      <c r="K3507" s="3" t="s">
        <v>216</v>
      </c>
    </row>
    <row r="3508" ht="15.6" spans="4:11">
      <c r="D3508" s="3">
        <v>9412</v>
      </c>
      <c r="E3508" s="3" t="s">
        <v>216</v>
      </c>
      <c r="J3508" s="3" t="s">
        <v>3750</v>
      </c>
      <c r="K3508" s="3" t="s">
        <v>216</v>
      </c>
    </row>
    <row r="3509" ht="15.6" spans="4:11">
      <c r="D3509" s="3">
        <v>9413</v>
      </c>
      <c r="E3509" s="3" t="s">
        <v>216</v>
      </c>
      <c r="J3509" s="3" t="s">
        <v>3751</v>
      </c>
      <c r="K3509" s="3" t="s">
        <v>216</v>
      </c>
    </row>
    <row r="3510" ht="15.6" spans="4:11">
      <c r="D3510" s="3">
        <v>9414</v>
      </c>
      <c r="E3510" s="3" t="s">
        <v>216</v>
      </c>
      <c r="J3510" s="3" t="s">
        <v>3752</v>
      </c>
      <c r="K3510" s="3" t="s">
        <v>216</v>
      </c>
    </row>
    <row r="3511" ht="15.6" spans="4:11">
      <c r="D3511" s="3">
        <v>9415</v>
      </c>
      <c r="E3511" s="3" t="s">
        <v>216</v>
      </c>
      <c r="J3511" s="3" t="s">
        <v>3753</v>
      </c>
      <c r="K3511" s="3" t="s">
        <v>216</v>
      </c>
    </row>
    <row r="3512" ht="15.6" spans="4:11">
      <c r="D3512" s="3">
        <v>9416</v>
      </c>
      <c r="E3512" s="3" t="s">
        <v>216</v>
      </c>
      <c r="J3512" s="3" t="s">
        <v>3754</v>
      </c>
      <c r="K3512" s="3" t="s">
        <v>216</v>
      </c>
    </row>
    <row r="3513" ht="15.6" spans="4:11">
      <c r="D3513" s="3">
        <v>9417</v>
      </c>
      <c r="E3513" s="3" t="s">
        <v>216</v>
      </c>
      <c r="J3513" s="3" t="s">
        <v>3755</v>
      </c>
      <c r="K3513" s="3" t="s">
        <v>216</v>
      </c>
    </row>
    <row r="3514" ht="15.6" spans="4:11">
      <c r="D3514" s="3">
        <v>9418</v>
      </c>
      <c r="E3514" s="3" t="s">
        <v>216</v>
      </c>
      <c r="J3514" s="3" t="s">
        <v>3756</v>
      </c>
      <c r="K3514" s="3" t="s">
        <v>216</v>
      </c>
    </row>
    <row r="3515" ht="15.6" spans="4:11">
      <c r="D3515" s="3">
        <v>9419</v>
      </c>
      <c r="E3515" s="3" t="s">
        <v>216</v>
      </c>
      <c r="J3515" s="3" t="s">
        <v>3757</v>
      </c>
      <c r="K3515" s="3" t="s">
        <v>216</v>
      </c>
    </row>
    <row r="3516" ht="15.6" spans="4:11">
      <c r="D3516" s="3">
        <v>9420</v>
      </c>
      <c r="E3516" s="3" t="s">
        <v>216</v>
      </c>
      <c r="J3516" s="3" t="s">
        <v>3758</v>
      </c>
      <c r="K3516" s="3" t="s">
        <v>216</v>
      </c>
    </row>
    <row r="3517" ht="15.6" spans="4:11">
      <c r="D3517" s="3">
        <v>9421</v>
      </c>
      <c r="E3517" s="3" t="s">
        <v>216</v>
      </c>
      <c r="J3517" s="3" t="s">
        <v>3759</v>
      </c>
      <c r="K3517" s="3" t="s">
        <v>216</v>
      </c>
    </row>
    <row r="3518" ht="15.6" spans="4:11">
      <c r="D3518" s="3">
        <v>9422</v>
      </c>
      <c r="E3518" s="3" t="s">
        <v>216</v>
      </c>
      <c r="J3518" s="3" t="s">
        <v>3760</v>
      </c>
      <c r="K3518" s="3" t="s">
        <v>216</v>
      </c>
    </row>
    <row r="3519" ht="15.6" spans="4:11">
      <c r="D3519" s="3">
        <v>9423</v>
      </c>
      <c r="E3519" s="3" t="s">
        <v>216</v>
      </c>
      <c r="J3519" s="3" t="s">
        <v>3761</v>
      </c>
      <c r="K3519" s="3" t="s">
        <v>216</v>
      </c>
    </row>
    <row r="3520" ht="15.6" spans="4:11">
      <c r="D3520" s="3">
        <v>9424</v>
      </c>
      <c r="E3520" s="3" t="s">
        <v>216</v>
      </c>
      <c r="J3520" s="3" t="s">
        <v>3762</v>
      </c>
      <c r="K3520" s="3" t="s">
        <v>216</v>
      </c>
    </row>
    <row r="3521" ht="15.6" spans="4:11">
      <c r="D3521" s="3">
        <v>9425</v>
      </c>
      <c r="E3521" s="3" t="s">
        <v>216</v>
      </c>
      <c r="J3521" s="3" t="s">
        <v>3763</v>
      </c>
      <c r="K3521" s="3" t="s">
        <v>216</v>
      </c>
    </row>
    <row r="3522" ht="15.6" spans="4:11">
      <c r="D3522" s="3">
        <v>9426</v>
      </c>
      <c r="E3522" s="3" t="s">
        <v>216</v>
      </c>
      <c r="J3522" s="3" t="s">
        <v>3764</v>
      </c>
      <c r="K3522" s="3" t="s">
        <v>216</v>
      </c>
    </row>
    <row r="3523" ht="15.6" spans="4:11">
      <c r="D3523" s="3">
        <v>9427</v>
      </c>
      <c r="E3523" s="3" t="s">
        <v>216</v>
      </c>
      <c r="J3523" s="3" t="s">
        <v>3765</v>
      </c>
      <c r="K3523" s="3" t="s">
        <v>216</v>
      </c>
    </row>
    <row r="3524" ht="15.6" spans="4:11">
      <c r="D3524" s="3">
        <v>9428</v>
      </c>
      <c r="E3524" s="3" t="s">
        <v>216</v>
      </c>
      <c r="J3524" s="3" t="s">
        <v>3766</v>
      </c>
      <c r="K3524" s="3" t="s">
        <v>216</v>
      </c>
    </row>
    <row r="3525" ht="15.6" spans="4:11">
      <c r="D3525" s="3">
        <v>9429</v>
      </c>
      <c r="E3525" s="3" t="s">
        <v>216</v>
      </c>
      <c r="J3525" s="3" t="s">
        <v>3767</v>
      </c>
      <c r="K3525" s="3" t="s">
        <v>216</v>
      </c>
    </row>
    <row r="3526" ht="15.6" spans="4:11">
      <c r="D3526" s="3">
        <v>9430</v>
      </c>
      <c r="E3526" s="3" t="s">
        <v>216</v>
      </c>
      <c r="J3526" s="3" t="s">
        <v>3768</v>
      </c>
      <c r="K3526" s="3" t="s">
        <v>216</v>
      </c>
    </row>
    <row r="3527" ht="15.6" spans="4:11">
      <c r="D3527" s="3">
        <v>9431</v>
      </c>
      <c r="E3527" s="3" t="s">
        <v>216</v>
      </c>
      <c r="J3527" s="3" t="s">
        <v>3769</v>
      </c>
      <c r="K3527" s="3" t="s">
        <v>216</v>
      </c>
    </row>
    <row r="3528" ht="15.6" spans="4:11">
      <c r="D3528" s="3">
        <v>9432</v>
      </c>
      <c r="E3528" s="3" t="s">
        <v>216</v>
      </c>
      <c r="J3528" s="3" t="s">
        <v>3770</v>
      </c>
      <c r="K3528" s="3" t="s">
        <v>216</v>
      </c>
    </row>
    <row r="3529" ht="15.6" spans="4:11">
      <c r="D3529" s="3">
        <v>9433</v>
      </c>
      <c r="E3529" s="3" t="s">
        <v>216</v>
      </c>
      <c r="J3529" s="3" t="s">
        <v>3771</v>
      </c>
      <c r="K3529" s="3" t="s">
        <v>216</v>
      </c>
    </row>
    <row r="3530" ht="15.6" spans="4:11">
      <c r="D3530" s="3">
        <v>9434</v>
      </c>
      <c r="E3530" s="3" t="s">
        <v>216</v>
      </c>
      <c r="J3530" s="3" t="s">
        <v>3772</v>
      </c>
      <c r="K3530" s="3" t="s">
        <v>216</v>
      </c>
    </row>
    <row r="3531" ht="15.6" spans="4:11">
      <c r="D3531" s="3">
        <v>9435</v>
      </c>
      <c r="E3531" s="3" t="s">
        <v>216</v>
      </c>
      <c r="J3531" s="3" t="s">
        <v>3773</v>
      </c>
      <c r="K3531" s="3" t="s">
        <v>216</v>
      </c>
    </row>
    <row r="3532" ht="15.6" spans="4:11">
      <c r="D3532" s="3">
        <v>9436</v>
      </c>
      <c r="E3532" s="3" t="s">
        <v>216</v>
      </c>
      <c r="J3532" s="3" t="s">
        <v>3774</v>
      </c>
      <c r="K3532" s="3" t="s">
        <v>216</v>
      </c>
    </row>
    <row r="3533" ht="15.6" spans="4:11">
      <c r="D3533" s="3">
        <v>9437</v>
      </c>
      <c r="E3533" s="3" t="s">
        <v>216</v>
      </c>
      <c r="J3533" s="3" t="s">
        <v>3775</v>
      </c>
      <c r="K3533" s="3" t="s">
        <v>216</v>
      </c>
    </row>
    <row r="3534" ht="15.6" spans="4:11">
      <c r="D3534" s="3">
        <v>9438</v>
      </c>
      <c r="E3534" s="3" t="s">
        <v>216</v>
      </c>
      <c r="J3534" s="3" t="s">
        <v>3776</v>
      </c>
      <c r="K3534" s="3" t="s">
        <v>216</v>
      </c>
    </row>
    <row r="3535" ht="15.6" spans="4:11">
      <c r="D3535" s="3">
        <v>9439</v>
      </c>
      <c r="E3535" s="3" t="s">
        <v>216</v>
      </c>
      <c r="J3535" s="3" t="s">
        <v>3777</v>
      </c>
      <c r="K3535" s="3" t="s">
        <v>216</v>
      </c>
    </row>
    <row r="3536" ht="15.6" spans="4:11">
      <c r="D3536" s="3">
        <v>9440</v>
      </c>
      <c r="E3536" s="3" t="s">
        <v>216</v>
      </c>
      <c r="J3536" s="3" t="s">
        <v>3778</v>
      </c>
      <c r="K3536" s="3" t="s">
        <v>216</v>
      </c>
    </row>
    <row r="3537" ht="15.6" spans="4:11">
      <c r="D3537" s="3">
        <v>9441</v>
      </c>
      <c r="E3537" s="3" t="s">
        <v>216</v>
      </c>
      <c r="J3537" s="3" t="s">
        <v>3779</v>
      </c>
      <c r="K3537" s="3" t="s">
        <v>216</v>
      </c>
    </row>
    <row r="3538" ht="15.6" spans="4:11">
      <c r="D3538" s="3">
        <v>9442</v>
      </c>
      <c r="E3538" s="3" t="s">
        <v>216</v>
      </c>
      <c r="J3538" s="3" t="s">
        <v>3780</v>
      </c>
      <c r="K3538" s="3" t="s">
        <v>216</v>
      </c>
    </row>
    <row r="3539" ht="15.6" spans="4:11">
      <c r="D3539" s="3">
        <v>9443</v>
      </c>
      <c r="E3539" s="3" t="s">
        <v>216</v>
      </c>
      <c r="J3539" s="3" t="s">
        <v>3781</v>
      </c>
      <c r="K3539" s="3" t="s">
        <v>216</v>
      </c>
    </row>
    <row r="3540" ht="15.6" spans="4:11">
      <c r="D3540" s="3">
        <v>9444</v>
      </c>
      <c r="E3540" s="3" t="s">
        <v>216</v>
      </c>
      <c r="J3540" s="3" t="s">
        <v>3782</v>
      </c>
      <c r="K3540" s="3" t="s">
        <v>216</v>
      </c>
    </row>
    <row r="3541" ht="15.6" spans="4:11">
      <c r="D3541" s="3">
        <v>9445</v>
      </c>
      <c r="E3541" s="3" t="s">
        <v>216</v>
      </c>
      <c r="J3541" s="3" t="s">
        <v>3783</v>
      </c>
      <c r="K3541" s="3" t="s">
        <v>216</v>
      </c>
    </row>
    <row r="3542" ht="15.6" spans="4:11">
      <c r="D3542" s="3">
        <v>9446</v>
      </c>
      <c r="E3542" s="3" t="s">
        <v>216</v>
      </c>
      <c r="J3542" s="3" t="s">
        <v>3784</v>
      </c>
      <c r="K3542" s="3" t="s">
        <v>216</v>
      </c>
    </row>
    <row r="3543" ht="15.6" spans="4:11">
      <c r="D3543" s="3">
        <v>9447</v>
      </c>
      <c r="E3543" s="3" t="s">
        <v>216</v>
      </c>
      <c r="J3543" s="3" t="s">
        <v>3785</v>
      </c>
      <c r="K3543" s="3" t="s">
        <v>216</v>
      </c>
    </row>
    <row r="3544" ht="15.6" spans="4:11">
      <c r="D3544" s="3">
        <v>9448</v>
      </c>
      <c r="E3544" s="3" t="s">
        <v>216</v>
      </c>
      <c r="J3544" s="3" t="s">
        <v>3786</v>
      </c>
      <c r="K3544" s="3" t="s">
        <v>216</v>
      </c>
    </row>
    <row r="3545" ht="15.6" spans="4:11">
      <c r="D3545" s="3">
        <v>9449</v>
      </c>
      <c r="E3545" s="3" t="s">
        <v>216</v>
      </c>
      <c r="J3545" s="3" t="s">
        <v>3787</v>
      </c>
      <c r="K3545" s="3" t="s">
        <v>216</v>
      </c>
    </row>
    <row r="3546" ht="15.6" spans="4:11">
      <c r="D3546" s="3">
        <v>9450</v>
      </c>
      <c r="E3546" s="3" t="s">
        <v>216</v>
      </c>
      <c r="J3546" s="3" t="s">
        <v>3788</v>
      </c>
      <c r="K3546" s="3" t="s">
        <v>216</v>
      </c>
    </row>
    <row r="3547" ht="15.6" spans="4:11">
      <c r="D3547" s="3">
        <v>9451</v>
      </c>
      <c r="E3547" s="3" t="s">
        <v>216</v>
      </c>
      <c r="J3547" s="3" t="s">
        <v>3789</v>
      </c>
      <c r="K3547" s="3" t="s">
        <v>216</v>
      </c>
    </row>
    <row r="3548" ht="15.6" spans="4:11">
      <c r="D3548" s="3">
        <v>9452</v>
      </c>
      <c r="E3548" s="3" t="s">
        <v>216</v>
      </c>
      <c r="J3548" s="3" t="s">
        <v>3790</v>
      </c>
      <c r="K3548" s="3" t="s">
        <v>216</v>
      </c>
    </row>
    <row r="3549" ht="15.6" spans="4:11">
      <c r="D3549" s="3">
        <v>9453</v>
      </c>
      <c r="E3549" s="3" t="s">
        <v>216</v>
      </c>
      <c r="J3549" s="3" t="s">
        <v>3791</v>
      </c>
      <c r="K3549" s="3" t="s">
        <v>216</v>
      </c>
    </row>
    <row r="3550" ht="15.6" spans="4:11">
      <c r="D3550" s="3">
        <v>9454</v>
      </c>
      <c r="E3550" s="3" t="s">
        <v>216</v>
      </c>
      <c r="J3550" s="3" t="s">
        <v>3792</v>
      </c>
      <c r="K3550" s="3" t="s">
        <v>216</v>
      </c>
    </row>
    <row r="3551" ht="15.6" spans="4:11">
      <c r="D3551" s="3">
        <v>9455</v>
      </c>
      <c r="E3551" s="3" t="s">
        <v>216</v>
      </c>
      <c r="J3551" s="3" t="s">
        <v>3793</v>
      </c>
      <c r="K3551" s="3" t="s">
        <v>216</v>
      </c>
    </row>
    <row r="3552" ht="15.6" spans="4:11">
      <c r="D3552" s="3">
        <v>9456</v>
      </c>
      <c r="E3552" s="3" t="s">
        <v>216</v>
      </c>
      <c r="J3552" s="3" t="s">
        <v>3794</v>
      </c>
      <c r="K3552" s="3" t="s">
        <v>216</v>
      </c>
    </row>
    <row r="3553" ht="15.6" spans="4:11">
      <c r="D3553" s="3">
        <v>9457</v>
      </c>
      <c r="E3553" s="3" t="s">
        <v>216</v>
      </c>
      <c r="J3553" s="3" t="s">
        <v>3795</v>
      </c>
      <c r="K3553" s="3" t="s">
        <v>216</v>
      </c>
    </row>
    <row r="3554" ht="15.6" spans="4:11">
      <c r="D3554" s="3">
        <v>9458</v>
      </c>
      <c r="E3554" s="3" t="s">
        <v>216</v>
      </c>
      <c r="J3554" s="3" t="s">
        <v>3796</v>
      </c>
      <c r="K3554" s="3" t="s">
        <v>216</v>
      </c>
    </row>
    <row r="3555" ht="15.6" spans="4:11">
      <c r="D3555" s="3">
        <v>9459</v>
      </c>
      <c r="E3555" s="3" t="s">
        <v>216</v>
      </c>
      <c r="J3555" s="3" t="s">
        <v>3797</v>
      </c>
      <c r="K3555" s="3" t="s">
        <v>216</v>
      </c>
    </row>
    <row r="3556" ht="15.6" spans="4:11">
      <c r="D3556" s="3">
        <v>9460</v>
      </c>
      <c r="E3556" s="3" t="s">
        <v>216</v>
      </c>
      <c r="J3556" s="3" t="s">
        <v>3798</v>
      </c>
      <c r="K3556" s="3" t="s">
        <v>216</v>
      </c>
    </row>
    <row r="3557" ht="15.6" spans="4:11">
      <c r="D3557" s="3">
        <v>9461</v>
      </c>
      <c r="E3557" s="3" t="s">
        <v>216</v>
      </c>
      <c r="J3557" s="3" t="s">
        <v>3799</v>
      </c>
      <c r="K3557" s="3" t="s">
        <v>216</v>
      </c>
    </row>
    <row r="3558" ht="15.6" spans="4:11">
      <c r="D3558" s="3">
        <v>9462</v>
      </c>
      <c r="E3558" s="3" t="s">
        <v>216</v>
      </c>
      <c r="J3558" s="3" t="s">
        <v>3800</v>
      </c>
      <c r="K3558" s="3" t="s">
        <v>216</v>
      </c>
    </row>
    <row r="3559" ht="15.6" spans="4:11">
      <c r="D3559" s="3">
        <v>9463</v>
      </c>
      <c r="E3559" s="3" t="s">
        <v>216</v>
      </c>
      <c r="J3559" s="3" t="s">
        <v>3801</v>
      </c>
      <c r="K3559" s="3" t="s">
        <v>216</v>
      </c>
    </row>
    <row r="3560" ht="15.6" spans="4:11">
      <c r="D3560" s="3">
        <v>9464</v>
      </c>
      <c r="E3560" s="3" t="s">
        <v>216</v>
      </c>
      <c r="J3560" s="3" t="s">
        <v>3802</v>
      </c>
      <c r="K3560" s="3" t="s">
        <v>216</v>
      </c>
    </row>
    <row r="3561" ht="15.6" spans="4:11">
      <c r="D3561" s="3">
        <v>9465</v>
      </c>
      <c r="E3561" s="3" t="s">
        <v>216</v>
      </c>
      <c r="J3561" s="3" t="s">
        <v>3803</v>
      </c>
      <c r="K3561" s="3" t="s">
        <v>216</v>
      </c>
    </row>
    <row r="3562" ht="15.6" spans="4:11">
      <c r="D3562" s="3">
        <v>9466</v>
      </c>
      <c r="E3562" s="3" t="s">
        <v>216</v>
      </c>
      <c r="J3562" s="3" t="s">
        <v>3804</v>
      </c>
      <c r="K3562" s="3" t="s">
        <v>216</v>
      </c>
    </row>
    <row r="3563" ht="15.6" spans="4:11">
      <c r="D3563" s="3">
        <v>9467</v>
      </c>
      <c r="E3563" s="3" t="s">
        <v>216</v>
      </c>
      <c r="J3563" s="3" t="s">
        <v>3805</v>
      </c>
      <c r="K3563" s="3" t="s">
        <v>216</v>
      </c>
    </row>
    <row r="3564" ht="15.6" spans="4:11">
      <c r="D3564" s="3">
        <v>9468</v>
      </c>
      <c r="E3564" s="3" t="s">
        <v>216</v>
      </c>
      <c r="J3564" s="3" t="s">
        <v>3806</v>
      </c>
      <c r="K3564" s="3" t="s">
        <v>216</v>
      </c>
    </row>
    <row r="3565" ht="15.6" spans="4:11">
      <c r="D3565" s="3">
        <v>9469</v>
      </c>
      <c r="E3565" s="3" t="s">
        <v>216</v>
      </c>
      <c r="J3565" s="3" t="s">
        <v>3807</v>
      </c>
      <c r="K3565" s="3" t="s">
        <v>216</v>
      </c>
    </row>
    <row r="3566" ht="15.6" spans="4:11">
      <c r="D3566" s="3">
        <v>9470</v>
      </c>
      <c r="E3566" s="3" t="s">
        <v>216</v>
      </c>
      <c r="J3566" s="3" t="s">
        <v>3808</v>
      </c>
      <c r="K3566" s="3" t="s">
        <v>216</v>
      </c>
    </row>
    <row r="3567" ht="15.6" spans="4:11">
      <c r="D3567" s="3">
        <v>9471</v>
      </c>
      <c r="E3567" s="3" t="s">
        <v>216</v>
      </c>
      <c r="J3567" s="3" t="s">
        <v>3809</v>
      </c>
      <c r="K3567" s="3" t="s">
        <v>216</v>
      </c>
    </row>
    <row r="3568" ht="15.6" spans="4:11">
      <c r="D3568" s="3">
        <v>9472</v>
      </c>
      <c r="E3568" s="3" t="s">
        <v>216</v>
      </c>
      <c r="J3568" s="3" t="s">
        <v>3810</v>
      </c>
      <c r="K3568" s="3" t="s">
        <v>216</v>
      </c>
    </row>
    <row r="3569" ht="15.6" spans="4:11">
      <c r="D3569" s="3">
        <v>9473</v>
      </c>
      <c r="E3569" s="3" t="s">
        <v>216</v>
      </c>
      <c r="J3569" s="3" t="s">
        <v>3811</v>
      </c>
      <c r="K3569" s="3" t="s">
        <v>216</v>
      </c>
    </row>
    <row r="3570" ht="15.6" spans="4:11">
      <c r="D3570" s="3">
        <v>9474</v>
      </c>
      <c r="E3570" s="3" t="s">
        <v>216</v>
      </c>
      <c r="J3570" s="3" t="s">
        <v>3812</v>
      </c>
      <c r="K3570" s="3" t="s">
        <v>216</v>
      </c>
    </row>
    <row r="3571" ht="15.6" spans="4:11">
      <c r="D3571" s="3">
        <v>9475</v>
      </c>
      <c r="E3571" s="3" t="s">
        <v>216</v>
      </c>
      <c r="J3571" s="3" t="s">
        <v>3813</v>
      </c>
      <c r="K3571" s="3" t="s">
        <v>216</v>
      </c>
    </row>
    <row r="3572" ht="15.6" spans="4:11">
      <c r="D3572" s="3">
        <v>9476</v>
      </c>
      <c r="E3572" s="3" t="s">
        <v>216</v>
      </c>
      <c r="J3572" s="3" t="s">
        <v>3814</v>
      </c>
      <c r="K3572" s="3" t="s">
        <v>216</v>
      </c>
    </row>
    <row r="3573" ht="15.6" spans="4:11">
      <c r="D3573" s="3">
        <v>9477</v>
      </c>
      <c r="E3573" s="3" t="s">
        <v>216</v>
      </c>
      <c r="J3573" s="3" t="s">
        <v>3815</v>
      </c>
      <c r="K3573" s="3" t="s">
        <v>216</v>
      </c>
    </row>
    <row r="3574" ht="15.6" spans="4:11">
      <c r="D3574" s="3">
        <v>9478</v>
      </c>
      <c r="E3574" s="3" t="s">
        <v>216</v>
      </c>
      <c r="J3574" s="3" t="s">
        <v>3816</v>
      </c>
      <c r="K3574" s="3" t="s">
        <v>216</v>
      </c>
    </row>
    <row r="3575" ht="15.6" spans="4:11">
      <c r="D3575" s="3">
        <v>9479</v>
      </c>
      <c r="E3575" s="3" t="s">
        <v>216</v>
      </c>
      <c r="J3575" s="3" t="s">
        <v>3817</v>
      </c>
      <c r="K3575" s="3" t="s">
        <v>216</v>
      </c>
    </row>
    <row r="3576" ht="15.6" spans="4:11">
      <c r="D3576" s="3">
        <v>9480</v>
      </c>
      <c r="E3576" s="3" t="s">
        <v>216</v>
      </c>
      <c r="J3576" s="3" t="s">
        <v>3818</v>
      </c>
      <c r="K3576" s="3" t="s">
        <v>216</v>
      </c>
    </row>
    <row r="3577" ht="15.6" spans="4:11">
      <c r="D3577" s="3">
        <v>9481</v>
      </c>
      <c r="E3577" s="3" t="s">
        <v>216</v>
      </c>
      <c r="J3577" s="3" t="s">
        <v>3819</v>
      </c>
      <c r="K3577" s="3" t="s">
        <v>216</v>
      </c>
    </row>
    <row r="3578" ht="15.6" spans="4:11">
      <c r="D3578" s="3">
        <v>9482</v>
      </c>
      <c r="E3578" s="3" t="s">
        <v>216</v>
      </c>
      <c r="J3578" s="3" t="s">
        <v>3820</v>
      </c>
      <c r="K3578" s="3" t="s">
        <v>216</v>
      </c>
    </row>
    <row r="3579" ht="15.6" spans="4:11">
      <c r="D3579" s="3">
        <v>9483</v>
      </c>
      <c r="E3579" s="3" t="s">
        <v>216</v>
      </c>
      <c r="J3579" s="3" t="s">
        <v>3821</v>
      </c>
      <c r="K3579" s="3" t="s">
        <v>216</v>
      </c>
    </row>
    <row r="3580" ht="15.6" spans="4:11">
      <c r="D3580" s="3">
        <v>9484</v>
      </c>
      <c r="E3580" s="3" t="s">
        <v>216</v>
      </c>
      <c r="J3580" s="3" t="s">
        <v>3822</v>
      </c>
      <c r="K3580" s="3" t="s">
        <v>216</v>
      </c>
    </row>
    <row r="3581" ht="15.6" spans="4:11">
      <c r="D3581" s="3">
        <v>9485</v>
      </c>
      <c r="E3581" s="3" t="s">
        <v>216</v>
      </c>
      <c r="J3581" s="3" t="s">
        <v>3823</v>
      </c>
      <c r="K3581" s="3" t="s">
        <v>216</v>
      </c>
    </row>
    <row r="3582" ht="15.6" spans="4:11">
      <c r="D3582" s="3">
        <v>9486</v>
      </c>
      <c r="E3582" s="3" t="s">
        <v>216</v>
      </c>
      <c r="J3582" s="3" t="s">
        <v>3824</v>
      </c>
      <c r="K3582" s="3" t="s">
        <v>216</v>
      </c>
    </row>
    <row r="3583" ht="15.6" spans="4:11">
      <c r="D3583" s="3">
        <v>9487</v>
      </c>
      <c r="E3583" s="3" t="s">
        <v>216</v>
      </c>
      <c r="J3583" s="3" t="s">
        <v>3825</v>
      </c>
      <c r="K3583" s="3" t="s">
        <v>216</v>
      </c>
    </row>
    <row r="3584" ht="15.6" spans="4:11">
      <c r="D3584" s="3">
        <v>9488</v>
      </c>
      <c r="E3584" s="3" t="s">
        <v>216</v>
      </c>
      <c r="J3584" s="3" t="s">
        <v>3826</v>
      </c>
      <c r="K3584" s="3" t="s">
        <v>216</v>
      </c>
    </row>
    <row r="3585" ht="15.6" spans="4:11">
      <c r="D3585" s="3">
        <v>9489</v>
      </c>
      <c r="E3585" s="3" t="s">
        <v>216</v>
      </c>
      <c r="J3585" s="3" t="s">
        <v>3827</v>
      </c>
      <c r="K3585" s="3" t="s">
        <v>216</v>
      </c>
    </row>
    <row r="3586" ht="15.6" spans="4:11">
      <c r="D3586" s="3">
        <v>9490</v>
      </c>
      <c r="E3586" s="3" t="s">
        <v>216</v>
      </c>
      <c r="J3586" s="3" t="s">
        <v>3828</v>
      </c>
      <c r="K3586" s="3" t="s">
        <v>216</v>
      </c>
    </row>
    <row r="3587" ht="15.6" spans="4:11">
      <c r="D3587" s="3">
        <v>9491</v>
      </c>
      <c r="E3587" s="3" t="s">
        <v>216</v>
      </c>
      <c r="J3587" s="3" t="s">
        <v>3829</v>
      </c>
      <c r="K3587" s="3" t="s">
        <v>216</v>
      </c>
    </row>
    <row r="3588" ht="15.6" spans="4:11">
      <c r="D3588" s="3">
        <v>9492</v>
      </c>
      <c r="E3588" s="3" t="s">
        <v>216</v>
      </c>
      <c r="J3588" s="3" t="s">
        <v>3830</v>
      </c>
      <c r="K3588" s="3" t="s">
        <v>216</v>
      </c>
    </row>
    <row r="3589" ht="15.6" spans="4:11">
      <c r="D3589" s="3">
        <v>9493</v>
      </c>
      <c r="E3589" s="3" t="s">
        <v>216</v>
      </c>
      <c r="J3589" s="3" t="s">
        <v>3831</v>
      </c>
      <c r="K3589" s="3" t="s">
        <v>216</v>
      </c>
    </row>
    <row r="3590" ht="15.6" spans="4:11">
      <c r="D3590" s="3">
        <v>9494</v>
      </c>
      <c r="E3590" s="3" t="s">
        <v>216</v>
      </c>
      <c r="J3590" s="3" t="s">
        <v>3832</v>
      </c>
      <c r="K3590" s="3" t="s">
        <v>216</v>
      </c>
    </row>
    <row r="3591" ht="15.6" spans="4:11">
      <c r="D3591" s="3">
        <v>9495</v>
      </c>
      <c r="E3591" s="3" t="s">
        <v>216</v>
      </c>
      <c r="J3591" s="3" t="s">
        <v>3833</v>
      </c>
      <c r="K3591" s="3" t="s">
        <v>216</v>
      </c>
    </row>
    <row r="3592" ht="15.6" spans="4:11">
      <c r="D3592" s="3">
        <v>9496</v>
      </c>
      <c r="E3592" s="3" t="s">
        <v>216</v>
      </c>
      <c r="J3592" s="3" t="s">
        <v>3834</v>
      </c>
      <c r="K3592" s="3" t="s">
        <v>216</v>
      </c>
    </row>
    <row r="3593" ht="15.6" spans="4:11">
      <c r="D3593" s="3">
        <v>9497</v>
      </c>
      <c r="E3593" s="3" t="s">
        <v>216</v>
      </c>
      <c r="J3593" s="3" t="s">
        <v>3835</v>
      </c>
      <c r="K3593" s="3" t="s">
        <v>216</v>
      </c>
    </row>
    <row r="3594" ht="15.6" spans="4:11">
      <c r="D3594" s="3">
        <v>9498</v>
      </c>
      <c r="E3594" s="3" t="s">
        <v>216</v>
      </c>
      <c r="J3594" s="3" t="s">
        <v>3836</v>
      </c>
      <c r="K3594" s="3" t="s">
        <v>216</v>
      </c>
    </row>
    <row r="3595" ht="15.6" spans="4:11">
      <c r="D3595" s="3">
        <v>9499</v>
      </c>
      <c r="E3595" s="3" t="s">
        <v>216</v>
      </c>
      <c r="J3595" s="3" t="s">
        <v>3837</v>
      </c>
      <c r="K3595" s="3" t="s">
        <v>216</v>
      </c>
    </row>
    <row r="3596" ht="15.6" spans="4:11">
      <c r="D3596" s="3">
        <v>9500</v>
      </c>
      <c r="E3596" s="3" t="s">
        <v>216</v>
      </c>
      <c r="J3596" s="3" t="s">
        <v>3838</v>
      </c>
      <c r="K3596" s="3" t="s">
        <v>216</v>
      </c>
    </row>
    <row r="3597" ht="15.6" spans="4:11">
      <c r="D3597" s="3">
        <v>9501</v>
      </c>
      <c r="E3597" s="3" t="s">
        <v>216</v>
      </c>
      <c r="J3597" s="3" t="s">
        <v>3839</v>
      </c>
      <c r="K3597" s="3" t="s">
        <v>216</v>
      </c>
    </row>
    <row r="3598" ht="15.6" spans="4:11">
      <c r="D3598" s="3">
        <v>9502</v>
      </c>
      <c r="E3598" s="3" t="s">
        <v>216</v>
      </c>
      <c r="J3598" s="3" t="s">
        <v>3840</v>
      </c>
      <c r="K3598" s="3" t="s">
        <v>216</v>
      </c>
    </row>
    <row r="3599" ht="15.6" spans="4:11">
      <c r="D3599" s="3">
        <v>9503</v>
      </c>
      <c r="E3599" s="3" t="s">
        <v>216</v>
      </c>
      <c r="J3599" s="3" t="s">
        <v>3841</v>
      </c>
      <c r="K3599" s="3" t="s">
        <v>216</v>
      </c>
    </row>
    <row r="3600" ht="15.6" spans="4:11">
      <c r="D3600" s="3">
        <v>9504</v>
      </c>
      <c r="E3600" s="3" t="s">
        <v>216</v>
      </c>
      <c r="J3600" s="3" t="s">
        <v>3842</v>
      </c>
      <c r="K3600" s="3" t="s">
        <v>216</v>
      </c>
    </row>
    <row r="3601" ht="15.6" spans="4:11">
      <c r="D3601" s="3">
        <v>9505</v>
      </c>
      <c r="E3601" s="3" t="s">
        <v>216</v>
      </c>
      <c r="J3601" s="3" t="s">
        <v>3843</v>
      </c>
      <c r="K3601" s="3" t="s">
        <v>216</v>
      </c>
    </row>
    <row r="3602" ht="15.6" spans="4:11">
      <c r="D3602" s="3">
        <v>9506</v>
      </c>
      <c r="E3602" s="3" t="s">
        <v>216</v>
      </c>
      <c r="J3602" s="3" t="s">
        <v>3844</v>
      </c>
      <c r="K3602" s="3" t="s">
        <v>216</v>
      </c>
    </row>
    <row r="3603" ht="15.6" spans="4:11">
      <c r="D3603" s="3">
        <v>9507</v>
      </c>
      <c r="E3603" s="3" t="s">
        <v>216</v>
      </c>
      <c r="J3603" s="3" t="s">
        <v>3845</v>
      </c>
      <c r="K3603" s="3" t="s">
        <v>216</v>
      </c>
    </row>
    <row r="3604" ht="15.6" spans="4:11">
      <c r="D3604" s="3">
        <v>9508</v>
      </c>
      <c r="E3604" s="3" t="s">
        <v>216</v>
      </c>
      <c r="J3604" s="3" t="s">
        <v>3846</v>
      </c>
      <c r="K3604" s="3" t="s">
        <v>216</v>
      </c>
    </row>
    <row r="3605" ht="15.6" spans="4:11">
      <c r="D3605" s="3">
        <v>9509</v>
      </c>
      <c r="E3605" s="3" t="s">
        <v>216</v>
      </c>
      <c r="J3605" s="3" t="s">
        <v>3847</v>
      </c>
      <c r="K3605" s="3" t="s">
        <v>216</v>
      </c>
    </row>
    <row r="3606" ht="15.6" spans="4:11">
      <c r="D3606" s="3">
        <v>9510</v>
      </c>
      <c r="E3606" s="3" t="s">
        <v>216</v>
      </c>
      <c r="J3606" s="3" t="s">
        <v>3848</v>
      </c>
      <c r="K3606" s="3" t="s">
        <v>216</v>
      </c>
    </row>
    <row r="3607" ht="15.6" spans="4:11">
      <c r="D3607" s="3">
        <v>9511</v>
      </c>
      <c r="E3607" s="3" t="s">
        <v>216</v>
      </c>
      <c r="J3607" s="3" t="s">
        <v>3849</v>
      </c>
      <c r="K3607" s="3" t="s">
        <v>216</v>
      </c>
    </row>
    <row r="3608" ht="15.6" spans="4:11">
      <c r="D3608" s="3">
        <v>9512</v>
      </c>
      <c r="E3608" s="3" t="s">
        <v>216</v>
      </c>
      <c r="J3608" s="3" t="s">
        <v>3850</v>
      </c>
      <c r="K3608" s="3" t="s">
        <v>216</v>
      </c>
    </row>
    <row r="3609" ht="15.6" spans="4:11">
      <c r="D3609" s="3">
        <v>9513</v>
      </c>
      <c r="E3609" s="3" t="s">
        <v>216</v>
      </c>
      <c r="J3609" s="3" t="s">
        <v>3851</v>
      </c>
      <c r="K3609" s="3" t="s">
        <v>216</v>
      </c>
    </row>
    <row r="3610" ht="15.6" spans="4:11">
      <c r="D3610" s="3">
        <v>9514</v>
      </c>
      <c r="E3610" s="3" t="s">
        <v>216</v>
      </c>
      <c r="J3610" s="3" t="s">
        <v>3852</v>
      </c>
      <c r="K3610" s="3" t="s">
        <v>216</v>
      </c>
    </row>
    <row r="3611" ht="15.6" spans="4:11">
      <c r="D3611" s="3">
        <v>9515</v>
      </c>
      <c r="E3611" s="3" t="s">
        <v>216</v>
      </c>
      <c r="J3611" s="3" t="s">
        <v>3853</v>
      </c>
      <c r="K3611" s="3" t="s">
        <v>216</v>
      </c>
    </row>
    <row r="3612" ht="15.6" spans="4:11">
      <c r="D3612" s="3">
        <v>9516</v>
      </c>
      <c r="E3612" s="3" t="s">
        <v>216</v>
      </c>
      <c r="J3612" s="3" t="s">
        <v>3854</v>
      </c>
      <c r="K3612" s="3" t="s">
        <v>216</v>
      </c>
    </row>
    <row r="3613" ht="15.6" spans="4:11">
      <c r="D3613" s="3">
        <v>9517</v>
      </c>
      <c r="E3613" s="3" t="s">
        <v>216</v>
      </c>
      <c r="J3613" s="3" t="s">
        <v>3855</v>
      </c>
      <c r="K3613" s="3" t="s">
        <v>216</v>
      </c>
    </row>
    <row r="3614" ht="15.6" spans="4:11">
      <c r="D3614" s="3">
        <v>9518</v>
      </c>
      <c r="E3614" s="3" t="s">
        <v>216</v>
      </c>
      <c r="J3614" s="3" t="s">
        <v>3856</v>
      </c>
      <c r="K3614" s="3" t="s">
        <v>216</v>
      </c>
    </row>
    <row r="3615" ht="15.6" spans="4:11">
      <c r="D3615" s="3">
        <v>9519</v>
      </c>
      <c r="E3615" s="3" t="s">
        <v>216</v>
      </c>
      <c r="J3615" s="3" t="s">
        <v>3857</v>
      </c>
      <c r="K3615" s="3" t="s">
        <v>216</v>
      </c>
    </row>
    <row r="3616" ht="15.6" spans="4:11">
      <c r="D3616" s="3">
        <v>9520</v>
      </c>
      <c r="E3616" s="3" t="s">
        <v>216</v>
      </c>
      <c r="J3616" s="3" t="s">
        <v>3858</v>
      </c>
      <c r="K3616" s="3" t="s">
        <v>216</v>
      </c>
    </row>
    <row r="3617" ht="15.6" spans="4:11">
      <c r="D3617" s="3">
        <v>9521</v>
      </c>
      <c r="E3617" s="3" t="s">
        <v>216</v>
      </c>
      <c r="J3617" s="3" t="s">
        <v>3859</v>
      </c>
      <c r="K3617" s="3" t="s">
        <v>216</v>
      </c>
    </row>
    <row r="3618" ht="15.6" spans="4:11">
      <c r="D3618" s="3">
        <v>9522</v>
      </c>
      <c r="E3618" s="3" t="s">
        <v>216</v>
      </c>
      <c r="J3618" s="3" t="s">
        <v>3860</v>
      </c>
      <c r="K3618" s="3" t="s">
        <v>216</v>
      </c>
    </row>
    <row r="3619" ht="15.6" spans="4:11">
      <c r="D3619" s="3">
        <v>9523</v>
      </c>
      <c r="E3619" s="3" t="s">
        <v>216</v>
      </c>
      <c r="J3619" s="3" t="s">
        <v>3861</v>
      </c>
      <c r="K3619" s="3" t="s">
        <v>216</v>
      </c>
    </row>
    <row r="3620" ht="15.6" spans="4:11">
      <c r="D3620" s="3">
        <v>9524</v>
      </c>
      <c r="E3620" s="3" t="s">
        <v>216</v>
      </c>
      <c r="J3620" s="3" t="s">
        <v>3862</v>
      </c>
      <c r="K3620" s="3" t="s">
        <v>216</v>
      </c>
    </row>
    <row r="3621" ht="15.6" spans="4:11">
      <c r="D3621" s="3">
        <v>9525</v>
      </c>
      <c r="E3621" s="3" t="s">
        <v>216</v>
      </c>
      <c r="J3621" s="3" t="s">
        <v>3863</v>
      </c>
      <c r="K3621" s="3" t="s">
        <v>216</v>
      </c>
    </row>
    <row r="3622" ht="15.6" spans="4:11">
      <c r="D3622" s="3">
        <v>9526</v>
      </c>
      <c r="E3622" s="3" t="s">
        <v>216</v>
      </c>
      <c r="J3622" s="3" t="s">
        <v>3864</v>
      </c>
      <c r="K3622" s="3" t="s">
        <v>216</v>
      </c>
    </row>
    <row r="3623" ht="15.6" spans="4:11">
      <c r="D3623" s="3">
        <v>9527</v>
      </c>
      <c r="E3623" s="3" t="s">
        <v>216</v>
      </c>
      <c r="J3623" s="3" t="s">
        <v>3865</v>
      </c>
      <c r="K3623" s="3" t="s">
        <v>216</v>
      </c>
    </row>
    <row r="3624" ht="15.6" spans="4:11">
      <c r="D3624" s="3">
        <v>9528</v>
      </c>
      <c r="E3624" s="3" t="s">
        <v>216</v>
      </c>
      <c r="J3624" s="3" t="s">
        <v>3866</v>
      </c>
      <c r="K3624" s="3" t="s">
        <v>216</v>
      </c>
    </row>
    <row r="3625" ht="15.6" spans="4:11">
      <c r="D3625" s="3">
        <v>9529</v>
      </c>
      <c r="E3625" s="3" t="s">
        <v>216</v>
      </c>
      <c r="J3625" s="3" t="s">
        <v>3867</v>
      </c>
      <c r="K3625" s="3" t="s">
        <v>216</v>
      </c>
    </row>
    <row r="3626" ht="15.6" spans="4:11">
      <c r="D3626" s="3">
        <v>9530</v>
      </c>
      <c r="E3626" s="3" t="s">
        <v>216</v>
      </c>
      <c r="J3626" s="3" t="s">
        <v>3868</v>
      </c>
      <c r="K3626" s="3" t="s">
        <v>216</v>
      </c>
    </row>
    <row r="3627" ht="15.6" spans="4:11">
      <c r="D3627" s="3">
        <v>9531</v>
      </c>
      <c r="E3627" s="3" t="s">
        <v>216</v>
      </c>
      <c r="J3627" s="3" t="s">
        <v>3869</v>
      </c>
      <c r="K3627" s="3" t="s">
        <v>216</v>
      </c>
    </row>
    <row r="3628" ht="15.6" spans="4:11">
      <c r="D3628" s="3">
        <v>9532</v>
      </c>
      <c r="E3628" s="3" t="s">
        <v>216</v>
      </c>
      <c r="J3628" s="3" t="s">
        <v>3870</v>
      </c>
      <c r="K3628" s="3" t="s">
        <v>216</v>
      </c>
    </row>
    <row r="3629" ht="15.6" spans="4:11">
      <c r="D3629" s="3">
        <v>9533</v>
      </c>
      <c r="E3629" s="3" t="s">
        <v>216</v>
      </c>
      <c r="J3629" s="3" t="s">
        <v>3871</v>
      </c>
      <c r="K3629" s="3" t="s">
        <v>216</v>
      </c>
    </row>
    <row r="3630" ht="15.6" spans="4:11">
      <c r="D3630" s="3">
        <v>9534</v>
      </c>
      <c r="E3630" s="3" t="s">
        <v>216</v>
      </c>
      <c r="J3630" s="3" t="s">
        <v>3872</v>
      </c>
      <c r="K3630" s="3" t="s">
        <v>216</v>
      </c>
    </row>
    <row r="3631" ht="15.6" spans="4:11">
      <c r="D3631" s="3">
        <v>9535</v>
      </c>
      <c r="E3631" s="3" t="s">
        <v>216</v>
      </c>
      <c r="J3631" s="3" t="s">
        <v>3873</v>
      </c>
      <c r="K3631" s="3" t="s">
        <v>216</v>
      </c>
    </row>
    <row r="3632" ht="15.6" spans="4:11">
      <c r="D3632" s="3">
        <v>9536</v>
      </c>
      <c r="E3632" s="3" t="s">
        <v>216</v>
      </c>
      <c r="J3632" s="3" t="s">
        <v>3874</v>
      </c>
      <c r="K3632" s="3" t="s">
        <v>216</v>
      </c>
    </row>
    <row r="3633" ht="15.6" spans="4:11">
      <c r="D3633" s="3">
        <v>9537</v>
      </c>
      <c r="E3633" s="3" t="s">
        <v>216</v>
      </c>
      <c r="J3633" s="3" t="s">
        <v>3875</v>
      </c>
      <c r="K3633" s="3" t="s">
        <v>216</v>
      </c>
    </row>
    <row r="3634" ht="15.6" spans="4:11">
      <c r="D3634" s="3">
        <v>9538</v>
      </c>
      <c r="E3634" s="3" t="s">
        <v>216</v>
      </c>
      <c r="J3634" s="3" t="s">
        <v>3876</v>
      </c>
      <c r="K3634" s="3" t="s">
        <v>216</v>
      </c>
    </row>
    <row r="3635" ht="15.6" spans="4:11">
      <c r="D3635" s="3">
        <v>9539</v>
      </c>
      <c r="E3635" s="3" t="s">
        <v>216</v>
      </c>
      <c r="J3635" s="3" t="s">
        <v>3877</v>
      </c>
      <c r="K3635" s="3" t="s">
        <v>216</v>
      </c>
    </row>
    <row r="3636" ht="15.6" spans="4:11">
      <c r="D3636" s="3">
        <v>9540</v>
      </c>
      <c r="E3636" s="3" t="s">
        <v>216</v>
      </c>
      <c r="J3636" s="3" t="s">
        <v>3878</v>
      </c>
      <c r="K3636" s="3" t="s">
        <v>216</v>
      </c>
    </row>
    <row r="3637" ht="15.6" spans="4:11">
      <c r="D3637" s="3">
        <v>9541</v>
      </c>
      <c r="E3637" s="3" t="s">
        <v>216</v>
      </c>
      <c r="J3637" s="3" t="s">
        <v>3879</v>
      </c>
      <c r="K3637" s="3" t="s">
        <v>216</v>
      </c>
    </row>
    <row r="3638" ht="15.6" spans="4:11">
      <c r="D3638" s="3">
        <v>9542</v>
      </c>
      <c r="E3638" s="3" t="s">
        <v>216</v>
      </c>
      <c r="J3638" s="3" t="s">
        <v>3880</v>
      </c>
      <c r="K3638" s="3" t="s">
        <v>216</v>
      </c>
    </row>
    <row r="3639" ht="15.6" spans="4:11">
      <c r="D3639" s="3">
        <v>9543</v>
      </c>
      <c r="E3639" s="3" t="s">
        <v>216</v>
      </c>
      <c r="J3639" s="3" t="s">
        <v>3881</v>
      </c>
      <c r="K3639" s="3" t="s">
        <v>216</v>
      </c>
    </row>
    <row r="3640" ht="15.6" spans="4:11">
      <c r="D3640" s="3">
        <v>9544</v>
      </c>
      <c r="E3640" s="3" t="s">
        <v>216</v>
      </c>
      <c r="J3640" s="3" t="s">
        <v>3882</v>
      </c>
      <c r="K3640" s="3" t="s">
        <v>216</v>
      </c>
    </row>
    <row r="3641" ht="15.6" spans="4:11">
      <c r="D3641" s="3">
        <v>9545</v>
      </c>
      <c r="E3641" s="3" t="s">
        <v>216</v>
      </c>
      <c r="J3641" s="3" t="s">
        <v>3883</v>
      </c>
      <c r="K3641" s="3" t="s">
        <v>216</v>
      </c>
    </row>
    <row r="3642" ht="15.6" spans="4:11">
      <c r="D3642" s="3">
        <v>9546</v>
      </c>
      <c r="E3642" s="3" t="s">
        <v>216</v>
      </c>
      <c r="J3642" s="3" t="s">
        <v>3884</v>
      </c>
      <c r="K3642" s="3" t="s">
        <v>216</v>
      </c>
    </row>
    <row r="3643" ht="15.6" spans="4:11">
      <c r="D3643" s="3">
        <v>9547</v>
      </c>
      <c r="E3643" s="3" t="s">
        <v>216</v>
      </c>
      <c r="J3643" s="3" t="s">
        <v>3885</v>
      </c>
      <c r="K3643" s="3" t="s">
        <v>216</v>
      </c>
    </row>
    <row r="3644" ht="15.6" spans="4:11">
      <c r="D3644" s="3">
        <v>9548</v>
      </c>
      <c r="E3644" s="3" t="s">
        <v>216</v>
      </c>
      <c r="J3644" s="3" t="s">
        <v>3886</v>
      </c>
      <c r="K3644" s="3" t="s">
        <v>216</v>
      </c>
    </row>
    <row r="3645" ht="15.6" spans="4:11">
      <c r="D3645" s="3">
        <v>9549</v>
      </c>
      <c r="E3645" s="3" t="s">
        <v>216</v>
      </c>
      <c r="J3645" s="3" t="s">
        <v>3887</v>
      </c>
      <c r="K3645" s="3" t="s">
        <v>216</v>
      </c>
    </row>
    <row r="3646" ht="15.6" spans="4:11">
      <c r="D3646" s="3">
        <v>9550</v>
      </c>
      <c r="E3646" s="3" t="s">
        <v>216</v>
      </c>
      <c r="J3646" s="3" t="s">
        <v>3888</v>
      </c>
      <c r="K3646" s="3" t="s">
        <v>216</v>
      </c>
    </row>
    <row r="3647" ht="15.6" spans="4:11">
      <c r="D3647" s="3">
        <v>9551</v>
      </c>
      <c r="E3647" s="3" t="s">
        <v>216</v>
      </c>
      <c r="J3647" s="3" t="s">
        <v>3889</v>
      </c>
      <c r="K3647" s="3" t="s">
        <v>216</v>
      </c>
    </row>
    <row r="3648" ht="15.6" spans="4:11">
      <c r="D3648" s="3">
        <v>9552</v>
      </c>
      <c r="E3648" s="3" t="s">
        <v>216</v>
      </c>
      <c r="J3648" s="3" t="s">
        <v>3890</v>
      </c>
      <c r="K3648" s="3" t="s">
        <v>216</v>
      </c>
    </row>
    <row r="3649" ht="15.6" spans="4:11">
      <c r="D3649" s="3">
        <v>9553</v>
      </c>
      <c r="E3649" s="3" t="s">
        <v>216</v>
      </c>
      <c r="J3649" s="3" t="s">
        <v>3891</v>
      </c>
      <c r="K3649" s="3" t="s">
        <v>216</v>
      </c>
    </row>
    <row r="3650" ht="15.6" spans="4:11">
      <c r="D3650" s="3">
        <v>9554</v>
      </c>
      <c r="E3650" s="3" t="s">
        <v>216</v>
      </c>
      <c r="J3650" s="3" t="s">
        <v>3892</v>
      </c>
      <c r="K3650" s="3" t="s">
        <v>216</v>
      </c>
    </row>
    <row r="3651" ht="15.6" spans="4:11">
      <c r="D3651" s="3">
        <v>9555</v>
      </c>
      <c r="E3651" s="3" t="s">
        <v>216</v>
      </c>
      <c r="J3651" s="3" t="s">
        <v>3893</v>
      </c>
      <c r="K3651" s="3" t="s">
        <v>216</v>
      </c>
    </row>
    <row r="3652" ht="15.6" spans="4:11">
      <c r="D3652" s="3">
        <v>9556</v>
      </c>
      <c r="E3652" s="3" t="s">
        <v>216</v>
      </c>
      <c r="J3652" s="3" t="s">
        <v>3894</v>
      </c>
      <c r="K3652" s="3" t="s">
        <v>216</v>
      </c>
    </row>
    <row r="3653" ht="15.6" spans="4:11">
      <c r="D3653" s="3">
        <v>9557</v>
      </c>
      <c r="E3653" s="3" t="s">
        <v>216</v>
      </c>
      <c r="J3653" s="3" t="s">
        <v>3895</v>
      </c>
      <c r="K3653" s="3" t="s">
        <v>216</v>
      </c>
    </row>
    <row r="3654" ht="15.6" spans="4:11">
      <c r="D3654" s="3">
        <v>9558</v>
      </c>
      <c r="E3654" s="3" t="s">
        <v>216</v>
      </c>
      <c r="J3654" s="3" t="s">
        <v>3896</v>
      </c>
      <c r="K3654" s="3" t="s">
        <v>216</v>
      </c>
    </row>
    <row r="3655" ht="15.6" spans="4:11">
      <c r="D3655" s="3">
        <v>9559</v>
      </c>
      <c r="E3655" s="3" t="s">
        <v>216</v>
      </c>
      <c r="J3655" s="3" t="s">
        <v>3897</v>
      </c>
      <c r="K3655" s="3" t="s">
        <v>216</v>
      </c>
    </row>
    <row r="3656" ht="15.6" spans="4:11">
      <c r="D3656" s="3">
        <v>9560</v>
      </c>
      <c r="E3656" s="3" t="s">
        <v>216</v>
      </c>
      <c r="J3656" s="3" t="s">
        <v>3898</v>
      </c>
      <c r="K3656" s="3" t="s">
        <v>216</v>
      </c>
    </row>
    <row r="3657" ht="15.6" spans="4:11">
      <c r="D3657" s="3">
        <v>9561</v>
      </c>
      <c r="E3657" s="3" t="s">
        <v>216</v>
      </c>
      <c r="J3657" s="3" t="s">
        <v>3899</v>
      </c>
      <c r="K3657" s="3" t="s">
        <v>216</v>
      </c>
    </row>
    <row r="3658" ht="15.6" spans="4:11">
      <c r="D3658" s="3">
        <v>9562</v>
      </c>
      <c r="E3658" s="3" t="s">
        <v>216</v>
      </c>
      <c r="J3658" s="3" t="s">
        <v>3900</v>
      </c>
      <c r="K3658" s="3" t="s">
        <v>216</v>
      </c>
    </row>
    <row r="3659" ht="15.6" spans="4:11">
      <c r="D3659" s="3">
        <v>9563</v>
      </c>
      <c r="E3659" s="3" t="s">
        <v>216</v>
      </c>
      <c r="J3659" s="3" t="s">
        <v>3901</v>
      </c>
      <c r="K3659" s="3" t="s">
        <v>216</v>
      </c>
    </row>
    <row r="3660" ht="15.6" spans="4:11">
      <c r="D3660" s="3">
        <v>9564</v>
      </c>
      <c r="E3660" s="3" t="s">
        <v>216</v>
      </c>
      <c r="J3660" s="3" t="s">
        <v>3902</v>
      </c>
      <c r="K3660" s="3" t="s">
        <v>216</v>
      </c>
    </row>
    <row r="3661" ht="15.6" spans="4:11">
      <c r="D3661" s="3">
        <v>9565</v>
      </c>
      <c r="E3661" s="3" t="s">
        <v>216</v>
      </c>
      <c r="J3661" s="3" t="s">
        <v>3903</v>
      </c>
      <c r="K3661" s="3" t="s">
        <v>216</v>
      </c>
    </row>
    <row r="3662" ht="15.6" spans="4:11">
      <c r="D3662" s="3">
        <v>9566</v>
      </c>
      <c r="E3662" s="3" t="s">
        <v>216</v>
      </c>
      <c r="J3662" s="3" t="s">
        <v>3904</v>
      </c>
      <c r="K3662" s="3" t="s">
        <v>216</v>
      </c>
    </row>
    <row r="3663" ht="15.6" spans="4:11">
      <c r="D3663" s="3">
        <v>9567</v>
      </c>
      <c r="E3663" s="3" t="s">
        <v>216</v>
      </c>
      <c r="J3663" s="3" t="s">
        <v>3905</v>
      </c>
      <c r="K3663" s="3" t="s">
        <v>216</v>
      </c>
    </row>
    <row r="3664" ht="15.6" spans="4:11">
      <c r="D3664" s="3">
        <v>9568</v>
      </c>
      <c r="E3664" s="3" t="s">
        <v>216</v>
      </c>
      <c r="J3664" s="3" t="s">
        <v>3906</v>
      </c>
      <c r="K3664" s="3" t="s">
        <v>216</v>
      </c>
    </row>
    <row r="3665" ht="15.6" spans="4:11">
      <c r="D3665" s="3">
        <v>9569</v>
      </c>
      <c r="E3665" s="3" t="s">
        <v>216</v>
      </c>
      <c r="J3665" s="3" t="s">
        <v>3907</v>
      </c>
      <c r="K3665" s="3" t="s">
        <v>216</v>
      </c>
    </row>
    <row r="3666" ht="15.6" spans="4:11">
      <c r="D3666" s="3">
        <v>9570</v>
      </c>
      <c r="E3666" s="3" t="s">
        <v>216</v>
      </c>
      <c r="J3666" s="3" t="s">
        <v>3908</v>
      </c>
      <c r="K3666" s="3" t="s">
        <v>216</v>
      </c>
    </row>
    <row r="3667" ht="15.6" spans="4:11">
      <c r="D3667" s="3">
        <v>9571</v>
      </c>
      <c r="E3667" s="3" t="s">
        <v>216</v>
      </c>
      <c r="J3667" s="3" t="s">
        <v>3909</v>
      </c>
      <c r="K3667" s="3" t="s">
        <v>216</v>
      </c>
    </row>
    <row r="3668" ht="15.6" spans="4:11">
      <c r="D3668" s="3">
        <v>9572</v>
      </c>
      <c r="E3668" s="3" t="s">
        <v>216</v>
      </c>
      <c r="J3668" s="3" t="s">
        <v>3910</v>
      </c>
      <c r="K3668" s="3" t="s">
        <v>216</v>
      </c>
    </row>
    <row r="3669" ht="15.6" spans="4:11">
      <c r="D3669" s="3">
        <v>9573</v>
      </c>
      <c r="E3669" s="3" t="s">
        <v>216</v>
      </c>
      <c r="J3669" s="3" t="s">
        <v>3911</v>
      </c>
      <c r="K3669" s="3" t="s">
        <v>216</v>
      </c>
    </row>
    <row r="3670" ht="15.6" spans="4:11">
      <c r="D3670" s="3">
        <v>9574</v>
      </c>
      <c r="E3670" s="3" t="s">
        <v>216</v>
      </c>
      <c r="J3670" s="3" t="s">
        <v>3912</v>
      </c>
      <c r="K3670" s="3" t="s">
        <v>216</v>
      </c>
    </row>
    <row r="3671" ht="15.6" spans="4:11">
      <c r="D3671" s="3">
        <v>9575</v>
      </c>
      <c r="E3671" s="3" t="s">
        <v>216</v>
      </c>
      <c r="J3671" s="3" t="s">
        <v>3913</v>
      </c>
      <c r="K3671" s="3" t="s">
        <v>216</v>
      </c>
    </row>
    <row r="3672" ht="15.6" spans="4:11">
      <c r="D3672" s="3">
        <v>9576</v>
      </c>
      <c r="E3672" s="3" t="s">
        <v>216</v>
      </c>
      <c r="J3672" s="3" t="s">
        <v>3914</v>
      </c>
      <c r="K3672" s="3" t="s">
        <v>216</v>
      </c>
    </row>
    <row r="3673" ht="15.6" spans="4:11">
      <c r="D3673" s="3">
        <v>9577</v>
      </c>
      <c r="E3673" s="3" t="s">
        <v>216</v>
      </c>
      <c r="J3673" s="3" t="s">
        <v>3915</v>
      </c>
      <c r="K3673" s="3" t="s">
        <v>216</v>
      </c>
    </row>
    <row r="3674" ht="15.6" spans="4:11">
      <c r="D3674" s="3">
        <v>9578</v>
      </c>
      <c r="E3674" s="3" t="s">
        <v>216</v>
      </c>
      <c r="J3674" s="3" t="s">
        <v>3916</v>
      </c>
      <c r="K3674" s="3" t="s">
        <v>216</v>
      </c>
    </row>
    <row r="3675" ht="15.6" spans="4:11">
      <c r="D3675" s="3">
        <v>9579</v>
      </c>
      <c r="E3675" s="3" t="s">
        <v>216</v>
      </c>
      <c r="J3675" s="3" t="s">
        <v>3917</v>
      </c>
      <c r="K3675" s="3" t="s">
        <v>216</v>
      </c>
    </row>
    <row r="3676" ht="15.6" spans="4:11">
      <c r="D3676" s="3">
        <v>9580</v>
      </c>
      <c r="E3676" s="3" t="s">
        <v>216</v>
      </c>
      <c r="J3676" s="3" t="s">
        <v>3918</v>
      </c>
      <c r="K3676" s="3" t="s">
        <v>216</v>
      </c>
    </row>
    <row r="3677" ht="15.6" spans="4:11">
      <c r="D3677" s="3">
        <v>9581</v>
      </c>
      <c r="E3677" s="3" t="s">
        <v>216</v>
      </c>
      <c r="J3677" s="3" t="s">
        <v>3919</v>
      </c>
      <c r="K3677" s="3" t="s">
        <v>216</v>
      </c>
    </row>
    <row r="3678" ht="15.6" spans="4:11">
      <c r="D3678" s="3">
        <v>9582</v>
      </c>
      <c r="E3678" s="3" t="s">
        <v>216</v>
      </c>
      <c r="J3678" s="3" t="s">
        <v>3920</v>
      </c>
      <c r="K3678" s="3" t="s">
        <v>216</v>
      </c>
    </row>
    <row r="3679" ht="15.6" spans="4:11">
      <c r="D3679" s="3">
        <v>9583</v>
      </c>
      <c r="E3679" s="3" t="s">
        <v>216</v>
      </c>
      <c r="J3679" s="3" t="s">
        <v>3921</v>
      </c>
      <c r="K3679" s="3" t="s">
        <v>216</v>
      </c>
    </row>
    <row r="3680" ht="15.6" spans="4:11">
      <c r="D3680" s="3">
        <v>9584</v>
      </c>
      <c r="E3680" s="3" t="s">
        <v>216</v>
      </c>
      <c r="J3680" s="3" t="s">
        <v>3922</v>
      </c>
      <c r="K3680" s="3" t="s">
        <v>216</v>
      </c>
    </row>
    <row r="3681" ht="15.6" spans="4:11">
      <c r="D3681" s="3">
        <v>9585</v>
      </c>
      <c r="E3681" s="3" t="s">
        <v>216</v>
      </c>
      <c r="J3681" s="3" t="s">
        <v>3923</v>
      </c>
      <c r="K3681" s="3" t="s">
        <v>216</v>
      </c>
    </row>
    <row r="3682" ht="15.6" spans="4:11">
      <c r="D3682" s="3">
        <v>9586</v>
      </c>
      <c r="E3682" s="3" t="s">
        <v>216</v>
      </c>
      <c r="J3682" s="3" t="s">
        <v>3924</v>
      </c>
      <c r="K3682" s="3" t="s">
        <v>216</v>
      </c>
    </row>
    <row r="3683" ht="15.6" spans="4:11">
      <c r="D3683" s="3">
        <v>9587</v>
      </c>
      <c r="E3683" s="3" t="s">
        <v>216</v>
      </c>
      <c r="J3683" s="3" t="s">
        <v>3925</v>
      </c>
      <c r="K3683" s="3" t="s">
        <v>216</v>
      </c>
    </row>
    <row r="3684" ht="15.6" spans="4:11">
      <c r="D3684" s="3">
        <v>9588</v>
      </c>
      <c r="E3684" s="3" t="s">
        <v>216</v>
      </c>
      <c r="J3684" s="3" t="s">
        <v>3926</v>
      </c>
      <c r="K3684" s="3" t="s">
        <v>216</v>
      </c>
    </row>
    <row r="3685" ht="15.6" spans="4:11">
      <c r="D3685" s="3">
        <v>9589</v>
      </c>
      <c r="E3685" s="3" t="s">
        <v>216</v>
      </c>
      <c r="J3685" s="3" t="s">
        <v>3927</v>
      </c>
      <c r="K3685" s="3" t="s">
        <v>216</v>
      </c>
    </row>
    <row r="3686" ht="15.6" spans="4:11">
      <c r="D3686" s="3">
        <v>9590</v>
      </c>
      <c r="E3686" s="3" t="s">
        <v>216</v>
      </c>
      <c r="J3686" s="3" t="s">
        <v>3928</v>
      </c>
      <c r="K3686" s="3" t="s">
        <v>216</v>
      </c>
    </row>
    <row r="3687" ht="15.6" spans="4:11">
      <c r="D3687" s="3">
        <v>9591</v>
      </c>
      <c r="E3687" s="3" t="s">
        <v>216</v>
      </c>
      <c r="J3687" s="3" t="s">
        <v>3929</v>
      </c>
      <c r="K3687" s="3" t="s">
        <v>216</v>
      </c>
    </row>
    <row r="3688" ht="15.6" spans="4:11">
      <c r="D3688" s="3">
        <v>9592</v>
      </c>
      <c r="E3688" s="3" t="s">
        <v>216</v>
      </c>
      <c r="J3688" s="3" t="s">
        <v>3930</v>
      </c>
      <c r="K3688" s="3" t="s">
        <v>216</v>
      </c>
    </row>
    <row r="3689" ht="15.6" spans="4:11">
      <c r="D3689" s="3">
        <v>9593</v>
      </c>
      <c r="E3689" s="3" t="s">
        <v>216</v>
      </c>
      <c r="J3689" s="3" t="s">
        <v>3931</v>
      </c>
      <c r="K3689" s="3" t="s">
        <v>216</v>
      </c>
    </row>
    <row r="3690" ht="15.6" spans="4:11">
      <c r="D3690" s="3">
        <v>9594</v>
      </c>
      <c r="E3690" s="3" t="s">
        <v>216</v>
      </c>
      <c r="J3690" s="3" t="s">
        <v>3932</v>
      </c>
      <c r="K3690" s="3" t="s">
        <v>216</v>
      </c>
    </row>
    <row r="3691" ht="15.6" spans="4:11">
      <c r="D3691" s="3">
        <v>9595</v>
      </c>
      <c r="E3691" s="3" t="s">
        <v>216</v>
      </c>
      <c r="J3691" s="3" t="s">
        <v>3933</v>
      </c>
      <c r="K3691" s="3" t="s">
        <v>216</v>
      </c>
    </row>
    <row r="3692" ht="15.6" spans="4:11">
      <c r="D3692" s="3">
        <v>9596</v>
      </c>
      <c r="E3692" s="3" t="s">
        <v>216</v>
      </c>
      <c r="J3692" s="3" t="s">
        <v>3934</v>
      </c>
      <c r="K3692" s="3" t="s">
        <v>216</v>
      </c>
    </row>
    <row r="3693" ht="15.6" spans="4:11">
      <c r="D3693" s="3">
        <v>9597</v>
      </c>
      <c r="E3693" s="3" t="s">
        <v>216</v>
      </c>
      <c r="J3693" s="3" t="s">
        <v>3935</v>
      </c>
      <c r="K3693" s="3" t="s">
        <v>216</v>
      </c>
    </row>
    <row r="3694" ht="15.6" spans="4:11">
      <c r="D3694" s="3">
        <v>9598</v>
      </c>
      <c r="E3694" s="3" t="s">
        <v>216</v>
      </c>
      <c r="J3694" s="3" t="s">
        <v>3936</v>
      </c>
      <c r="K3694" s="3" t="s">
        <v>216</v>
      </c>
    </row>
    <row r="3695" ht="15.6" spans="4:11">
      <c r="D3695" s="3">
        <v>9599</v>
      </c>
      <c r="E3695" s="3" t="s">
        <v>216</v>
      </c>
      <c r="J3695" s="3" t="s">
        <v>3937</v>
      </c>
      <c r="K3695" s="3" t="s">
        <v>216</v>
      </c>
    </row>
    <row r="3696" ht="15.6" spans="4:11">
      <c r="D3696" s="3">
        <v>9600</v>
      </c>
      <c r="E3696" s="3" t="s">
        <v>216</v>
      </c>
      <c r="J3696" s="3" t="s">
        <v>3938</v>
      </c>
      <c r="K3696" s="3" t="s">
        <v>216</v>
      </c>
    </row>
    <row r="3697" ht="15.6" spans="4:11">
      <c r="D3697" s="3">
        <v>9601</v>
      </c>
      <c r="E3697" s="3" t="s">
        <v>216</v>
      </c>
      <c r="J3697" s="3" t="s">
        <v>3939</v>
      </c>
      <c r="K3697" s="3" t="s">
        <v>216</v>
      </c>
    </row>
    <row r="3698" ht="15.6" spans="4:11">
      <c r="D3698" s="3">
        <v>9602</v>
      </c>
      <c r="E3698" s="3" t="s">
        <v>216</v>
      </c>
      <c r="J3698" s="3" t="s">
        <v>3940</v>
      </c>
      <c r="K3698" s="3" t="s">
        <v>216</v>
      </c>
    </row>
    <row r="3699" ht="15.6" spans="4:11">
      <c r="D3699" s="3">
        <v>9603</v>
      </c>
      <c r="E3699" s="3" t="s">
        <v>216</v>
      </c>
      <c r="J3699" s="3" t="s">
        <v>3941</v>
      </c>
      <c r="K3699" s="3" t="s">
        <v>216</v>
      </c>
    </row>
    <row r="3700" ht="15.6" spans="4:11">
      <c r="D3700" s="3">
        <v>9604</v>
      </c>
      <c r="E3700" s="3" t="s">
        <v>216</v>
      </c>
      <c r="J3700" s="3" t="s">
        <v>3942</v>
      </c>
      <c r="K3700" s="3" t="s">
        <v>216</v>
      </c>
    </row>
    <row r="3701" ht="15.6" spans="4:11">
      <c r="D3701" s="3">
        <v>9605</v>
      </c>
      <c r="E3701" s="3" t="s">
        <v>216</v>
      </c>
      <c r="J3701" s="3" t="s">
        <v>3943</v>
      </c>
      <c r="K3701" s="3" t="s">
        <v>216</v>
      </c>
    </row>
    <row r="3702" ht="15.6" spans="4:11">
      <c r="D3702" s="3">
        <v>9606</v>
      </c>
      <c r="E3702" s="3" t="s">
        <v>216</v>
      </c>
      <c r="J3702" s="3" t="s">
        <v>3944</v>
      </c>
      <c r="K3702" s="3" t="s">
        <v>216</v>
      </c>
    </row>
    <row r="3703" ht="15.6" spans="4:11">
      <c r="D3703" s="3">
        <v>9607</v>
      </c>
      <c r="E3703" s="3" t="s">
        <v>216</v>
      </c>
      <c r="J3703" s="3" t="s">
        <v>3945</v>
      </c>
      <c r="K3703" s="3" t="s">
        <v>216</v>
      </c>
    </row>
    <row r="3704" ht="15.6" spans="4:11">
      <c r="D3704" s="3">
        <v>9608</v>
      </c>
      <c r="E3704" s="3" t="s">
        <v>216</v>
      </c>
      <c r="J3704" s="3" t="s">
        <v>3946</v>
      </c>
      <c r="K3704" s="3" t="s">
        <v>216</v>
      </c>
    </row>
    <row r="3705" ht="15.6" spans="4:11">
      <c r="D3705" s="3">
        <v>9609</v>
      </c>
      <c r="E3705" s="3" t="s">
        <v>216</v>
      </c>
      <c r="J3705" s="3" t="s">
        <v>3947</v>
      </c>
      <c r="K3705" s="3" t="s">
        <v>216</v>
      </c>
    </row>
    <row r="3706" ht="15.6" spans="4:11">
      <c r="D3706" s="3">
        <v>9610</v>
      </c>
      <c r="E3706" s="3" t="s">
        <v>216</v>
      </c>
      <c r="J3706" s="3" t="s">
        <v>3948</v>
      </c>
      <c r="K3706" s="3" t="s">
        <v>216</v>
      </c>
    </row>
    <row r="3707" ht="15.6" spans="4:11">
      <c r="D3707" s="3">
        <v>9611</v>
      </c>
      <c r="E3707" s="3" t="s">
        <v>216</v>
      </c>
      <c r="J3707" s="3" t="s">
        <v>3949</v>
      </c>
      <c r="K3707" s="3" t="s">
        <v>216</v>
      </c>
    </row>
    <row r="3708" ht="15.6" spans="4:11">
      <c r="D3708" s="3">
        <v>9612</v>
      </c>
      <c r="E3708" s="3" t="s">
        <v>216</v>
      </c>
      <c r="J3708" s="3" t="s">
        <v>3950</v>
      </c>
      <c r="K3708" s="3" t="s">
        <v>216</v>
      </c>
    </row>
    <row r="3709" ht="15.6" spans="4:11">
      <c r="D3709" s="3">
        <v>9613</v>
      </c>
      <c r="E3709" s="3" t="s">
        <v>216</v>
      </c>
      <c r="J3709" s="3" t="s">
        <v>3951</v>
      </c>
      <c r="K3709" s="3" t="s">
        <v>216</v>
      </c>
    </row>
    <row r="3710" ht="15.6" spans="4:11">
      <c r="D3710" s="3">
        <v>9614</v>
      </c>
      <c r="E3710" s="3" t="s">
        <v>216</v>
      </c>
      <c r="J3710" s="3" t="s">
        <v>3952</v>
      </c>
      <c r="K3710" s="3" t="s">
        <v>216</v>
      </c>
    </row>
    <row r="3711" ht="15.6" spans="4:11">
      <c r="D3711" s="3">
        <v>9615</v>
      </c>
      <c r="E3711" s="3" t="s">
        <v>216</v>
      </c>
      <c r="J3711" s="3" t="s">
        <v>3953</v>
      </c>
      <c r="K3711" s="3" t="s">
        <v>216</v>
      </c>
    </row>
    <row r="3712" ht="15.6" spans="4:11">
      <c r="D3712" s="3">
        <v>9616</v>
      </c>
      <c r="E3712" s="3" t="s">
        <v>216</v>
      </c>
      <c r="J3712" s="3" t="s">
        <v>3954</v>
      </c>
      <c r="K3712" s="3" t="s">
        <v>216</v>
      </c>
    </row>
    <row r="3713" ht="15.6" spans="4:11">
      <c r="D3713" s="3">
        <v>9617</v>
      </c>
      <c r="E3713" s="3" t="s">
        <v>216</v>
      </c>
      <c r="J3713" s="3" t="s">
        <v>3955</v>
      </c>
      <c r="K3713" s="3" t="s">
        <v>216</v>
      </c>
    </row>
    <row r="3714" ht="15.6" spans="4:11">
      <c r="D3714" s="3">
        <v>9618</v>
      </c>
      <c r="E3714" s="3" t="s">
        <v>216</v>
      </c>
      <c r="J3714" s="3" t="s">
        <v>3956</v>
      </c>
      <c r="K3714" s="3" t="s">
        <v>216</v>
      </c>
    </row>
    <row r="3715" ht="15.6" spans="4:11">
      <c r="D3715" s="3">
        <v>9619</v>
      </c>
      <c r="E3715" s="3" t="s">
        <v>216</v>
      </c>
      <c r="J3715" s="3" t="s">
        <v>3957</v>
      </c>
      <c r="K3715" s="3" t="s">
        <v>216</v>
      </c>
    </row>
    <row r="3716" ht="15.6" spans="4:11">
      <c r="D3716" s="3">
        <v>9620</v>
      </c>
      <c r="E3716" s="3" t="s">
        <v>216</v>
      </c>
      <c r="J3716" s="3" t="s">
        <v>3958</v>
      </c>
      <c r="K3716" s="3" t="s">
        <v>216</v>
      </c>
    </row>
    <row r="3717" ht="15.6" spans="4:11">
      <c r="D3717" s="3">
        <v>9621</v>
      </c>
      <c r="E3717" s="3" t="s">
        <v>216</v>
      </c>
      <c r="J3717" s="3" t="s">
        <v>3959</v>
      </c>
      <c r="K3717" s="3" t="s">
        <v>216</v>
      </c>
    </row>
    <row r="3718" ht="15.6" spans="4:11">
      <c r="D3718" s="3">
        <v>9622</v>
      </c>
      <c r="E3718" s="3" t="s">
        <v>216</v>
      </c>
      <c r="J3718" s="3" t="s">
        <v>3960</v>
      </c>
      <c r="K3718" s="3" t="s">
        <v>216</v>
      </c>
    </row>
    <row r="3719" ht="15.6" spans="4:11">
      <c r="D3719" s="3">
        <v>9623</v>
      </c>
      <c r="E3719" s="3" t="s">
        <v>216</v>
      </c>
      <c r="J3719" s="3" t="s">
        <v>3961</v>
      </c>
      <c r="K3719" s="3" t="s">
        <v>216</v>
      </c>
    </row>
    <row r="3720" ht="15.6" spans="4:11">
      <c r="D3720" s="3">
        <v>9624</v>
      </c>
      <c r="E3720" s="3" t="s">
        <v>216</v>
      </c>
      <c r="J3720" s="3" t="s">
        <v>3962</v>
      </c>
      <c r="K3720" s="3" t="s">
        <v>216</v>
      </c>
    </row>
    <row r="3721" ht="15.6" spans="4:11">
      <c r="D3721" s="3">
        <v>9625</v>
      </c>
      <c r="E3721" s="3" t="s">
        <v>216</v>
      </c>
      <c r="J3721" s="3" t="s">
        <v>3963</v>
      </c>
      <c r="K3721" s="3" t="s">
        <v>216</v>
      </c>
    </row>
    <row r="3722" ht="15.6" spans="4:11">
      <c r="D3722" s="3">
        <v>9626</v>
      </c>
      <c r="E3722" s="3" t="s">
        <v>216</v>
      </c>
      <c r="J3722" s="3" t="s">
        <v>3964</v>
      </c>
      <c r="K3722" s="3" t="s">
        <v>216</v>
      </c>
    </row>
    <row r="3723" ht="15.6" spans="4:11">
      <c r="D3723" s="3">
        <v>9627</v>
      </c>
      <c r="E3723" s="3" t="s">
        <v>216</v>
      </c>
      <c r="J3723" s="3" t="s">
        <v>3965</v>
      </c>
      <c r="K3723" s="3" t="s">
        <v>216</v>
      </c>
    </row>
    <row r="3724" ht="15.6" spans="4:11">
      <c r="D3724" s="3">
        <v>9628</v>
      </c>
      <c r="E3724" s="3" t="s">
        <v>216</v>
      </c>
      <c r="J3724" s="3" t="s">
        <v>3966</v>
      </c>
      <c r="K3724" s="3" t="s">
        <v>216</v>
      </c>
    </row>
    <row r="3725" ht="15.6" spans="4:11">
      <c r="D3725" s="3">
        <v>9629</v>
      </c>
      <c r="E3725" s="3" t="s">
        <v>216</v>
      </c>
      <c r="J3725" s="3" t="s">
        <v>3967</v>
      </c>
      <c r="K3725" s="3" t="s">
        <v>216</v>
      </c>
    </row>
    <row r="3726" ht="15.6" spans="4:11">
      <c r="D3726" s="3">
        <v>9630</v>
      </c>
      <c r="E3726" s="3" t="s">
        <v>216</v>
      </c>
      <c r="J3726" s="3" t="s">
        <v>3968</v>
      </c>
      <c r="K3726" s="3" t="s">
        <v>216</v>
      </c>
    </row>
    <row r="3727" ht="15.6" spans="4:11">
      <c r="D3727" s="3">
        <v>9631</v>
      </c>
      <c r="E3727" s="3" t="s">
        <v>216</v>
      </c>
      <c r="J3727" s="3" t="s">
        <v>3969</v>
      </c>
      <c r="K3727" s="3" t="s">
        <v>216</v>
      </c>
    </row>
    <row r="3728" ht="15.6" spans="4:11">
      <c r="D3728" s="3">
        <v>9632</v>
      </c>
      <c r="E3728" s="3" t="s">
        <v>216</v>
      </c>
      <c r="J3728" s="3" t="s">
        <v>3970</v>
      </c>
      <c r="K3728" s="3" t="s">
        <v>216</v>
      </c>
    </row>
    <row r="3729" ht="15.6" spans="4:11">
      <c r="D3729" s="3">
        <v>9633</v>
      </c>
      <c r="E3729" s="3" t="s">
        <v>216</v>
      </c>
      <c r="J3729" s="3" t="s">
        <v>3971</v>
      </c>
      <c r="K3729" s="3" t="s">
        <v>216</v>
      </c>
    </row>
    <row r="3730" ht="15.6" spans="4:11">
      <c r="D3730" s="3">
        <v>9634</v>
      </c>
      <c r="E3730" s="3" t="s">
        <v>216</v>
      </c>
      <c r="J3730" s="3" t="s">
        <v>3972</v>
      </c>
      <c r="K3730" s="3" t="s">
        <v>216</v>
      </c>
    </row>
    <row r="3731" ht="15.6" spans="4:11">
      <c r="D3731" s="3">
        <v>9635</v>
      </c>
      <c r="E3731" s="3" t="s">
        <v>216</v>
      </c>
      <c r="J3731" s="3" t="s">
        <v>3973</v>
      </c>
      <c r="K3731" s="3" t="s">
        <v>216</v>
      </c>
    </row>
    <row r="3732" ht="15.6" spans="4:11">
      <c r="D3732" s="3">
        <v>9636</v>
      </c>
      <c r="E3732" s="3" t="s">
        <v>216</v>
      </c>
      <c r="J3732" s="3" t="s">
        <v>3974</v>
      </c>
      <c r="K3732" s="3" t="s">
        <v>216</v>
      </c>
    </row>
    <row r="3733" ht="15.6" spans="4:11">
      <c r="D3733" s="3">
        <v>9637</v>
      </c>
      <c r="E3733" s="3" t="s">
        <v>216</v>
      </c>
      <c r="J3733" s="3" t="s">
        <v>3975</v>
      </c>
      <c r="K3733" s="3" t="s">
        <v>216</v>
      </c>
    </row>
    <row r="3734" ht="15.6" spans="4:11">
      <c r="D3734" s="3">
        <v>9638</v>
      </c>
      <c r="E3734" s="3" t="s">
        <v>216</v>
      </c>
      <c r="J3734" s="3" t="s">
        <v>3976</v>
      </c>
      <c r="K3734" s="3" t="s">
        <v>216</v>
      </c>
    </row>
    <row r="3735" ht="15.6" spans="4:11">
      <c r="D3735" s="3">
        <v>9639</v>
      </c>
      <c r="E3735" s="3" t="s">
        <v>216</v>
      </c>
      <c r="J3735" s="3" t="s">
        <v>3977</v>
      </c>
      <c r="K3735" s="3" t="s">
        <v>216</v>
      </c>
    </row>
    <row r="3736" ht="15.6" spans="4:11">
      <c r="D3736" s="3">
        <v>9640</v>
      </c>
      <c r="E3736" s="3" t="s">
        <v>216</v>
      </c>
      <c r="J3736" s="3" t="s">
        <v>3978</v>
      </c>
      <c r="K3736" s="3" t="s">
        <v>216</v>
      </c>
    </row>
    <row r="3737" ht="15.6" spans="4:11">
      <c r="D3737" s="3">
        <v>9641</v>
      </c>
      <c r="E3737" s="3" t="s">
        <v>216</v>
      </c>
      <c r="J3737" s="3" t="s">
        <v>3979</v>
      </c>
      <c r="K3737" s="3" t="s">
        <v>216</v>
      </c>
    </row>
    <row r="3738" ht="15.6" spans="4:11">
      <c r="D3738" s="3">
        <v>9642</v>
      </c>
      <c r="E3738" s="3" t="s">
        <v>216</v>
      </c>
      <c r="J3738" s="3" t="s">
        <v>3980</v>
      </c>
      <c r="K3738" s="3" t="s">
        <v>216</v>
      </c>
    </row>
    <row r="3739" ht="15.6" spans="4:11">
      <c r="D3739" s="3">
        <v>9643</v>
      </c>
      <c r="E3739" s="3" t="s">
        <v>216</v>
      </c>
      <c r="J3739" s="3" t="s">
        <v>3981</v>
      </c>
      <c r="K3739" s="3" t="s">
        <v>216</v>
      </c>
    </row>
    <row r="3740" ht="15.6" spans="4:11">
      <c r="D3740" s="3">
        <v>9644</v>
      </c>
      <c r="E3740" s="3" t="s">
        <v>216</v>
      </c>
      <c r="J3740" s="3" t="s">
        <v>3982</v>
      </c>
      <c r="K3740" s="3" t="s">
        <v>216</v>
      </c>
    </row>
    <row r="3741" ht="15.6" spans="4:11">
      <c r="D3741" s="3">
        <v>9645</v>
      </c>
      <c r="E3741" s="3" t="s">
        <v>216</v>
      </c>
      <c r="J3741" s="3" t="s">
        <v>3983</v>
      </c>
      <c r="K3741" s="3" t="s">
        <v>216</v>
      </c>
    </row>
    <row r="3742" ht="15.6" spans="4:11">
      <c r="D3742" s="3">
        <v>9646</v>
      </c>
      <c r="E3742" s="3" t="s">
        <v>216</v>
      </c>
      <c r="J3742" s="3" t="s">
        <v>3984</v>
      </c>
      <c r="K3742" s="3" t="s">
        <v>216</v>
      </c>
    </row>
    <row r="3743" ht="15.6" spans="4:11">
      <c r="D3743" s="3">
        <v>9647</v>
      </c>
      <c r="E3743" s="3" t="s">
        <v>216</v>
      </c>
      <c r="J3743" s="3" t="s">
        <v>3985</v>
      </c>
      <c r="K3743" s="3" t="s">
        <v>216</v>
      </c>
    </row>
    <row r="3744" ht="15.6" spans="4:11">
      <c r="D3744" s="3">
        <v>9648</v>
      </c>
      <c r="E3744" s="3" t="s">
        <v>216</v>
      </c>
      <c r="J3744" s="3" t="s">
        <v>3986</v>
      </c>
      <c r="K3744" s="3" t="s">
        <v>216</v>
      </c>
    </row>
    <row r="3745" ht="15.6" spans="4:11">
      <c r="D3745" s="3">
        <v>9649</v>
      </c>
      <c r="E3745" s="3" t="s">
        <v>216</v>
      </c>
      <c r="J3745" s="3" t="s">
        <v>3987</v>
      </c>
      <c r="K3745" s="3" t="s">
        <v>216</v>
      </c>
    </row>
    <row r="3746" ht="15.6" spans="4:11">
      <c r="D3746" s="3">
        <v>9650</v>
      </c>
      <c r="E3746" s="3" t="s">
        <v>216</v>
      </c>
      <c r="J3746" s="3" t="s">
        <v>3988</v>
      </c>
      <c r="K3746" s="3" t="s">
        <v>216</v>
      </c>
    </row>
    <row r="3747" ht="15.6" spans="4:11">
      <c r="D3747" s="3">
        <v>9651</v>
      </c>
      <c r="E3747" s="3" t="s">
        <v>216</v>
      </c>
      <c r="J3747" s="3" t="s">
        <v>3989</v>
      </c>
      <c r="K3747" s="3" t="s">
        <v>216</v>
      </c>
    </row>
    <row r="3748" ht="15.6" spans="4:11">
      <c r="D3748" s="3">
        <v>9652</v>
      </c>
      <c r="E3748" s="3" t="s">
        <v>216</v>
      </c>
      <c r="J3748" s="3" t="s">
        <v>3990</v>
      </c>
      <c r="K3748" s="3" t="s">
        <v>216</v>
      </c>
    </row>
    <row r="3749" ht="15.6" spans="4:11">
      <c r="D3749" s="3">
        <v>9653</v>
      </c>
      <c r="E3749" s="3" t="s">
        <v>216</v>
      </c>
      <c r="J3749" s="3" t="s">
        <v>3991</v>
      </c>
      <c r="K3749" s="3" t="s">
        <v>216</v>
      </c>
    </row>
    <row r="3750" ht="15.6" spans="4:11">
      <c r="D3750" s="3">
        <v>9654</v>
      </c>
      <c r="E3750" s="3" t="s">
        <v>216</v>
      </c>
      <c r="J3750" s="3" t="s">
        <v>3992</v>
      </c>
      <c r="K3750" s="3" t="s">
        <v>216</v>
      </c>
    </row>
    <row r="3751" ht="15.6" spans="4:11">
      <c r="D3751" s="3">
        <v>9655</v>
      </c>
      <c r="E3751" s="3" t="s">
        <v>216</v>
      </c>
      <c r="J3751" s="3" t="s">
        <v>3993</v>
      </c>
      <c r="K3751" s="3" t="s">
        <v>216</v>
      </c>
    </row>
    <row r="3752" ht="15.6" spans="4:11">
      <c r="D3752" s="3">
        <v>9656</v>
      </c>
      <c r="E3752" s="3" t="s">
        <v>216</v>
      </c>
      <c r="J3752" s="3" t="s">
        <v>3994</v>
      </c>
      <c r="K3752" s="3" t="s">
        <v>216</v>
      </c>
    </row>
    <row r="3753" ht="15.6" spans="4:11">
      <c r="D3753" s="3">
        <v>9657</v>
      </c>
      <c r="E3753" s="3" t="s">
        <v>216</v>
      </c>
      <c r="J3753" s="3" t="s">
        <v>3995</v>
      </c>
      <c r="K3753" s="3" t="s">
        <v>216</v>
      </c>
    </row>
    <row r="3754" ht="15.6" spans="4:11">
      <c r="D3754" s="3">
        <v>9658</v>
      </c>
      <c r="E3754" s="3" t="s">
        <v>216</v>
      </c>
      <c r="J3754" s="3" t="s">
        <v>3996</v>
      </c>
      <c r="K3754" s="3" t="s">
        <v>216</v>
      </c>
    </row>
    <row r="3755" ht="15.6" spans="4:11">
      <c r="D3755" s="3">
        <v>9659</v>
      </c>
      <c r="E3755" s="3" t="s">
        <v>216</v>
      </c>
      <c r="J3755" s="3" t="s">
        <v>3997</v>
      </c>
      <c r="K3755" s="3" t="s">
        <v>216</v>
      </c>
    </row>
    <row r="3756" ht="15.6" spans="4:11">
      <c r="D3756" s="3">
        <v>9660</v>
      </c>
      <c r="E3756" s="3" t="s">
        <v>216</v>
      </c>
      <c r="J3756" s="3" t="s">
        <v>3998</v>
      </c>
      <c r="K3756" s="3" t="s">
        <v>216</v>
      </c>
    </row>
    <row r="3757" ht="15.6" spans="4:11">
      <c r="D3757" s="3">
        <v>9661</v>
      </c>
      <c r="E3757" s="3" t="s">
        <v>216</v>
      </c>
      <c r="J3757" s="3" t="s">
        <v>3999</v>
      </c>
      <c r="K3757" s="3" t="s">
        <v>216</v>
      </c>
    </row>
    <row r="3758" ht="15.6" spans="4:11">
      <c r="D3758" s="3">
        <v>9662</v>
      </c>
      <c r="E3758" s="3" t="s">
        <v>216</v>
      </c>
      <c r="J3758" s="3" t="s">
        <v>4000</v>
      </c>
      <c r="K3758" s="3" t="s">
        <v>216</v>
      </c>
    </row>
    <row r="3759" ht="15.6" spans="4:11">
      <c r="D3759" s="3">
        <v>9663</v>
      </c>
      <c r="E3759" s="3" t="s">
        <v>216</v>
      </c>
      <c r="J3759" s="3" t="s">
        <v>4001</v>
      </c>
      <c r="K3759" s="3" t="s">
        <v>216</v>
      </c>
    </row>
    <row r="3760" ht="15.6" spans="4:11">
      <c r="D3760" s="3">
        <v>9664</v>
      </c>
      <c r="E3760" s="3" t="s">
        <v>216</v>
      </c>
      <c r="J3760" s="3" t="s">
        <v>4002</v>
      </c>
      <c r="K3760" s="3" t="s">
        <v>216</v>
      </c>
    </row>
    <row r="3761" ht="15.6" spans="4:11">
      <c r="D3761" s="3">
        <v>9665</v>
      </c>
      <c r="E3761" s="3" t="s">
        <v>216</v>
      </c>
      <c r="J3761" s="3" t="s">
        <v>4003</v>
      </c>
      <c r="K3761" s="3" t="s">
        <v>216</v>
      </c>
    </row>
    <row r="3762" ht="15.6" spans="4:11">
      <c r="D3762" s="3">
        <v>9666</v>
      </c>
      <c r="E3762" s="3" t="s">
        <v>216</v>
      </c>
      <c r="J3762" s="3" t="s">
        <v>4004</v>
      </c>
      <c r="K3762" s="3" t="s">
        <v>216</v>
      </c>
    </row>
    <row r="3763" ht="15.6" spans="4:11">
      <c r="D3763" s="3">
        <v>9667</v>
      </c>
      <c r="E3763" s="3" t="s">
        <v>216</v>
      </c>
      <c r="J3763" s="3" t="s">
        <v>4005</v>
      </c>
      <c r="K3763" s="3" t="s">
        <v>216</v>
      </c>
    </row>
    <row r="3764" ht="15.6" spans="4:11">
      <c r="D3764" s="3">
        <v>9668</v>
      </c>
      <c r="E3764" s="3" t="s">
        <v>216</v>
      </c>
      <c r="J3764" s="3" t="s">
        <v>4006</v>
      </c>
      <c r="K3764" s="3" t="s">
        <v>216</v>
      </c>
    </row>
    <row r="3765" ht="15.6" spans="4:11">
      <c r="D3765" s="3">
        <v>9669</v>
      </c>
      <c r="E3765" s="3" t="s">
        <v>216</v>
      </c>
      <c r="J3765" s="3" t="s">
        <v>4007</v>
      </c>
      <c r="K3765" s="3" t="s">
        <v>216</v>
      </c>
    </row>
    <row r="3766" ht="15.6" spans="4:11">
      <c r="D3766" s="3">
        <v>9670</v>
      </c>
      <c r="E3766" s="3" t="s">
        <v>216</v>
      </c>
      <c r="J3766" s="3" t="s">
        <v>4008</v>
      </c>
      <c r="K3766" s="3" t="s">
        <v>216</v>
      </c>
    </row>
    <row r="3767" ht="15.6" spans="4:11">
      <c r="D3767" s="3">
        <v>9671</v>
      </c>
      <c r="E3767" s="3" t="s">
        <v>216</v>
      </c>
      <c r="J3767" s="3" t="s">
        <v>4009</v>
      </c>
      <c r="K3767" s="3" t="s">
        <v>216</v>
      </c>
    </row>
    <row r="3768" ht="15.6" spans="4:11">
      <c r="D3768" s="3">
        <v>9672</v>
      </c>
      <c r="E3768" s="3" t="s">
        <v>216</v>
      </c>
      <c r="J3768" s="3" t="s">
        <v>4010</v>
      </c>
      <c r="K3768" s="3" t="s">
        <v>216</v>
      </c>
    </row>
    <row r="3769" ht="15.6" spans="4:11">
      <c r="D3769" s="3">
        <v>9673</v>
      </c>
      <c r="E3769" s="3" t="s">
        <v>216</v>
      </c>
      <c r="J3769" s="3" t="s">
        <v>4011</v>
      </c>
      <c r="K3769" s="3" t="s">
        <v>216</v>
      </c>
    </row>
    <row r="3770" ht="15.6" spans="4:11">
      <c r="D3770" s="3">
        <v>9674</v>
      </c>
      <c r="E3770" s="3" t="s">
        <v>216</v>
      </c>
      <c r="J3770" s="3" t="s">
        <v>4012</v>
      </c>
      <c r="K3770" s="3" t="s">
        <v>216</v>
      </c>
    </row>
    <row r="3771" ht="15.6" spans="4:11">
      <c r="D3771" s="3">
        <v>9675</v>
      </c>
      <c r="E3771" s="3" t="s">
        <v>216</v>
      </c>
      <c r="J3771" s="3" t="s">
        <v>4013</v>
      </c>
      <c r="K3771" s="3" t="s">
        <v>216</v>
      </c>
    </row>
    <row r="3772" ht="15.6" spans="4:11">
      <c r="D3772" s="3">
        <v>9676</v>
      </c>
      <c r="E3772" s="3" t="s">
        <v>216</v>
      </c>
      <c r="J3772" s="3" t="s">
        <v>4014</v>
      </c>
      <c r="K3772" s="3" t="s">
        <v>216</v>
      </c>
    </row>
    <row r="3773" ht="15.6" spans="4:11">
      <c r="D3773" s="3">
        <v>9677</v>
      </c>
      <c r="E3773" s="3" t="s">
        <v>216</v>
      </c>
      <c r="J3773" s="3" t="s">
        <v>4015</v>
      </c>
      <c r="K3773" s="3" t="s">
        <v>216</v>
      </c>
    </row>
    <row r="3774" ht="15.6" spans="4:11">
      <c r="D3774" s="3">
        <v>9678</v>
      </c>
      <c r="E3774" s="3" t="s">
        <v>216</v>
      </c>
      <c r="J3774" s="3" t="s">
        <v>4016</v>
      </c>
      <c r="K3774" s="3" t="s">
        <v>216</v>
      </c>
    </row>
    <row r="3775" ht="15.6" spans="4:11">
      <c r="D3775" s="3">
        <v>9679</v>
      </c>
      <c r="E3775" s="3" t="s">
        <v>216</v>
      </c>
      <c r="J3775" s="3" t="s">
        <v>4017</v>
      </c>
      <c r="K3775" s="3" t="s">
        <v>216</v>
      </c>
    </row>
    <row r="3776" ht="15.6" spans="4:11">
      <c r="D3776" s="3">
        <v>9680</v>
      </c>
      <c r="E3776" s="3" t="s">
        <v>216</v>
      </c>
      <c r="J3776" s="3" t="s">
        <v>4018</v>
      </c>
      <c r="K3776" s="3" t="s">
        <v>216</v>
      </c>
    </row>
    <row r="3777" ht="15.6" spans="4:11">
      <c r="D3777" s="3">
        <v>9681</v>
      </c>
      <c r="E3777" s="3" t="s">
        <v>216</v>
      </c>
      <c r="J3777" s="3" t="s">
        <v>4019</v>
      </c>
      <c r="K3777" s="3" t="s">
        <v>216</v>
      </c>
    </row>
    <row r="3778" ht="15.6" spans="4:11">
      <c r="D3778" s="3">
        <v>9682</v>
      </c>
      <c r="E3778" s="3" t="s">
        <v>216</v>
      </c>
      <c r="J3778" s="3" t="s">
        <v>4020</v>
      </c>
      <c r="K3778" s="3" t="s">
        <v>216</v>
      </c>
    </row>
    <row r="3779" ht="15.6" spans="4:11">
      <c r="D3779" s="3">
        <v>9683</v>
      </c>
      <c r="E3779" s="3" t="s">
        <v>216</v>
      </c>
      <c r="J3779" s="3" t="s">
        <v>4021</v>
      </c>
      <c r="K3779" s="3" t="s">
        <v>216</v>
      </c>
    </row>
    <row r="3780" ht="15.6" spans="4:11">
      <c r="D3780" s="3">
        <v>9684</v>
      </c>
      <c r="E3780" s="3" t="s">
        <v>216</v>
      </c>
      <c r="J3780" s="3" t="s">
        <v>4022</v>
      </c>
      <c r="K3780" s="3" t="s">
        <v>216</v>
      </c>
    </row>
    <row r="3781" ht="15.6" spans="4:11">
      <c r="D3781" s="3">
        <v>9685</v>
      </c>
      <c r="E3781" s="3" t="s">
        <v>216</v>
      </c>
      <c r="J3781" s="3" t="s">
        <v>4023</v>
      </c>
      <c r="K3781" s="3" t="s">
        <v>216</v>
      </c>
    </row>
    <row r="3782" ht="15.6" spans="4:11">
      <c r="D3782" s="3">
        <v>9686</v>
      </c>
      <c r="E3782" s="3" t="s">
        <v>216</v>
      </c>
      <c r="J3782" s="3" t="s">
        <v>4024</v>
      </c>
      <c r="K3782" s="3" t="s">
        <v>216</v>
      </c>
    </row>
    <row r="3783" ht="15.6" spans="4:11">
      <c r="D3783" s="3">
        <v>9687</v>
      </c>
      <c r="E3783" s="3" t="s">
        <v>216</v>
      </c>
      <c r="J3783" s="3" t="s">
        <v>4025</v>
      </c>
      <c r="K3783" s="3" t="s">
        <v>216</v>
      </c>
    </row>
    <row r="3784" ht="15.6" spans="4:11">
      <c r="D3784" s="3">
        <v>9688</v>
      </c>
      <c r="E3784" s="3" t="s">
        <v>216</v>
      </c>
      <c r="J3784" s="3" t="s">
        <v>4026</v>
      </c>
      <c r="K3784" s="3" t="s">
        <v>216</v>
      </c>
    </row>
    <row r="3785" ht="15.6" spans="4:11">
      <c r="D3785" s="3">
        <v>9689</v>
      </c>
      <c r="E3785" s="3" t="s">
        <v>216</v>
      </c>
      <c r="J3785" s="3" t="s">
        <v>4027</v>
      </c>
      <c r="K3785" s="3" t="s">
        <v>216</v>
      </c>
    </row>
    <row r="3786" ht="15.6" spans="4:11">
      <c r="D3786" s="3">
        <v>9690</v>
      </c>
      <c r="E3786" s="3" t="s">
        <v>216</v>
      </c>
      <c r="J3786" s="3" t="s">
        <v>4028</v>
      </c>
      <c r="K3786" s="3" t="s">
        <v>216</v>
      </c>
    </row>
    <row r="3787" ht="15.6" spans="4:11">
      <c r="D3787" s="3">
        <v>9691</v>
      </c>
      <c r="E3787" s="3" t="s">
        <v>216</v>
      </c>
      <c r="J3787" s="3" t="s">
        <v>4029</v>
      </c>
      <c r="K3787" s="3" t="s">
        <v>216</v>
      </c>
    </row>
    <row r="3788" ht="15.6" spans="4:11">
      <c r="D3788" s="3">
        <v>9692</v>
      </c>
      <c r="E3788" s="3" t="s">
        <v>216</v>
      </c>
      <c r="J3788" s="3" t="s">
        <v>4030</v>
      </c>
      <c r="K3788" s="3" t="s">
        <v>216</v>
      </c>
    </row>
    <row r="3789" ht="15.6" spans="4:11">
      <c r="D3789" s="3">
        <v>9693</v>
      </c>
      <c r="E3789" s="3" t="s">
        <v>216</v>
      </c>
      <c r="J3789" s="3" t="s">
        <v>4031</v>
      </c>
      <c r="K3789" s="3" t="s">
        <v>216</v>
      </c>
    </row>
    <row r="3790" ht="15.6" spans="4:11">
      <c r="D3790" s="3">
        <v>9694</v>
      </c>
      <c r="E3790" s="3" t="s">
        <v>216</v>
      </c>
      <c r="J3790" s="3" t="s">
        <v>4032</v>
      </c>
      <c r="K3790" s="3" t="s">
        <v>216</v>
      </c>
    </row>
    <row r="3791" ht="15.6" spans="4:11">
      <c r="D3791" s="3">
        <v>9695</v>
      </c>
      <c r="E3791" s="3" t="s">
        <v>216</v>
      </c>
      <c r="J3791" s="3" t="s">
        <v>4033</v>
      </c>
      <c r="K3791" s="3" t="s">
        <v>216</v>
      </c>
    </row>
    <row r="3792" ht="15.6" spans="4:11">
      <c r="D3792" s="3">
        <v>9696</v>
      </c>
      <c r="E3792" s="3" t="s">
        <v>216</v>
      </c>
      <c r="J3792" s="3" t="s">
        <v>4034</v>
      </c>
      <c r="K3792" s="3" t="s">
        <v>216</v>
      </c>
    </row>
    <row r="3793" ht="15.6" spans="4:11">
      <c r="D3793" s="3">
        <v>9697</v>
      </c>
      <c r="E3793" s="3" t="s">
        <v>216</v>
      </c>
      <c r="J3793" s="3" t="s">
        <v>4035</v>
      </c>
      <c r="K3793" s="3" t="s">
        <v>216</v>
      </c>
    </row>
    <row r="3794" ht="15.6" spans="4:11">
      <c r="D3794" s="3">
        <v>9698</v>
      </c>
      <c r="E3794" s="3" t="s">
        <v>216</v>
      </c>
      <c r="J3794" s="3" t="s">
        <v>4036</v>
      </c>
      <c r="K3794" s="3" t="s">
        <v>216</v>
      </c>
    </row>
    <row r="3795" ht="15.6" spans="4:11">
      <c r="D3795" s="3">
        <v>9699</v>
      </c>
      <c r="E3795" s="3" t="s">
        <v>216</v>
      </c>
      <c r="J3795" s="3" t="s">
        <v>4037</v>
      </c>
      <c r="K3795" s="3" t="s">
        <v>216</v>
      </c>
    </row>
    <row r="3796" ht="15.6" spans="4:11">
      <c r="D3796" s="3">
        <v>9700</v>
      </c>
      <c r="E3796" s="3" t="s">
        <v>216</v>
      </c>
      <c r="J3796" s="3" t="s">
        <v>4038</v>
      </c>
      <c r="K3796" s="3" t="s">
        <v>216</v>
      </c>
    </row>
    <row r="3797" ht="15.6" spans="4:11">
      <c r="D3797" s="3">
        <v>9701</v>
      </c>
      <c r="E3797" s="3" t="s">
        <v>216</v>
      </c>
      <c r="J3797" s="3" t="s">
        <v>4039</v>
      </c>
      <c r="K3797" s="3" t="s">
        <v>216</v>
      </c>
    </row>
    <row r="3798" ht="15.6" spans="4:11">
      <c r="D3798" s="3">
        <v>9702</v>
      </c>
      <c r="E3798" s="3" t="s">
        <v>216</v>
      </c>
      <c r="J3798" s="3" t="s">
        <v>4040</v>
      </c>
      <c r="K3798" s="3" t="s">
        <v>216</v>
      </c>
    </row>
    <row r="3799" ht="15.6" spans="4:11">
      <c r="D3799" s="3">
        <v>9703</v>
      </c>
      <c r="E3799" s="3" t="s">
        <v>216</v>
      </c>
      <c r="J3799" s="3" t="s">
        <v>4041</v>
      </c>
      <c r="K3799" s="3" t="s">
        <v>216</v>
      </c>
    </row>
    <row r="3800" ht="15.6" spans="4:11">
      <c r="D3800" s="3">
        <v>9704</v>
      </c>
      <c r="E3800" s="3" t="s">
        <v>216</v>
      </c>
      <c r="J3800" s="3" t="s">
        <v>4042</v>
      </c>
      <c r="K3800" s="3" t="s">
        <v>216</v>
      </c>
    </row>
    <row r="3801" ht="15.6" spans="4:11">
      <c r="D3801" s="3">
        <v>9705</v>
      </c>
      <c r="E3801" s="3" t="s">
        <v>216</v>
      </c>
      <c r="J3801" s="3" t="s">
        <v>4043</v>
      </c>
      <c r="K3801" s="3" t="s">
        <v>216</v>
      </c>
    </row>
    <row r="3802" ht="15.6" spans="4:11">
      <c r="D3802" s="3">
        <v>9706</v>
      </c>
      <c r="E3802" s="3" t="s">
        <v>216</v>
      </c>
      <c r="J3802" s="3" t="s">
        <v>4044</v>
      </c>
      <c r="K3802" s="3" t="s">
        <v>216</v>
      </c>
    </row>
    <row r="3803" ht="15.6" spans="4:11">
      <c r="D3803" s="3">
        <v>9707</v>
      </c>
      <c r="E3803" s="3" t="s">
        <v>216</v>
      </c>
      <c r="J3803" s="3" t="s">
        <v>4045</v>
      </c>
      <c r="K3803" s="3" t="s">
        <v>216</v>
      </c>
    </row>
    <row r="3804" ht="15.6" spans="4:11">
      <c r="D3804" s="3">
        <v>9708</v>
      </c>
      <c r="E3804" s="3" t="s">
        <v>216</v>
      </c>
      <c r="J3804" s="3" t="s">
        <v>4046</v>
      </c>
      <c r="K3804" s="3" t="s">
        <v>216</v>
      </c>
    </row>
    <row r="3805" ht="15.6" spans="4:11">
      <c r="D3805" s="3">
        <v>9709</v>
      </c>
      <c r="E3805" s="3" t="s">
        <v>216</v>
      </c>
      <c r="J3805" s="3" t="s">
        <v>4047</v>
      </c>
      <c r="K3805" s="3" t="s">
        <v>216</v>
      </c>
    </row>
    <row r="3806" ht="15.6" spans="4:11">
      <c r="D3806" s="3">
        <v>9710</v>
      </c>
      <c r="E3806" s="3" t="s">
        <v>216</v>
      </c>
      <c r="J3806" s="3" t="s">
        <v>4048</v>
      </c>
      <c r="K3806" s="3" t="s">
        <v>216</v>
      </c>
    </row>
    <row r="3807" ht="15.6" spans="4:11">
      <c r="D3807" s="3">
        <v>9711</v>
      </c>
      <c r="E3807" s="3" t="s">
        <v>216</v>
      </c>
      <c r="J3807" s="3" t="s">
        <v>4049</v>
      </c>
      <c r="K3807" s="3" t="s">
        <v>216</v>
      </c>
    </row>
    <row r="3808" ht="15.6" spans="4:11">
      <c r="D3808" s="3">
        <v>9712</v>
      </c>
      <c r="E3808" s="3" t="s">
        <v>216</v>
      </c>
      <c r="J3808" s="3" t="s">
        <v>4050</v>
      </c>
      <c r="K3808" s="3" t="s">
        <v>216</v>
      </c>
    </row>
    <row r="3809" ht="15.6" spans="4:11">
      <c r="D3809" s="3">
        <v>9713</v>
      </c>
      <c r="E3809" s="3" t="s">
        <v>216</v>
      </c>
      <c r="J3809" s="3" t="s">
        <v>4051</v>
      </c>
      <c r="K3809" s="3" t="s">
        <v>216</v>
      </c>
    </row>
    <row r="3810" ht="15.6" spans="4:11">
      <c r="D3810" s="3">
        <v>9714</v>
      </c>
      <c r="E3810" s="3" t="s">
        <v>216</v>
      </c>
      <c r="J3810" s="3" t="s">
        <v>4052</v>
      </c>
      <c r="K3810" s="3" t="s">
        <v>216</v>
      </c>
    </row>
    <row r="3811" ht="15.6" spans="4:11">
      <c r="D3811" s="3">
        <v>9715</v>
      </c>
      <c r="E3811" s="3" t="s">
        <v>216</v>
      </c>
      <c r="J3811" s="3" t="s">
        <v>4053</v>
      </c>
      <c r="K3811" s="3" t="s">
        <v>216</v>
      </c>
    </row>
    <row r="3812" ht="15.6" spans="4:11">
      <c r="D3812" s="3">
        <v>9716</v>
      </c>
      <c r="E3812" s="3" t="s">
        <v>216</v>
      </c>
      <c r="J3812" s="3" t="s">
        <v>4054</v>
      </c>
      <c r="K3812" s="3" t="s">
        <v>216</v>
      </c>
    </row>
    <row r="3813" ht="15.6" spans="4:11">
      <c r="D3813" s="3">
        <v>9717</v>
      </c>
      <c r="E3813" s="3" t="s">
        <v>216</v>
      </c>
      <c r="J3813" s="3" t="s">
        <v>4055</v>
      </c>
      <c r="K3813" s="3" t="s">
        <v>216</v>
      </c>
    </row>
    <row r="3814" ht="15.6" spans="4:11">
      <c r="D3814" s="3">
        <v>9718</v>
      </c>
      <c r="E3814" s="3" t="s">
        <v>216</v>
      </c>
      <c r="J3814" s="3" t="s">
        <v>4056</v>
      </c>
      <c r="K3814" s="3" t="s">
        <v>216</v>
      </c>
    </row>
    <row r="3815" ht="15.6" spans="4:11">
      <c r="D3815" s="3">
        <v>9719</v>
      </c>
      <c r="E3815" s="3" t="s">
        <v>216</v>
      </c>
      <c r="J3815" s="3" t="s">
        <v>4057</v>
      </c>
      <c r="K3815" s="3" t="s">
        <v>216</v>
      </c>
    </row>
    <row r="3816" ht="15.6" spans="4:11">
      <c r="D3816" s="3">
        <v>9720</v>
      </c>
      <c r="E3816" s="3" t="s">
        <v>216</v>
      </c>
      <c r="J3816" s="3" t="s">
        <v>4058</v>
      </c>
      <c r="K3816" s="3" t="s">
        <v>216</v>
      </c>
    </row>
    <row r="3817" ht="15.6" spans="4:11">
      <c r="D3817" s="3">
        <v>9721</v>
      </c>
      <c r="E3817" s="3" t="s">
        <v>216</v>
      </c>
      <c r="J3817" s="3" t="s">
        <v>4059</v>
      </c>
      <c r="K3817" s="3" t="s">
        <v>216</v>
      </c>
    </row>
    <row r="3818" ht="15.6" spans="4:11">
      <c r="D3818" s="3">
        <v>9722</v>
      </c>
      <c r="E3818" s="3" t="s">
        <v>216</v>
      </c>
      <c r="J3818" s="3" t="s">
        <v>4060</v>
      </c>
      <c r="K3818" s="3" t="s">
        <v>216</v>
      </c>
    </row>
    <row r="3819" ht="15.6" spans="4:11">
      <c r="D3819" s="3">
        <v>9723</v>
      </c>
      <c r="E3819" s="3" t="s">
        <v>216</v>
      </c>
      <c r="J3819" s="3" t="s">
        <v>4061</v>
      </c>
      <c r="K3819" s="3" t="s">
        <v>216</v>
      </c>
    </row>
    <row r="3820" ht="15.6" spans="4:11">
      <c r="D3820" s="3">
        <v>9724</v>
      </c>
      <c r="E3820" s="3" t="s">
        <v>216</v>
      </c>
      <c r="J3820" s="3" t="s">
        <v>4062</v>
      </c>
      <c r="K3820" s="3" t="s">
        <v>216</v>
      </c>
    </row>
    <row r="3821" ht="15.6" spans="4:11">
      <c r="D3821" s="3">
        <v>9725</v>
      </c>
      <c r="E3821" s="3" t="s">
        <v>216</v>
      </c>
      <c r="J3821" s="3" t="s">
        <v>4063</v>
      </c>
      <c r="K3821" s="3" t="s">
        <v>216</v>
      </c>
    </row>
    <row r="3822" ht="15.6" spans="4:11">
      <c r="D3822" s="3">
        <v>9999</v>
      </c>
      <c r="E3822" s="3" t="s">
        <v>216</v>
      </c>
      <c r="J3822" s="3" t="s">
        <v>4064</v>
      </c>
      <c r="K3822" s="3" t="s">
        <v>216</v>
      </c>
    </row>
    <row r="3823" ht="15.6" spans="4:11">
      <c r="D3823" s="3" t="s">
        <v>4065</v>
      </c>
      <c r="E3823" s="3" t="s">
        <v>222</v>
      </c>
      <c r="J3823" s="3" t="s">
        <v>4065</v>
      </c>
      <c r="K3823" s="3" t="s">
        <v>222</v>
      </c>
    </row>
    <row r="3824" ht="15.6" spans="4:11">
      <c r="D3824" s="3" t="s">
        <v>4066</v>
      </c>
      <c r="E3824" s="3" t="s">
        <v>222</v>
      </c>
      <c r="J3824" s="3" t="s">
        <v>4066</v>
      </c>
      <c r="K3824" s="3" t="s">
        <v>222</v>
      </c>
    </row>
    <row r="3825" ht="15.6" spans="4:11">
      <c r="D3825" s="3" t="s">
        <v>4067</v>
      </c>
      <c r="E3825" s="3" t="s">
        <v>222</v>
      </c>
      <c r="J3825" s="3" t="s">
        <v>4067</v>
      </c>
      <c r="K3825" s="3" t="s">
        <v>222</v>
      </c>
    </row>
    <row r="3826" ht="15.6" spans="4:11">
      <c r="D3826" s="3" t="s">
        <v>4068</v>
      </c>
      <c r="E3826" s="3" t="s">
        <v>222</v>
      </c>
      <c r="J3826" s="3" t="s">
        <v>4068</v>
      </c>
      <c r="K3826" s="3" t="s">
        <v>222</v>
      </c>
    </row>
    <row r="3827" ht="15.6" spans="4:11">
      <c r="D3827" s="3" t="s">
        <v>4069</v>
      </c>
      <c r="E3827" s="3" t="s">
        <v>222</v>
      </c>
      <c r="J3827" s="3" t="s">
        <v>4069</v>
      </c>
      <c r="K3827" s="3" t="s">
        <v>222</v>
      </c>
    </row>
    <row r="3828" ht="15.6" spans="4:11">
      <c r="D3828" s="3" t="s">
        <v>4070</v>
      </c>
      <c r="E3828" s="3" t="s">
        <v>222</v>
      </c>
      <c r="J3828" s="3" t="s">
        <v>4070</v>
      </c>
      <c r="K3828" s="3" t="s">
        <v>222</v>
      </c>
    </row>
    <row r="3829" ht="15.6" spans="4:11">
      <c r="D3829" s="3" t="s">
        <v>4071</v>
      </c>
      <c r="E3829" s="3" t="s">
        <v>222</v>
      </c>
      <c r="J3829" s="3" t="s">
        <v>4071</v>
      </c>
      <c r="K3829" s="3" t="s">
        <v>222</v>
      </c>
    </row>
    <row r="3830" ht="15.6" spans="4:11">
      <c r="D3830" s="3" t="s">
        <v>4072</v>
      </c>
      <c r="E3830" s="3" t="s">
        <v>222</v>
      </c>
      <c r="J3830" s="3" t="s">
        <v>4072</v>
      </c>
      <c r="K3830" s="3" t="s">
        <v>222</v>
      </c>
    </row>
    <row r="3831" ht="15.6" spans="4:11">
      <c r="D3831" s="3" t="s">
        <v>4073</v>
      </c>
      <c r="E3831" s="3" t="s">
        <v>222</v>
      </c>
      <c r="J3831" s="3" t="s">
        <v>4073</v>
      </c>
      <c r="K3831" s="3" t="s">
        <v>222</v>
      </c>
    </row>
    <row r="3832" ht="15.6" spans="4:11">
      <c r="D3832" s="3" t="s">
        <v>4074</v>
      </c>
      <c r="E3832" s="3" t="s">
        <v>222</v>
      </c>
      <c r="J3832" s="3" t="s">
        <v>4074</v>
      </c>
      <c r="K3832" s="3" t="s">
        <v>222</v>
      </c>
    </row>
    <row r="3833" ht="15.6" spans="4:11">
      <c r="D3833" s="3" t="s">
        <v>4075</v>
      </c>
      <c r="E3833" s="3" t="s">
        <v>222</v>
      </c>
      <c r="J3833" s="3" t="s">
        <v>4075</v>
      </c>
      <c r="K3833" s="3" t="s">
        <v>222</v>
      </c>
    </row>
    <row r="3834" ht="15.6" spans="4:11">
      <c r="D3834" s="3" t="s">
        <v>4076</v>
      </c>
      <c r="E3834" s="3" t="s">
        <v>222</v>
      </c>
      <c r="J3834" s="3" t="s">
        <v>4076</v>
      </c>
      <c r="K3834" s="3" t="s">
        <v>222</v>
      </c>
    </row>
    <row r="3835" ht="15.6" spans="4:11">
      <c r="D3835" s="3" t="s">
        <v>4077</v>
      </c>
      <c r="E3835" s="3" t="s">
        <v>222</v>
      </c>
      <c r="J3835" s="3" t="s">
        <v>4077</v>
      </c>
      <c r="K3835" s="3" t="s">
        <v>222</v>
      </c>
    </row>
    <row r="3836" ht="15.6" spans="4:11">
      <c r="D3836" s="3" t="s">
        <v>4078</v>
      </c>
      <c r="E3836" s="3" t="s">
        <v>222</v>
      </c>
      <c r="J3836" s="3" t="s">
        <v>4078</v>
      </c>
      <c r="K3836" s="3" t="s">
        <v>222</v>
      </c>
    </row>
    <row r="3837" ht="15.6" spans="4:11">
      <c r="D3837" s="3" t="s">
        <v>4079</v>
      </c>
      <c r="E3837" s="3" t="s">
        <v>222</v>
      </c>
      <c r="J3837" s="3" t="s">
        <v>4079</v>
      </c>
      <c r="K3837" s="3" t="s">
        <v>222</v>
      </c>
    </row>
    <row r="3838" ht="15.6" spans="4:11">
      <c r="D3838" s="3" t="s">
        <v>4080</v>
      </c>
      <c r="E3838" s="3" t="s">
        <v>222</v>
      </c>
      <c r="J3838" s="3" t="s">
        <v>4080</v>
      </c>
      <c r="K3838" s="3" t="s">
        <v>222</v>
      </c>
    </row>
    <row r="3839" ht="15.6" spans="4:11">
      <c r="D3839" s="3" t="s">
        <v>4081</v>
      </c>
      <c r="E3839" s="3" t="s">
        <v>222</v>
      </c>
      <c r="J3839" s="3" t="s">
        <v>4081</v>
      </c>
      <c r="K3839" s="3" t="s">
        <v>222</v>
      </c>
    </row>
    <row r="3840" ht="15.6" spans="4:11">
      <c r="D3840" s="3" t="s">
        <v>4082</v>
      </c>
      <c r="E3840" s="3" t="s">
        <v>222</v>
      </c>
      <c r="J3840" s="3" t="s">
        <v>4082</v>
      </c>
      <c r="K3840" s="3" t="s">
        <v>222</v>
      </c>
    </row>
    <row r="3841" ht="15.6" spans="4:11">
      <c r="D3841" s="3" t="s">
        <v>4083</v>
      </c>
      <c r="E3841" s="3" t="s">
        <v>222</v>
      </c>
      <c r="J3841" s="3" t="s">
        <v>4083</v>
      </c>
      <c r="K3841" s="3" t="s">
        <v>222</v>
      </c>
    </row>
    <row r="3842" ht="15.6" spans="4:11">
      <c r="D3842" s="3" t="s">
        <v>4084</v>
      </c>
      <c r="E3842" s="3" t="s">
        <v>222</v>
      </c>
      <c r="J3842" s="3" t="s">
        <v>4084</v>
      </c>
      <c r="K3842" s="3" t="s">
        <v>222</v>
      </c>
    </row>
    <row r="3843" ht="15.6" spans="4:11">
      <c r="D3843" s="3" t="s">
        <v>4085</v>
      </c>
      <c r="E3843" s="3" t="s">
        <v>222</v>
      </c>
      <c r="J3843" s="3" t="s">
        <v>4085</v>
      </c>
      <c r="K3843" s="3" t="s">
        <v>222</v>
      </c>
    </row>
    <row r="3844" ht="15.6" spans="4:11">
      <c r="D3844" s="3" t="s">
        <v>4086</v>
      </c>
      <c r="E3844" s="3" t="s">
        <v>222</v>
      </c>
      <c r="J3844" s="3" t="s">
        <v>4086</v>
      </c>
      <c r="K3844" s="3" t="s">
        <v>222</v>
      </c>
    </row>
    <row r="3845" ht="15.6" spans="4:11">
      <c r="D3845" s="3" t="s">
        <v>4087</v>
      </c>
      <c r="E3845" s="3" t="s">
        <v>222</v>
      </c>
      <c r="J3845" s="3" t="s">
        <v>4087</v>
      </c>
      <c r="K3845" s="3" t="s">
        <v>222</v>
      </c>
    </row>
    <row r="3846" ht="15.6" spans="4:11">
      <c r="D3846" s="3" t="s">
        <v>4088</v>
      </c>
      <c r="E3846" s="3" t="s">
        <v>222</v>
      </c>
      <c r="J3846" s="3" t="s">
        <v>4088</v>
      </c>
      <c r="K3846" s="3" t="s">
        <v>222</v>
      </c>
    </row>
    <row r="3847" ht="15.6" spans="4:11">
      <c r="D3847" s="3" t="s">
        <v>4089</v>
      </c>
      <c r="E3847" s="3" t="s">
        <v>222</v>
      </c>
      <c r="J3847" s="3" t="s">
        <v>4089</v>
      </c>
      <c r="K3847" s="3" t="s">
        <v>222</v>
      </c>
    </row>
    <row r="3848" ht="15.6" spans="4:11">
      <c r="D3848" s="3" t="s">
        <v>4090</v>
      </c>
      <c r="E3848" s="3" t="s">
        <v>222</v>
      </c>
      <c r="J3848" s="3" t="s">
        <v>4090</v>
      </c>
      <c r="K3848" s="3" t="s">
        <v>222</v>
      </c>
    </row>
    <row r="3849" ht="15.6" spans="4:11">
      <c r="D3849" s="3" t="s">
        <v>4091</v>
      </c>
      <c r="E3849" s="3" t="s">
        <v>222</v>
      </c>
      <c r="J3849" s="3" t="s">
        <v>4091</v>
      </c>
      <c r="K3849" s="3" t="s">
        <v>222</v>
      </c>
    </row>
    <row r="3850" ht="15.6" spans="4:11">
      <c r="D3850" s="3" t="s">
        <v>4092</v>
      </c>
      <c r="E3850" s="3" t="s">
        <v>222</v>
      </c>
      <c r="J3850" s="3" t="s">
        <v>4092</v>
      </c>
      <c r="K3850" s="3" t="s">
        <v>222</v>
      </c>
    </row>
    <row r="3851" ht="15.6" spans="4:11">
      <c r="D3851" s="3" t="s">
        <v>4093</v>
      </c>
      <c r="E3851" s="3" t="s">
        <v>222</v>
      </c>
      <c r="J3851" s="3" t="s">
        <v>4093</v>
      </c>
      <c r="K3851" s="3" t="s">
        <v>222</v>
      </c>
    </row>
    <row r="3852" ht="15.6" spans="4:11">
      <c r="D3852" s="3" t="s">
        <v>4094</v>
      </c>
      <c r="E3852" s="3" t="s">
        <v>222</v>
      </c>
      <c r="J3852" s="3" t="s">
        <v>4094</v>
      </c>
      <c r="K3852" s="3" t="s">
        <v>222</v>
      </c>
    </row>
    <row r="3853" ht="15.6" spans="4:11">
      <c r="D3853" s="3" t="s">
        <v>4095</v>
      </c>
      <c r="E3853" s="3" t="s">
        <v>222</v>
      </c>
      <c r="J3853" s="3" t="s">
        <v>4095</v>
      </c>
      <c r="K3853" s="3" t="s">
        <v>222</v>
      </c>
    </row>
    <row r="3854" ht="15.6" spans="4:11">
      <c r="D3854" s="3" t="s">
        <v>4096</v>
      </c>
      <c r="E3854" s="3" t="s">
        <v>222</v>
      </c>
      <c r="J3854" s="3" t="s">
        <v>4096</v>
      </c>
      <c r="K3854" s="3" t="s">
        <v>222</v>
      </c>
    </row>
    <row r="3855" ht="15.6" spans="4:11">
      <c r="D3855" s="3" t="s">
        <v>4097</v>
      </c>
      <c r="E3855" s="3" t="s">
        <v>222</v>
      </c>
      <c r="J3855" s="3" t="s">
        <v>4097</v>
      </c>
      <c r="K3855" s="3" t="s">
        <v>222</v>
      </c>
    </row>
    <row r="3856" ht="15.6" spans="4:11">
      <c r="D3856" s="3" t="s">
        <v>4098</v>
      </c>
      <c r="E3856" s="3" t="s">
        <v>222</v>
      </c>
      <c r="J3856" s="3" t="s">
        <v>4098</v>
      </c>
      <c r="K3856" s="3" t="s">
        <v>222</v>
      </c>
    </row>
    <row r="3857" ht="15.6" spans="4:11">
      <c r="D3857" s="3" t="s">
        <v>4099</v>
      </c>
      <c r="E3857" s="3" t="s">
        <v>222</v>
      </c>
      <c r="J3857" s="3" t="s">
        <v>4099</v>
      </c>
      <c r="K3857" s="3" t="s">
        <v>222</v>
      </c>
    </row>
    <row r="3858" ht="15.6" spans="4:11">
      <c r="D3858" s="3" t="s">
        <v>4100</v>
      </c>
      <c r="E3858" s="3" t="s">
        <v>222</v>
      </c>
      <c r="J3858" s="3" t="s">
        <v>4100</v>
      </c>
      <c r="K3858" s="3" t="s">
        <v>222</v>
      </c>
    </row>
    <row r="3859" ht="15.6" spans="4:11">
      <c r="D3859" s="3" t="s">
        <v>4101</v>
      </c>
      <c r="E3859" s="3" t="s">
        <v>222</v>
      </c>
      <c r="J3859" s="3" t="s">
        <v>4101</v>
      </c>
      <c r="K3859" s="3" t="s">
        <v>222</v>
      </c>
    </row>
    <row r="3860" ht="15.6" spans="4:11">
      <c r="D3860" s="3" t="s">
        <v>4102</v>
      </c>
      <c r="E3860" s="3" t="s">
        <v>222</v>
      </c>
      <c r="J3860" s="3" t="s">
        <v>4102</v>
      </c>
      <c r="K3860" s="3" t="s">
        <v>222</v>
      </c>
    </row>
    <row r="3861" ht="15.6" spans="4:11">
      <c r="D3861" s="3" t="s">
        <v>4103</v>
      </c>
      <c r="E3861" s="3" t="s">
        <v>222</v>
      </c>
      <c r="J3861" s="3" t="s">
        <v>4103</v>
      </c>
      <c r="K3861" s="3" t="s">
        <v>222</v>
      </c>
    </row>
    <row r="3862" ht="15.6" spans="4:11">
      <c r="D3862" s="3" t="s">
        <v>4104</v>
      </c>
      <c r="E3862" s="3" t="s">
        <v>222</v>
      </c>
      <c r="J3862" s="3" t="s">
        <v>4104</v>
      </c>
      <c r="K3862" s="3" t="s">
        <v>222</v>
      </c>
    </row>
    <row r="3863" ht="15.6" spans="4:11">
      <c r="D3863" s="3" t="s">
        <v>4105</v>
      </c>
      <c r="E3863" s="3" t="s">
        <v>222</v>
      </c>
      <c r="J3863" s="3" t="s">
        <v>4105</v>
      </c>
      <c r="K3863" s="3" t="s">
        <v>222</v>
      </c>
    </row>
    <row r="3864" ht="15.6" spans="4:11">
      <c r="D3864" s="3" t="s">
        <v>4106</v>
      </c>
      <c r="E3864" s="3" t="s">
        <v>222</v>
      </c>
      <c r="J3864" s="3" t="s">
        <v>4106</v>
      </c>
      <c r="K3864" s="3" t="s">
        <v>222</v>
      </c>
    </row>
    <row r="3865" ht="15.6" spans="4:11">
      <c r="D3865" s="3" t="s">
        <v>4107</v>
      </c>
      <c r="E3865" s="3" t="s">
        <v>222</v>
      </c>
      <c r="J3865" s="3" t="s">
        <v>4107</v>
      </c>
      <c r="K3865" s="3" t="s">
        <v>222</v>
      </c>
    </row>
    <row r="3866" ht="15.6" spans="4:11">
      <c r="D3866" s="3" t="s">
        <v>4108</v>
      </c>
      <c r="E3866" s="3" t="s">
        <v>222</v>
      </c>
      <c r="J3866" s="3" t="s">
        <v>4108</v>
      </c>
      <c r="K3866" s="3" t="s">
        <v>222</v>
      </c>
    </row>
    <row r="3867" ht="15.6" spans="4:11">
      <c r="D3867" s="3" t="s">
        <v>4109</v>
      </c>
      <c r="E3867" s="3" t="s">
        <v>222</v>
      </c>
      <c r="J3867" s="3" t="s">
        <v>4109</v>
      </c>
      <c r="K3867" s="3" t="s">
        <v>222</v>
      </c>
    </row>
    <row r="3868" ht="15.6" spans="4:11">
      <c r="D3868" s="3" t="s">
        <v>4110</v>
      </c>
      <c r="E3868" s="3" t="s">
        <v>222</v>
      </c>
      <c r="J3868" s="3" t="s">
        <v>4110</v>
      </c>
      <c r="K3868" s="3" t="s">
        <v>222</v>
      </c>
    </row>
    <row r="3869" ht="15.6" spans="4:11">
      <c r="D3869" s="3" t="s">
        <v>4111</v>
      </c>
      <c r="E3869" s="3" t="s">
        <v>222</v>
      </c>
      <c r="J3869" s="3" t="s">
        <v>4111</v>
      </c>
      <c r="K3869" s="3" t="s">
        <v>222</v>
      </c>
    </row>
    <row r="3870" ht="15.6" spans="4:11">
      <c r="D3870" s="3" t="s">
        <v>4112</v>
      </c>
      <c r="E3870" s="3" t="s">
        <v>222</v>
      </c>
      <c r="J3870" s="3" t="s">
        <v>4112</v>
      </c>
      <c r="K3870" s="3" t="s">
        <v>222</v>
      </c>
    </row>
    <row r="3871" ht="15.6" spans="4:11">
      <c r="D3871" s="3" t="s">
        <v>4113</v>
      </c>
      <c r="E3871" s="3" t="s">
        <v>222</v>
      </c>
      <c r="J3871" s="3" t="s">
        <v>4113</v>
      </c>
      <c r="K3871" s="3" t="s">
        <v>222</v>
      </c>
    </row>
    <row r="3872" ht="15.6" spans="4:11">
      <c r="D3872" s="3" t="s">
        <v>4114</v>
      </c>
      <c r="E3872" s="3" t="s">
        <v>222</v>
      </c>
      <c r="J3872" s="3" t="s">
        <v>4114</v>
      </c>
      <c r="K3872" s="3" t="s">
        <v>222</v>
      </c>
    </row>
    <row r="3873" ht="15.6" spans="4:11">
      <c r="D3873" s="3" t="s">
        <v>4115</v>
      </c>
      <c r="E3873" s="3" t="s">
        <v>222</v>
      </c>
      <c r="J3873" s="3" t="s">
        <v>4115</v>
      </c>
      <c r="K3873" s="3" t="s">
        <v>222</v>
      </c>
    </row>
    <row r="3874" ht="15.6" spans="4:11">
      <c r="D3874" s="3" t="s">
        <v>4116</v>
      </c>
      <c r="E3874" s="3" t="s">
        <v>222</v>
      </c>
      <c r="J3874" s="3" t="s">
        <v>4116</v>
      </c>
      <c r="K3874" s="3" t="s">
        <v>222</v>
      </c>
    </row>
    <row r="3875" ht="15.6" spans="4:11">
      <c r="D3875" s="3" t="s">
        <v>4117</v>
      </c>
      <c r="E3875" s="3" t="s">
        <v>222</v>
      </c>
      <c r="J3875" s="3" t="s">
        <v>4117</v>
      </c>
      <c r="K3875" s="3" t="s">
        <v>222</v>
      </c>
    </row>
    <row r="3876" ht="15.6" spans="4:11">
      <c r="D3876" s="3" t="s">
        <v>4118</v>
      </c>
      <c r="E3876" s="3" t="s">
        <v>222</v>
      </c>
      <c r="J3876" s="3" t="s">
        <v>4118</v>
      </c>
      <c r="K3876" s="3" t="s">
        <v>222</v>
      </c>
    </row>
    <row r="3877" ht="15.6" spans="4:11">
      <c r="D3877" s="3" t="s">
        <v>4119</v>
      </c>
      <c r="E3877" s="3" t="s">
        <v>222</v>
      </c>
      <c r="J3877" s="3" t="s">
        <v>4119</v>
      </c>
      <c r="K3877" s="3" t="s">
        <v>222</v>
      </c>
    </row>
    <row r="3878" ht="15.6" spans="4:11">
      <c r="D3878" s="3" t="s">
        <v>4120</v>
      </c>
      <c r="E3878" s="3" t="s">
        <v>222</v>
      </c>
      <c r="J3878" s="3" t="s">
        <v>4120</v>
      </c>
      <c r="K3878" s="3" t="s">
        <v>222</v>
      </c>
    </row>
    <row r="3879" ht="15.6" spans="4:11">
      <c r="D3879" s="3" t="s">
        <v>4121</v>
      </c>
      <c r="E3879" s="3" t="s">
        <v>222</v>
      </c>
      <c r="J3879" s="3" t="s">
        <v>4121</v>
      </c>
      <c r="K3879" s="3" t="s">
        <v>222</v>
      </c>
    </row>
    <row r="3880" ht="15.6" spans="4:11">
      <c r="D3880" s="3" t="s">
        <v>4122</v>
      </c>
      <c r="E3880" s="3" t="s">
        <v>222</v>
      </c>
      <c r="J3880" s="3" t="s">
        <v>4122</v>
      </c>
      <c r="K3880" s="3" t="s">
        <v>222</v>
      </c>
    </row>
    <row r="3881" ht="15.6" spans="4:11">
      <c r="D3881" s="3" t="s">
        <v>4123</v>
      </c>
      <c r="E3881" s="3" t="s">
        <v>222</v>
      </c>
      <c r="J3881" s="3" t="s">
        <v>4123</v>
      </c>
      <c r="K3881" s="3" t="s">
        <v>222</v>
      </c>
    </row>
    <row r="3882" ht="15.6" spans="4:11">
      <c r="D3882" s="3" t="s">
        <v>4124</v>
      </c>
      <c r="E3882" s="3" t="s">
        <v>222</v>
      </c>
      <c r="J3882" s="3" t="s">
        <v>4124</v>
      </c>
      <c r="K3882" s="3" t="s">
        <v>222</v>
      </c>
    </row>
    <row r="3883" ht="15.6" spans="4:11">
      <c r="D3883" s="3" t="s">
        <v>4125</v>
      </c>
      <c r="E3883" s="3" t="s">
        <v>222</v>
      </c>
      <c r="J3883" s="3" t="s">
        <v>4125</v>
      </c>
      <c r="K3883" s="3" t="s">
        <v>222</v>
      </c>
    </row>
    <row r="3884" ht="15.6" spans="4:11">
      <c r="D3884" s="3" t="s">
        <v>4126</v>
      </c>
      <c r="E3884" s="3" t="s">
        <v>222</v>
      </c>
      <c r="J3884" s="3" t="s">
        <v>4126</v>
      </c>
      <c r="K3884" s="3" t="s">
        <v>222</v>
      </c>
    </row>
    <row r="3885" ht="15.6" spans="4:11">
      <c r="D3885" s="3" t="s">
        <v>4127</v>
      </c>
      <c r="E3885" s="3" t="s">
        <v>222</v>
      </c>
      <c r="J3885" s="3" t="s">
        <v>4127</v>
      </c>
      <c r="K3885" s="3" t="s">
        <v>222</v>
      </c>
    </row>
    <row r="3886" ht="15.6" spans="4:11">
      <c r="D3886" s="3" t="s">
        <v>4128</v>
      </c>
      <c r="E3886" s="3" t="s">
        <v>222</v>
      </c>
      <c r="J3886" s="3" t="s">
        <v>4128</v>
      </c>
      <c r="K3886" s="3" t="s">
        <v>222</v>
      </c>
    </row>
    <row r="3887" ht="15.6" spans="4:11">
      <c r="D3887" s="3" t="s">
        <v>4129</v>
      </c>
      <c r="E3887" s="3" t="s">
        <v>222</v>
      </c>
      <c r="J3887" s="3" t="s">
        <v>4129</v>
      </c>
      <c r="K3887" s="3" t="s">
        <v>222</v>
      </c>
    </row>
    <row r="3888" ht="15.6" spans="4:11">
      <c r="D3888" s="3" t="s">
        <v>4130</v>
      </c>
      <c r="E3888" s="3" t="s">
        <v>222</v>
      </c>
      <c r="J3888" s="3" t="s">
        <v>4130</v>
      </c>
      <c r="K3888" s="3" t="s">
        <v>222</v>
      </c>
    </row>
    <row r="3889" ht="15.6" spans="4:11">
      <c r="D3889" s="3" t="s">
        <v>4131</v>
      </c>
      <c r="E3889" s="3" t="s">
        <v>222</v>
      </c>
      <c r="J3889" s="3" t="s">
        <v>4131</v>
      </c>
      <c r="K3889" s="3" t="s">
        <v>222</v>
      </c>
    </row>
    <row r="3890" ht="15.6" spans="4:11">
      <c r="D3890" s="3" t="s">
        <v>4132</v>
      </c>
      <c r="E3890" s="3" t="s">
        <v>222</v>
      </c>
      <c r="J3890" s="3" t="s">
        <v>4132</v>
      </c>
      <c r="K3890" s="3" t="s">
        <v>222</v>
      </c>
    </row>
    <row r="3891" ht="15.6" spans="4:11">
      <c r="D3891" s="3" t="s">
        <v>4133</v>
      </c>
      <c r="E3891" s="3" t="s">
        <v>222</v>
      </c>
      <c r="J3891" s="3" t="s">
        <v>4133</v>
      </c>
      <c r="K3891" s="3" t="s">
        <v>222</v>
      </c>
    </row>
    <row r="3892" ht="15.6" spans="4:11">
      <c r="D3892" s="3" t="s">
        <v>4134</v>
      </c>
      <c r="E3892" s="3" t="s">
        <v>222</v>
      </c>
      <c r="J3892" s="3" t="s">
        <v>4134</v>
      </c>
      <c r="K3892" s="3" t="s">
        <v>222</v>
      </c>
    </row>
    <row r="3893" ht="15.6" spans="4:11">
      <c r="D3893" s="3" t="s">
        <v>4135</v>
      </c>
      <c r="E3893" s="3" t="s">
        <v>222</v>
      </c>
      <c r="J3893" s="3" t="s">
        <v>4135</v>
      </c>
      <c r="K3893" s="3" t="s">
        <v>222</v>
      </c>
    </row>
    <row r="3894" ht="15.6" spans="4:11">
      <c r="D3894" s="3" t="s">
        <v>4136</v>
      </c>
      <c r="E3894" s="3" t="s">
        <v>222</v>
      </c>
      <c r="J3894" s="3" t="s">
        <v>4136</v>
      </c>
      <c r="K3894" s="3" t="s">
        <v>222</v>
      </c>
    </row>
    <row r="3895" ht="15.6" spans="4:11">
      <c r="D3895" s="3" t="s">
        <v>4137</v>
      </c>
      <c r="E3895" s="3" t="s">
        <v>222</v>
      </c>
      <c r="J3895" s="3" t="s">
        <v>4137</v>
      </c>
      <c r="K3895" s="3" t="s">
        <v>222</v>
      </c>
    </row>
    <row r="3896" ht="15.6" spans="4:11">
      <c r="D3896" s="3" t="s">
        <v>4138</v>
      </c>
      <c r="E3896" s="3" t="s">
        <v>222</v>
      </c>
      <c r="J3896" s="3" t="s">
        <v>4138</v>
      </c>
      <c r="K3896" s="3" t="s">
        <v>222</v>
      </c>
    </row>
    <row r="3897" ht="15.6" spans="4:11">
      <c r="D3897" s="3" t="s">
        <v>4139</v>
      </c>
      <c r="E3897" s="3" t="s">
        <v>222</v>
      </c>
      <c r="J3897" s="3" t="s">
        <v>4139</v>
      </c>
      <c r="K3897" s="3" t="s">
        <v>222</v>
      </c>
    </row>
    <row r="3898" ht="15.6" spans="4:11">
      <c r="D3898" s="3" t="s">
        <v>4140</v>
      </c>
      <c r="E3898" s="3" t="s">
        <v>222</v>
      </c>
      <c r="J3898" s="3" t="s">
        <v>4140</v>
      </c>
      <c r="K3898" s="3" t="s">
        <v>222</v>
      </c>
    </row>
    <row r="3899" ht="15.6" spans="4:11">
      <c r="D3899" s="3" t="s">
        <v>4141</v>
      </c>
      <c r="E3899" s="3" t="s">
        <v>222</v>
      </c>
      <c r="J3899" s="3" t="s">
        <v>4141</v>
      </c>
      <c r="K3899" s="3" t="s">
        <v>222</v>
      </c>
    </row>
    <row r="3900" ht="15.6" spans="4:11">
      <c r="D3900" s="3" t="s">
        <v>4142</v>
      </c>
      <c r="E3900" s="3" t="s">
        <v>222</v>
      </c>
      <c r="J3900" s="3" t="s">
        <v>4142</v>
      </c>
      <c r="K3900" s="3" t="s">
        <v>222</v>
      </c>
    </row>
    <row r="3901" ht="15.6" spans="4:11">
      <c r="D3901" s="3" t="s">
        <v>4143</v>
      </c>
      <c r="E3901" s="3" t="s">
        <v>222</v>
      </c>
      <c r="J3901" s="3" t="s">
        <v>4143</v>
      </c>
      <c r="K3901" s="3" t="s">
        <v>222</v>
      </c>
    </row>
    <row r="3902" ht="15.6" spans="4:11">
      <c r="D3902" s="3" t="s">
        <v>4144</v>
      </c>
      <c r="E3902" s="3" t="s">
        <v>222</v>
      </c>
      <c r="J3902" s="3" t="s">
        <v>4144</v>
      </c>
      <c r="K3902" s="3" t="s">
        <v>222</v>
      </c>
    </row>
    <row r="3903" ht="15.6" spans="4:11">
      <c r="D3903" s="3" t="s">
        <v>4145</v>
      </c>
      <c r="E3903" s="3" t="s">
        <v>222</v>
      </c>
      <c r="J3903" s="3" t="s">
        <v>4145</v>
      </c>
      <c r="K3903" s="3" t="s">
        <v>222</v>
      </c>
    </row>
    <row r="3904" ht="15.6" spans="4:11">
      <c r="D3904" s="3" t="s">
        <v>4146</v>
      </c>
      <c r="E3904" s="3" t="s">
        <v>222</v>
      </c>
      <c r="J3904" s="3" t="s">
        <v>4146</v>
      </c>
      <c r="K3904" s="3" t="s">
        <v>222</v>
      </c>
    </row>
    <row r="3905" ht="15.6" spans="4:11">
      <c r="D3905" s="3" t="s">
        <v>4147</v>
      </c>
      <c r="E3905" s="3" t="s">
        <v>222</v>
      </c>
      <c r="J3905" s="3" t="s">
        <v>4147</v>
      </c>
      <c r="K3905" s="3" t="s">
        <v>222</v>
      </c>
    </row>
    <row r="3906" ht="15.6" spans="4:11">
      <c r="D3906" s="3" t="s">
        <v>4148</v>
      </c>
      <c r="E3906" s="3" t="s">
        <v>222</v>
      </c>
      <c r="J3906" s="3" t="s">
        <v>4148</v>
      </c>
      <c r="K3906" s="3" t="s">
        <v>222</v>
      </c>
    </row>
    <row r="3907" ht="15.6" spans="4:11">
      <c r="D3907" s="3" t="s">
        <v>4149</v>
      </c>
      <c r="E3907" s="3" t="s">
        <v>222</v>
      </c>
      <c r="J3907" s="3" t="s">
        <v>4149</v>
      </c>
      <c r="K3907" s="3" t="s">
        <v>222</v>
      </c>
    </row>
    <row r="3908" ht="15.6" spans="4:11">
      <c r="D3908" s="3" t="s">
        <v>4150</v>
      </c>
      <c r="E3908" s="3" t="s">
        <v>222</v>
      </c>
      <c r="J3908" s="3" t="s">
        <v>4150</v>
      </c>
      <c r="K3908" s="3" t="s">
        <v>222</v>
      </c>
    </row>
    <row r="3909" ht="15.6" spans="4:11">
      <c r="D3909" s="3" t="s">
        <v>4151</v>
      </c>
      <c r="E3909" s="3" t="s">
        <v>222</v>
      </c>
      <c r="J3909" s="3" t="s">
        <v>4151</v>
      </c>
      <c r="K3909" s="3" t="s">
        <v>222</v>
      </c>
    </row>
    <row r="3910" ht="15.6" spans="4:11">
      <c r="D3910" s="3" t="s">
        <v>4152</v>
      </c>
      <c r="E3910" s="3" t="s">
        <v>222</v>
      </c>
      <c r="J3910" s="3" t="s">
        <v>4152</v>
      </c>
      <c r="K3910" s="3" t="s">
        <v>222</v>
      </c>
    </row>
    <row r="3911" ht="15.6" spans="4:11">
      <c r="D3911" s="3" t="s">
        <v>4153</v>
      </c>
      <c r="E3911" s="3" t="s">
        <v>222</v>
      </c>
      <c r="J3911" s="3" t="s">
        <v>4153</v>
      </c>
      <c r="K3911" s="3" t="s">
        <v>222</v>
      </c>
    </row>
    <row r="3912" ht="15.6" spans="4:11">
      <c r="D3912" s="3" t="s">
        <v>4154</v>
      </c>
      <c r="E3912" s="3" t="s">
        <v>222</v>
      </c>
      <c r="J3912" s="3" t="s">
        <v>4154</v>
      </c>
      <c r="K3912" s="3" t="s">
        <v>222</v>
      </c>
    </row>
    <row r="3913" ht="15.6" spans="4:11">
      <c r="D3913" s="3" t="s">
        <v>4155</v>
      </c>
      <c r="E3913" s="3" t="s">
        <v>222</v>
      </c>
      <c r="J3913" s="3" t="s">
        <v>4155</v>
      </c>
      <c r="K3913" s="3" t="s">
        <v>222</v>
      </c>
    </row>
    <row r="3914" ht="15.6" spans="4:11">
      <c r="D3914" s="3" t="s">
        <v>4156</v>
      </c>
      <c r="E3914" s="3" t="s">
        <v>222</v>
      </c>
      <c r="J3914" s="3" t="s">
        <v>4156</v>
      </c>
      <c r="K3914" s="3" t="s">
        <v>222</v>
      </c>
    </row>
    <row r="3915" ht="15.6" spans="4:11">
      <c r="D3915" s="3" t="s">
        <v>4157</v>
      </c>
      <c r="E3915" s="3" t="s">
        <v>222</v>
      </c>
      <c r="J3915" s="3" t="s">
        <v>4157</v>
      </c>
      <c r="K3915" s="3" t="s">
        <v>222</v>
      </c>
    </row>
    <row r="3916" ht="15.6" spans="4:11">
      <c r="D3916" s="3" t="s">
        <v>4158</v>
      </c>
      <c r="E3916" s="3" t="s">
        <v>222</v>
      </c>
      <c r="J3916" s="3" t="s">
        <v>4158</v>
      </c>
      <c r="K3916" s="3" t="s">
        <v>222</v>
      </c>
    </row>
    <row r="3917" ht="15.6" spans="4:11">
      <c r="D3917" s="3" t="s">
        <v>4159</v>
      </c>
      <c r="E3917" s="3" t="s">
        <v>222</v>
      </c>
      <c r="J3917" s="3" t="s">
        <v>4159</v>
      </c>
      <c r="K3917" s="3" t="s">
        <v>222</v>
      </c>
    </row>
    <row r="3918" ht="15.6" spans="4:11">
      <c r="D3918" s="3" t="s">
        <v>4160</v>
      </c>
      <c r="E3918" s="3" t="s">
        <v>222</v>
      </c>
      <c r="J3918" s="3" t="s">
        <v>4160</v>
      </c>
      <c r="K3918" s="3" t="s">
        <v>222</v>
      </c>
    </row>
    <row r="3919" ht="15.6" spans="4:11">
      <c r="D3919" s="3" t="s">
        <v>4161</v>
      </c>
      <c r="E3919" s="3" t="s">
        <v>222</v>
      </c>
      <c r="J3919" s="3" t="s">
        <v>4161</v>
      </c>
      <c r="K3919" s="3" t="s">
        <v>222</v>
      </c>
    </row>
    <row r="3920" ht="15.6" spans="4:11">
      <c r="D3920" s="3" t="s">
        <v>4162</v>
      </c>
      <c r="E3920" s="3" t="s">
        <v>222</v>
      </c>
      <c r="J3920" s="3" t="s">
        <v>4162</v>
      </c>
      <c r="K3920" s="3" t="s">
        <v>222</v>
      </c>
    </row>
    <row r="3921" ht="15.6" spans="4:11">
      <c r="D3921" s="3" t="s">
        <v>4163</v>
      </c>
      <c r="E3921" s="3" t="s">
        <v>222</v>
      </c>
      <c r="J3921" s="3" t="s">
        <v>4163</v>
      </c>
      <c r="K3921" s="3" t="s">
        <v>222</v>
      </c>
    </row>
    <row r="3922" ht="15.6" spans="4:11">
      <c r="D3922" s="3" t="s">
        <v>4164</v>
      </c>
      <c r="E3922" s="3" t="s">
        <v>222</v>
      </c>
      <c r="J3922" s="3" t="s">
        <v>4164</v>
      </c>
      <c r="K3922" s="3" t="s">
        <v>222</v>
      </c>
    </row>
    <row r="3923" ht="15.6" spans="4:11">
      <c r="D3923" s="3">
        <v>1936</v>
      </c>
      <c r="E3923" s="3" t="s">
        <v>222</v>
      </c>
      <c r="J3923" s="3" t="s">
        <v>4165</v>
      </c>
      <c r="K3923" s="3" t="s">
        <v>222</v>
      </c>
    </row>
    <row r="3924" ht="15.6" spans="4:11">
      <c r="D3924" s="3">
        <v>1937</v>
      </c>
      <c r="E3924" s="3" t="s">
        <v>222</v>
      </c>
      <c r="J3924" s="3" t="s">
        <v>4166</v>
      </c>
      <c r="K3924" s="3" t="s">
        <v>222</v>
      </c>
    </row>
    <row r="3925" ht="15.6" spans="4:11">
      <c r="D3925" s="3">
        <v>1938</v>
      </c>
      <c r="E3925" s="3" t="s">
        <v>222</v>
      </c>
      <c r="J3925" s="3" t="s">
        <v>4167</v>
      </c>
      <c r="K3925" s="3" t="s">
        <v>222</v>
      </c>
    </row>
    <row r="3926" ht="15.6" spans="4:11">
      <c r="D3926" s="3">
        <v>1939</v>
      </c>
      <c r="E3926" s="3" t="s">
        <v>222</v>
      </c>
      <c r="J3926" s="3" t="s">
        <v>4168</v>
      </c>
      <c r="K3926" s="3" t="s">
        <v>222</v>
      </c>
    </row>
    <row r="3927" ht="15.6" spans="4:11">
      <c r="D3927" s="3">
        <v>1940</v>
      </c>
      <c r="E3927" s="3" t="s">
        <v>222</v>
      </c>
      <c r="J3927" s="3" t="s">
        <v>4169</v>
      </c>
      <c r="K3927" s="3" t="s">
        <v>222</v>
      </c>
    </row>
    <row r="3928" ht="15.6" spans="4:11">
      <c r="D3928" s="3">
        <v>1941</v>
      </c>
      <c r="E3928" s="3" t="s">
        <v>222</v>
      </c>
      <c r="J3928" s="3" t="s">
        <v>4170</v>
      </c>
      <c r="K3928" s="3" t="s">
        <v>222</v>
      </c>
    </row>
    <row r="3929" ht="15.6" spans="4:11">
      <c r="D3929" s="3">
        <v>1942</v>
      </c>
      <c r="E3929" s="3" t="s">
        <v>222</v>
      </c>
      <c r="J3929" s="3" t="s">
        <v>4171</v>
      </c>
      <c r="K3929" s="3" t="s">
        <v>222</v>
      </c>
    </row>
    <row r="3930" ht="15.6" spans="4:11">
      <c r="D3930" s="3">
        <v>1943</v>
      </c>
      <c r="E3930" s="3" t="s">
        <v>222</v>
      </c>
      <c r="J3930" s="3" t="s">
        <v>4172</v>
      </c>
      <c r="K3930" s="3" t="s">
        <v>222</v>
      </c>
    </row>
    <row r="3931" ht="15.6" spans="4:11">
      <c r="D3931" s="3">
        <v>1944</v>
      </c>
      <c r="E3931" s="3" t="s">
        <v>222</v>
      </c>
      <c r="J3931" s="3" t="s">
        <v>4173</v>
      </c>
      <c r="K3931" s="3" t="s">
        <v>222</v>
      </c>
    </row>
    <row r="3932" ht="15.6" spans="4:11">
      <c r="D3932" s="3">
        <v>1945</v>
      </c>
      <c r="E3932" s="3" t="s">
        <v>222</v>
      </c>
      <c r="J3932" s="3" t="s">
        <v>4174</v>
      </c>
      <c r="K3932" s="3" t="s">
        <v>222</v>
      </c>
    </row>
    <row r="3933" ht="15.6" spans="4:11">
      <c r="D3933" s="3">
        <v>1946</v>
      </c>
      <c r="E3933" s="3" t="s">
        <v>222</v>
      </c>
      <c r="J3933" s="3" t="s">
        <v>4175</v>
      </c>
      <c r="K3933" s="3" t="s">
        <v>222</v>
      </c>
    </row>
    <row r="3934" ht="15.6" spans="4:11">
      <c r="D3934" s="3">
        <v>1947</v>
      </c>
      <c r="E3934" s="3" t="s">
        <v>222</v>
      </c>
      <c r="J3934" s="3" t="s">
        <v>4176</v>
      </c>
      <c r="K3934" s="3" t="s">
        <v>222</v>
      </c>
    </row>
    <row r="3935" ht="15.6" spans="4:11">
      <c r="D3935" s="3">
        <v>1948</v>
      </c>
      <c r="E3935" s="3" t="s">
        <v>222</v>
      </c>
      <c r="J3935" s="3" t="s">
        <v>4177</v>
      </c>
      <c r="K3935" s="3" t="s">
        <v>222</v>
      </c>
    </row>
    <row r="3936" ht="15.6" spans="4:11">
      <c r="D3936" s="3">
        <v>1949</v>
      </c>
      <c r="E3936" s="3" t="s">
        <v>222</v>
      </c>
      <c r="J3936" s="3" t="s">
        <v>4178</v>
      </c>
      <c r="K3936" s="3" t="s">
        <v>222</v>
      </c>
    </row>
    <row r="3937" ht="15.6" spans="4:11">
      <c r="D3937" s="3">
        <v>1950</v>
      </c>
      <c r="E3937" s="3" t="s">
        <v>222</v>
      </c>
      <c r="J3937" s="3" t="s">
        <v>4179</v>
      </c>
      <c r="K3937" s="3" t="s">
        <v>222</v>
      </c>
    </row>
    <row r="3938" ht="15.6" spans="4:11">
      <c r="D3938" s="3">
        <v>1951</v>
      </c>
      <c r="E3938" s="3" t="s">
        <v>222</v>
      </c>
      <c r="J3938" s="3" t="s">
        <v>4180</v>
      </c>
      <c r="K3938" s="3" t="s">
        <v>222</v>
      </c>
    </row>
    <row r="3939" ht="15.6" spans="4:11">
      <c r="D3939" s="3">
        <v>1952</v>
      </c>
      <c r="E3939" s="3" t="s">
        <v>222</v>
      </c>
      <c r="J3939" s="3" t="s">
        <v>4181</v>
      </c>
      <c r="K3939" s="3" t="s">
        <v>222</v>
      </c>
    </row>
    <row r="3940" ht="15.6" spans="4:11">
      <c r="D3940" s="3">
        <v>1953</v>
      </c>
      <c r="E3940" s="3" t="s">
        <v>222</v>
      </c>
      <c r="J3940" s="3" t="s">
        <v>4182</v>
      </c>
      <c r="K3940" s="3" t="s">
        <v>222</v>
      </c>
    </row>
    <row r="3941" ht="15.6" spans="4:11">
      <c r="D3941" s="3">
        <v>1954</v>
      </c>
      <c r="E3941" s="3" t="s">
        <v>222</v>
      </c>
      <c r="J3941" s="3" t="s">
        <v>4183</v>
      </c>
      <c r="K3941" s="3" t="s">
        <v>222</v>
      </c>
    </row>
    <row r="3942" ht="15.6" spans="4:11">
      <c r="D3942" s="3">
        <v>1955</v>
      </c>
      <c r="E3942" s="3" t="s">
        <v>222</v>
      </c>
      <c r="J3942" s="3" t="s">
        <v>4184</v>
      </c>
      <c r="K3942" s="3" t="s">
        <v>222</v>
      </c>
    </row>
    <row r="3943" ht="15.6" spans="4:11">
      <c r="D3943" s="3">
        <v>1956</v>
      </c>
      <c r="E3943" s="3" t="s">
        <v>222</v>
      </c>
      <c r="J3943" s="3" t="s">
        <v>4185</v>
      </c>
      <c r="K3943" s="3" t="s">
        <v>222</v>
      </c>
    </row>
    <row r="3944" ht="15.6" spans="4:11">
      <c r="D3944" s="3">
        <v>1957</v>
      </c>
      <c r="E3944" s="3" t="s">
        <v>222</v>
      </c>
      <c r="J3944" s="3" t="s">
        <v>4186</v>
      </c>
      <c r="K3944" s="3" t="s">
        <v>222</v>
      </c>
    </row>
    <row r="3945" ht="15.6" spans="4:11">
      <c r="D3945" s="3">
        <v>1958</v>
      </c>
      <c r="E3945" s="3" t="s">
        <v>222</v>
      </c>
      <c r="J3945" s="3" t="s">
        <v>4187</v>
      </c>
      <c r="K3945" s="3" t="s">
        <v>222</v>
      </c>
    </row>
    <row r="3946" ht="15.6" spans="4:11">
      <c r="D3946" s="3">
        <v>1959</v>
      </c>
      <c r="E3946" s="3" t="s">
        <v>222</v>
      </c>
      <c r="J3946" s="3" t="s">
        <v>4188</v>
      </c>
      <c r="K3946" s="3" t="s">
        <v>222</v>
      </c>
    </row>
    <row r="3947" ht="15.6" spans="4:11">
      <c r="D3947" s="3">
        <v>1960</v>
      </c>
      <c r="E3947" s="3" t="s">
        <v>222</v>
      </c>
      <c r="J3947" s="3" t="s">
        <v>4189</v>
      </c>
      <c r="K3947" s="3" t="s">
        <v>222</v>
      </c>
    </row>
    <row r="3948" ht="15.6" spans="4:11">
      <c r="D3948" s="3">
        <v>1961</v>
      </c>
      <c r="E3948" s="3" t="s">
        <v>222</v>
      </c>
      <c r="J3948" s="3" t="s">
        <v>4190</v>
      </c>
      <c r="K3948" s="3" t="s">
        <v>222</v>
      </c>
    </row>
    <row r="3949" ht="15.6" spans="4:11">
      <c r="D3949" s="3">
        <v>1962</v>
      </c>
      <c r="E3949" s="3" t="s">
        <v>222</v>
      </c>
      <c r="J3949" s="3" t="s">
        <v>4191</v>
      </c>
      <c r="K3949" s="3" t="s">
        <v>222</v>
      </c>
    </row>
    <row r="3950" ht="15.6" spans="4:11">
      <c r="D3950" s="3">
        <v>1963</v>
      </c>
      <c r="E3950" s="3" t="s">
        <v>222</v>
      </c>
      <c r="J3950" s="3" t="s">
        <v>4192</v>
      </c>
      <c r="K3950" s="3" t="s">
        <v>222</v>
      </c>
    </row>
    <row r="3951" ht="15.6" spans="4:11">
      <c r="D3951" s="3">
        <v>1964</v>
      </c>
      <c r="E3951" s="3" t="s">
        <v>222</v>
      </c>
      <c r="J3951" s="3" t="s">
        <v>4193</v>
      </c>
      <c r="K3951" s="3" t="s">
        <v>222</v>
      </c>
    </row>
    <row r="3952" ht="15.6" spans="4:11">
      <c r="D3952" s="3">
        <v>1965</v>
      </c>
      <c r="E3952" s="3" t="s">
        <v>222</v>
      </c>
      <c r="J3952" s="3" t="s">
        <v>4194</v>
      </c>
      <c r="K3952" s="3" t="s">
        <v>222</v>
      </c>
    </row>
    <row r="3953" ht="15.6" spans="4:11">
      <c r="D3953" s="3">
        <v>1966</v>
      </c>
      <c r="E3953" s="3" t="s">
        <v>222</v>
      </c>
      <c r="J3953" s="3" t="s">
        <v>4195</v>
      </c>
      <c r="K3953" s="3" t="s">
        <v>222</v>
      </c>
    </row>
    <row r="3954" ht="15.6" spans="4:11">
      <c r="D3954" s="3">
        <v>1967</v>
      </c>
      <c r="E3954" s="3" t="s">
        <v>222</v>
      </c>
      <c r="J3954" s="3" t="s">
        <v>4196</v>
      </c>
      <c r="K3954" s="3" t="s">
        <v>222</v>
      </c>
    </row>
    <row r="3955" ht="15.6" spans="4:11">
      <c r="D3955" s="3">
        <v>1968</v>
      </c>
      <c r="E3955" s="3" t="s">
        <v>222</v>
      </c>
      <c r="J3955" s="3" t="s">
        <v>4197</v>
      </c>
      <c r="K3955" s="3" t="s">
        <v>222</v>
      </c>
    </row>
    <row r="3956" ht="15.6" spans="4:11">
      <c r="D3956" s="3">
        <v>1969</v>
      </c>
      <c r="E3956" s="3" t="s">
        <v>222</v>
      </c>
      <c r="J3956" s="3" t="s">
        <v>4198</v>
      </c>
      <c r="K3956" s="3" t="s">
        <v>222</v>
      </c>
    </row>
    <row r="3957" ht="15.6" spans="4:11">
      <c r="D3957" s="3">
        <v>1970</v>
      </c>
      <c r="E3957" s="3" t="s">
        <v>222</v>
      </c>
      <c r="J3957" s="3" t="s">
        <v>4199</v>
      </c>
      <c r="K3957" s="3" t="s">
        <v>222</v>
      </c>
    </row>
    <row r="3958" ht="15.6" spans="4:11">
      <c r="D3958" s="3">
        <v>1971</v>
      </c>
      <c r="E3958" s="3" t="s">
        <v>222</v>
      </c>
      <c r="J3958" s="3" t="s">
        <v>4200</v>
      </c>
      <c r="K3958" s="3" t="s">
        <v>222</v>
      </c>
    </row>
    <row r="3959" ht="15.6" spans="4:11">
      <c r="D3959" s="3">
        <v>1972</v>
      </c>
      <c r="E3959" s="3" t="s">
        <v>222</v>
      </c>
      <c r="J3959" s="3" t="s">
        <v>4201</v>
      </c>
      <c r="K3959" s="3" t="s">
        <v>222</v>
      </c>
    </row>
    <row r="3960" ht="15.6" spans="4:11">
      <c r="D3960" s="3">
        <v>1973</v>
      </c>
      <c r="E3960" s="3" t="s">
        <v>222</v>
      </c>
      <c r="J3960" s="3" t="s">
        <v>4202</v>
      </c>
      <c r="K3960" s="3" t="s">
        <v>222</v>
      </c>
    </row>
    <row r="3961" ht="15.6" spans="4:11">
      <c r="D3961" s="3">
        <v>1974</v>
      </c>
      <c r="E3961" s="3" t="s">
        <v>222</v>
      </c>
      <c r="J3961" s="3" t="s">
        <v>4203</v>
      </c>
      <c r="K3961" s="3" t="s">
        <v>222</v>
      </c>
    </row>
    <row r="3962" ht="15.6" spans="4:11">
      <c r="D3962" s="3">
        <v>1975</v>
      </c>
      <c r="E3962" s="3" t="s">
        <v>222</v>
      </c>
      <c r="J3962" s="3" t="s">
        <v>4204</v>
      </c>
      <c r="K3962" s="3" t="s">
        <v>222</v>
      </c>
    </row>
    <row r="3963" ht="15.6" spans="4:11">
      <c r="D3963" s="3">
        <v>1976</v>
      </c>
      <c r="E3963" s="3" t="s">
        <v>222</v>
      </c>
      <c r="J3963" s="3" t="s">
        <v>4205</v>
      </c>
      <c r="K3963" s="3" t="s">
        <v>222</v>
      </c>
    </row>
    <row r="3964" ht="15.6" spans="4:11">
      <c r="D3964" s="3">
        <v>1977</v>
      </c>
      <c r="E3964" s="3" t="s">
        <v>222</v>
      </c>
      <c r="J3964" s="3" t="s">
        <v>4206</v>
      </c>
      <c r="K3964" s="3" t="s">
        <v>222</v>
      </c>
    </row>
    <row r="3965" ht="15.6" spans="4:11">
      <c r="D3965" s="3">
        <v>1978</v>
      </c>
      <c r="E3965" s="3" t="s">
        <v>222</v>
      </c>
      <c r="J3965" s="3" t="s">
        <v>4207</v>
      </c>
      <c r="K3965" s="3" t="s">
        <v>222</v>
      </c>
    </row>
    <row r="3966" ht="15.6" spans="4:11">
      <c r="D3966" s="3">
        <v>1979</v>
      </c>
      <c r="E3966" s="3" t="s">
        <v>222</v>
      </c>
      <c r="J3966" s="3" t="s">
        <v>4208</v>
      </c>
      <c r="K3966" s="3" t="s">
        <v>222</v>
      </c>
    </row>
    <row r="3967" ht="15.6" spans="4:11">
      <c r="D3967" s="3">
        <v>1980</v>
      </c>
      <c r="E3967" s="3" t="s">
        <v>222</v>
      </c>
      <c r="J3967" s="3" t="s">
        <v>4209</v>
      </c>
      <c r="K3967" s="3" t="s">
        <v>222</v>
      </c>
    </row>
    <row r="3968" ht="15.6" spans="4:11">
      <c r="D3968" s="3">
        <v>1981</v>
      </c>
      <c r="E3968" s="3" t="s">
        <v>222</v>
      </c>
      <c r="J3968" s="3" t="s">
        <v>4210</v>
      </c>
      <c r="K3968" s="3" t="s">
        <v>222</v>
      </c>
    </row>
    <row r="3969" ht="15.6" spans="4:11">
      <c r="D3969" s="3">
        <v>1982</v>
      </c>
      <c r="E3969" s="3" t="s">
        <v>222</v>
      </c>
      <c r="J3969" s="3" t="s">
        <v>4211</v>
      </c>
      <c r="K3969" s="3" t="s">
        <v>222</v>
      </c>
    </row>
    <row r="3970" ht="15.6" spans="4:11">
      <c r="D3970" s="3">
        <v>1983</v>
      </c>
      <c r="E3970" s="3" t="s">
        <v>222</v>
      </c>
      <c r="J3970" s="3" t="s">
        <v>4212</v>
      </c>
      <c r="K3970" s="3" t="s">
        <v>222</v>
      </c>
    </row>
    <row r="3971" ht="15.6" spans="4:11">
      <c r="D3971" s="3">
        <v>1984</v>
      </c>
      <c r="E3971" s="3" t="s">
        <v>222</v>
      </c>
      <c r="J3971" s="3" t="s">
        <v>4213</v>
      </c>
      <c r="K3971" s="3" t="s">
        <v>222</v>
      </c>
    </row>
    <row r="3972" ht="15.6" spans="4:11">
      <c r="D3972" s="3">
        <v>1985</v>
      </c>
      <c r="E3972" s="3" t="s">
        <v>222</v>
      </c>
      <c r="J3972" s="3" t="s">
        <v>4214</v>
      </c>
      <c r="K3972" s="3" t="s">
        <v>222</v>
      </c>
    </row>
    <row r="3973" ht="15.6" spans="4:11">
      <c r="D3973" s="3">
        <v>1986</v>
      </c>
      <c r="E3973" s="3" t="s">
        <v>222</v>
      </c>
      <c r="J3973" s="3" t="s">
        <v>4215</v>
      </c>
      <c r="K3973" s="3" t="s">
        <v>222</v>
      </c>
    </row>
    <row r="3974" ht="15.6" spans="4:11">
      <c r="D3974" s="3">
        <v>1987</v>
      </c>
      <c r="E3974" s="3" t="s">
        <v>222</v>
      </c>
      <c r="J3974" s="3" t="s">
        <v>4216</v>
      </c>
      <c r="K3974" s="3" t="s">
        <v>222</v>
      </c>
    </row>
    <row r="3975" ht="15.6" spans="4:11">
      <c r="D3975" s="3">
        <v>1988</v>
      </c>
      <c r="E3975" s="3" t="s">
        <v>222</v>
      </c>
      <c r="J3975" s="3" t="s">
        <v>4217</v>
      </c>
      <c r="K3975" s="3" t="s">
        <v>222</v>
      </c>
    </row>
    <row r="3976" ht="15.6" spans="4:11">
      <c r="D3976" s="3">
        <v>1989</v>
      </c>
      <c r="E3976" s="3" t="s">
        <v>222</v>
      </c>
      <c r="J3976" s="3" t="s">
        <v>4218</v>
      </c>
      <c r="K3976" s="3" t="s">
        <v>222</v>
      </c>
    </row>
    <row r="3977" ht="15.6" spans="4:11">
      <c r="D3977" s="3">
        <v>1990</v>
      </c>
      <c r="E3977" s="3" t="s">
        <v>222</v>
      </c>
      <c r="J3977" s="3" t="s">
        <v>4219</v>
      </c>
      <c r="K3977" s="3" t="s">
        <v>222</v>
      </c>
    </row>
    <row r="3978" ht="15.6" spans="4:11">
      <c r="D3978" s="3">
        <v>1991</v>
      </c>
      <c r="E3978" s="3" t="s">
        <v>222</v>
      </c>
      <c r="J3978" s="3" t="s">
        <v>4220</v>
      </c>
      <c r="K3978" s="3" t="s">
        <v>222</v>
      </c>
    </row>
    <row r="3979" ht="15.6" spans="4:11">
      <c r="D3979" s="3">
        <v>1992</v>
      </c>
      <c r="E3979" s="3" t="s">
        <v>222</v>
      </c>
      <c r="J3979" s="3" t="s">
        <v>4221</v>
      </c>
      <c r="K3979" s="3" t="s">
        <v>222</v>
      </c>
    </row>
    <row r="3980" ht="15.6" spans="4:11">
      <c r="D3980" s="3">
        <v>1993</v>
      </c>
      <c r="E3980" s="3" t="s">
        <v>222</v>
      </c>
      <c r="J3980" s="3" t="s">
        <v>4222</v>
      </c>
      <c r="K3980" s="3" t="s">
        <v>222</v>
      </c>
    </row>
    <row r="3981" ht="15.6" spans="4:11">
      <c r="D3981" s="3">
        <v>1994</v>
      </c>
      <c r="E3981" s="3" t="s">
        <v>222</v>
      </c>
      <c r="J3981" s="3" t="s">
        <v>4223</v>
      </c>
      <c r="K3981" s="3" t="s">
        <v>222</v>
      </c>
    </row>
    <row r="3982" ht="15.6" spans="4:11">
      <c r="D3982" s="3">
        <v>1995</v>
      </c>
      <c r="E3982" s="3" t="s">
        <v>222</v>
      </c>
      <c r="J3982" s="3" t="s">
        <v>4224</v>
      </c>
      <c r="K3982" s="3" t="s">
        <v>222</v>
      </c>
    </row>
    <row r="3983" ht="15.6" spans="4:11">
      <c r="D3983" s="3">
        <v>1996</v>
      </c>
      <c r="E3983" s="3" t="s">
        <v>222</v>
      </c>
      <c r="J3983" s="3" t="s">
        <v>4225</v>
      </c>
      <c r="K3983" s="3" t="s">
        <v>222</v>
      </c>
    </row>
    <row r="3984" ht="15.6" spans="4:11">
      <c r="D3984" s="3">
        <v>1997</v>
      </c>
      <c r="E3984" s="3" t="s">
        <v>222</v>
      </c>
      <c r="J3984" s="3" t="s">
        <v>4226</v>
      </c>
      <c r="K3984" s="3" t="s">
        <v>222</v>
      </c>
    </row>
    <row r="3985" ht="15.6" spans="4:11">
      <c r="D3985" s="3">
        <v>1998</v>
      </c>
      <c r="E3985" s="3" t="s">
        <v>222</v>
      </c>
      <c r="J3985" s="3" t="s">
        <v>4227</v>
      </c>
      <c r="K3985" s="3" t="s">
        <v>222</v>
      </c>
    </row>
    <row r="3986" ht="15.6" spans="4:11">
      <c r="D3986" s="3">
        <v>1999</v>
      </c>
      <c r="E3986" s="3" t="s">
        <v>222</v>
      </c>
      <c r="J3986" s="3" t="s">
        <v>4228</v>
      </c>
      <c r="K3986" s="3" t="s">
        <v>222</v>
      </c>
    </row>
    <row r="3987" ht="15.6" spans="4:11">
      <c r="D3987" s="3">
        <v>2080</v>
      </c>
      <c r="E3987" s="3" t="s">
        <v>222</v>
      </c>
      <c r="J3987" s="3" t="s">
        <v>4229</v>
      </c>
      <c r="K3987" s="3" t="s">
        <v>222</v>
      </c>
    </row>
    <row r="3988" ht="15.6" spans="4:11">
      <c r="D3988" s="3">
        <v>2081</v>
      </c>
      <c r="E3988" s="3" t="s">
        <v>222</v>
      </c>
      <c r="J3988" s="3" t="s">
        <v>4230</v>
      </c>
      <c r="K3988" s="3" t="s">
        <v>222</v>
      </c>
    </row>
    <row r="3989" ht="15.6" spans="4:11">
      <c r="D3989" s="3">
        <v>2082</v>
      </c>
      <c r="E3989" s="3" t="s">
        <v>222</v>
      </c>
      <c r="J3989" s="3" t="s">
        <v>4231</v>
      </c>
      <c r="K3989" s="3" t="s">
        <v>222</v>
      </c>
    </row>
    <row r="3990" ht="15.6" spans="4:11">
      <c r="D3990" s="3">
        <v>2083</v>
      </c>
      <c r="E3990" s="3" t="s">
        <v>222</v>
      </c>
      <c r="J3990" s="3" t="s">
        <v>4232</v>
      </c>
      <c r="K3990" s="3" t="s">
        <v>222</v>
      </c>
    </row>
    <row r="3991" ht="15.6" spans="4:11">
      <c r="D3991" s="3">
        <v>2084</v>
      </c>
      <c r="E3991" s="3" t="s">
        <v>222</v>
      </c>
      <c r="J3991" s="3" t="s">
        <v>4233</v>
      </c>
      <c r="K3991" s="3" t="s">
        <v>222</v>
      </c>
    </row>
    <row r="3992" ht="15.6" spans="4:11">
      <c r="D3992" s="3">
        <v>2108</v>
      </c>
      <c r="E3992" s="3" t="s">
        <v>222</v>
      </c>
      <c r="J3992" s="3" t="s">
        <v>4234</v>
      </c>
      <c r="K3992" s="3" t="s">
        <v>222</v>
      </c>
    </row>
    <row r="3993" ht="15.6" spans="4:11">
      <c r="D3993" s="3">
        <v>2157</v>
      </c>
      <c r="E3993" s="3" t="s">
        <v>222</v>
      </c>
      <c r="J3993" s="3" t="s">
        <v>4235</v>
      </c>
      <c r="K3993" s="3" t="s">
        <v>222</v>
      </c>
    </row>
    <row r="3994" ht="15.6" spans="4:11">
      <c r="D3994" s="3">
        <v>2159</v>
      </c>
      <c r="E3994" s="3" t="s">
        <v>222</v>
      </c>
      <c r="J3994" s="3" t="s">
        <v>4236</v>
      </c>
      <c r="K3994" s="3" t="s">
        <v>222</v>
      </c>
    </row>
    <row r="3995" ht="15.6" spans="4:11">
      <c r="D3995" s="3">
        <v>2231</v>
      </c>
      <c r="E3995" s="3" t="s">
        <v>222</v>
      </c>
      <c r="J3995" s="3" t="s">
        <v>4237</v>
      </c>
      <c r="K3995" s="3" t="s">
        <v>222</v>
      </c>
    </row>
    <row r="3996" ht="15.6" spans="4:11">
      <c r="D3996" s="3">
        <v>2250</v>
      </c>
      <c r="E3996" s="3" t="s">
        <v>222</v>
      </c>
      <c r="J3996" s="3" t="s">
        <v>4238</v>
      </c>
      <c r="K3996" s="3" t="s">
        <v>222</v>
      </c>
    </row>
    <row r="3997" ht="15.6" spans="4:11">
      <c r="D3997" s="3">
        <v>2251</v>
      </c>
      <c r="E3997" s="3" t="s">
        <v>222</v>
      </c>
      <c r="J3997" s="3" t="s">
        <v>4239</v>
      </c>
      <c r="K3997" s="3" t="s">
        <v>222</v>
      </c>
    </row>
    <row r="3998" ht="15.6" spans="4:11">
      <c r="D3998" s="3">
        <v>2252</v>
      </c>
      <c r="E3998" s="3" t="s">
        <v>222</v>
      </c>
      <c r="J3998" s="3" t="s">
        <v>4240</v>
      </c>
      <c r="K3998" s="3" t="s">
        <v>222</v>
      </c>
    </row>
    <row r="3999" ht="15.6" spans="4:11">
      <c r="D3999" s="3">
        <v>2253</v>
      </c>
      <c r="E3999" s="3" t="s">
        <v>222</v>
      </c>
      <c r="J3999" s="3" t="s">
        <v>4241</v>
      </c>
      <c r="K3999" s="3" t="s">
        <v>222</v>
      </c>
    </row>
    <row r="4000" ht="15.6" spans="4:11">
      <c r="D4000" s="3">
        <v>2254</v>
      </c>
      <c r="E4000" s="3" t="s">
        <v>222</v>
      </c>
      <c r="J4000" s="3" t="s">
        <v>4242</v>
      </c>
      <c r="K4000" s="3" t="s">
        <v>222</v>
      </c>
    </row>
    <row r="4001" ht="15.6" spans="4:11">
      <c r="D4001" s="3">
        <v>2255</v>
      </c>
      <c r="E4001" s="3" t="s">
        <v>222</v>
      </c>
      <c r="J4001" s="3" t="s">
        <v>4243</v>
      </c>
      <c r="K4001" s="3" t="s">
        <v>222</v>
      </c>
    </row>
    <row r="4002" ht="15.6" spans="4:11">
      <c r="D4002" s="3">
        <v>2256</v>
      </c>
      <c r="E4002" s="3" t="s">
        <v>222</v>
      </c>
      <c r="J4002" s="3" t="s">
        <v>4244</v>
      </c>
      <c r="K4002" s="3" t="s">
        <v>222</v>
      </c>
    </row>
    <row r="4003" ht="15.6" spans="4:11">
      <c r="D4003" s="3">
        <v>2257</v>
      </c>
      <c r="E4003" s="3" t="s">
        <v>222</v>
      </c>
      <c r="J4003" s="3" t="s">
        <v>4245</v>
      </c>
      <c r="K4003" s="3" t="s">
        <v>222</v>
      </c>
    </row>
    <row r="4004" ht="15.6" spans="4:11">
      <c r="D4004" s="3">
        <v>2258</v>
      </c>
      <c r="E4004" s="3" t="s">
        <v>222</v>
      </c>
      <c r="J4004" s="3" t="s">
        <v>4246</v>
      </c>
      <c r="K4004" s="3" t="s">
        <v>222</v>
      </c>
    </row>
    <row r="4005" ht="15.6" spans="4:11">
      <c r="D4005" s="3">
        <v>2259</v>
      </c>
      <c r="E4005" s="3" t="s">
        <v>222</v>
      </c>
      <c r="J4005" s="3" t="s">
        <v>4247</v>
      </c>
      <c r="K4005" s="3" t="s">
        <v>222</v>
      </c>
    </row>
    <row r="4006" ht="15.6" spans="4:11">
      <c r="D4006" s="3">
        <v>2260</v>
      </c>
      <c r="E4006" s="3" t="s">
        <v>222</v>
      </c>
      <c r="J4006" s="3" t="s">
        <v>4248</v>
      </c>
      <c r="K4006" s="3" t="s">
        <v>222</v>
      </c>
    </row>
    <row r="4007" ht="15.6" spans="4:11">
      <c r="D4007" s="3">
        <v>2261</v>
      </c>
      <c r="E4007" s="3" t="s">
        <v>222</v>
      </c>
      <c r="J4007" s="3" t="s">
        <v>4249</v>
      </c>
      <c r="K4007" s="3" t="s">
        <v>222</v>
      </c>
    </row>
    <row r="4008" ht="15.6" spans="4:11">
      <c r="D4008" s="3">
        <v>2262</v>
      </c>
      <c r="E4008" s="3" t="s">
        <v>222</v>
      </c>
      <c r="J4008" s="3" t="s">
        <v>4250</v>
      </c>
      <c r="K4008" s="3" t="s">
        <v>222</v>
      </c>
    </row>
    <row r="4009" ht="15.6" spans="4:11">
      <c r="D4009" s="3">
        <v>2263</v>
      </c>
      <c r="E4009" s="3" t="s">
        <v>222</v>
      </c>
      <c r="J4009" s="3" t="s">
        <v>4251</v>
      </c>
      <c r="K4009" s="3" t="s">
        <v>222</v>
      </c>
    </row>
    <row r="4010" ht="15.6" spans="4:11">
      <c r="D4010" s="3">
        <v>2282</v>
      </c>
      <c r="E4010" s="3" t="s">
        <v>222</v>
      </c>
      <c r="J4010" s="3" t="s">
        <v>4252</v>
      </c>
      <c r="K4010" s="3" t="s">
        <v>222</v>
      </c>
    </row>
    <row r="4011" ht="15.6" spans="4:11">
      <c r="D4011" s="3">
        <v>2283</v>
      </c>
      <c r="E4011" s="3" t="s">
        <v>222</v>
      </c>
      <c r="J4011" s="3" t="s">
        <v>4253</v>
      </c>
      <c r="K4011" s="3" t="s">
        <v>222</v>
      </c>
    </row>
    <row r="4012" ht="15.6" spans="4:11">
      <c r="D4012" s="3">
        <v>2284</v>
      </c>
      <c r="E4012" s="3" t="s">
        <v>222</v>
      </c>
      <c r="J4012" s="3" t="s">
        <v>4254</v>
      </c>
      <c r="K4012" s="3" t="s">
        <v>222</v>
      </c>
    </row>
    <row r="4013" ht="15.6" spans="4:11">
      <c r="D4013" s="3">
        <v>2285</v>
      </c>
      <c r="E4013" s="3" t="s">
        <v>222</v>
      </c>
      <c r="J4013" s="3" t="s">
        <v>4255</v>
      </c>
      <c r="K4013" s="3" t="s">
        <v>222</v>
      </c>
    </row>
    <row r="4014" ht="15.6" spans="4:11">
      <c r="D4014" s="3">
        <v>2286</v>
      </c>
      <c r="E4014" s="3" t="s">
        <v>222</v>
      </c>
      <c r="J4014" s="3" t="s">
        <v>4256</v>
      </c>
      <c r="K4014" s="3" t="s">
        <v>222</v>
      </c>
    </row>
    <row r="4015" ht="15.6" spans="4:11">
      <c r="D4015" s="3">
        <v>2287</v>
      </c>
      <c r="E4015" s="3" t="s">
        <v>222</v>
      </c>
      <c r="J4015" s="3" t="s">
        <v>4257</v>
      </c>
      <c r="K4015" s="3" t="s">
        <v>222</v>
      </c>
    </row>
    <row r="4016" ht="15.6" spans="4:11">
      <c r="D4016" s="3">
        <v>2288</v>
      </c>
      <c r="E4016" s="3" t="s">
        <v>222</v>
      </c>
      <c r="J4016" s="3" t="s">
        <v>4258</v>
      </c>
      <c r="K4016" s="3" t="s">
        <v>222</v>
      </c>
    </row>
    <row r="4017" ht="15.6" spans="4:11">
      <c r="D4017" s="3">
        <v>2289</v>
      </c>
      <c r="E4017" s="3" t="s">
        <v>222</v>
      </c>
      <c r="J4017" s="3" t="s">
        <v>4259</v>
      </c>
      <c r="K4017" s="3" t="s">
        <v>222</v>
      </c>
    </row>
    <row r="4018" ht="15.6" spans="4:11">
      <c r="D4018" s="3">
        <v>2290</v>
      </c>
      <c r="E4018" s="3" t="s">
        <v>222</v>
      </c>
      <c r="J4018" s="3" t="s">
        <v>4260</v>
      </c>
      <c r="K4018" s="3" t="s">
        <v>222</v>
      </c>
    </row>
    <row r="4019" ht="15.6" spans="4:11">
      <c r="D4019" s="3">
        <v>2291</v>
      </c>
      <c r="E4019" s="3" t="s">
        <v>222</v>
      </c>
      <c r="J4019" s="3" t="s">
        <v>4261</v>
      </c>
      <c r="K4019" s="3" t="s">
        <v>222</v>
      </c>
    </row>
    <row r="4020" ht="15.6" spans="4:11">
      <c r="D4020" s="3">
        <v>2292</v>
      </c>
      <c r="E4020" s="3" t="s">
        <v>222</v>
      </c>
      <c r="J4020" s="3" t="s">
        <v>4262</v>
      </c>
      <c r="K4020" s="3" t="s">
        <v>222</v>
      </c>
    </row>
    <row r="4021" ht="15.6" spans="4:11">
      <c r="D4021" s="3">
        <v>2293</v>
      </c>
      <c r="E4021" s="3" t="s">
        <v>222</v>
      </c>
      <c r="J4021" s="3" t="s">
        <v>4263</v>
      </c>
      <c r="K4021" s="3" t="s">
        <v>222</v>
      </c>
    </row>
    <row r="4022" ht="15.6" spans="4:11">
      <c r="D4022" s="3">
        <v>2294</v>
      </c>
      <c r="E4022" s="3" t="s">
        <v>222</v>
      </c>
      <c r="J4022" s="3" t="s">
        <v>4264</v>
      </c>
      <c r="K4022" s="3" t="s">
        <v>222</v>
      </c>
    </row>
    <row r="4023" ht="15.6" spans="4:11">
      <c r="D4023" s="3">
        <v>2295</v>
      </c>
      <c r="E4023" s="3" t="s">
        <v>222</v>
      </c>
      <c r="J4023" s="3" t="s">
        <v>4265</v>
      </c>
      <c r="K4023" s="3" t="s">
        <v>222</v>
      </c>
    </row>
    <row r="4024" ht="15.6" spans="4:11">
      <c r="D4024" s="3">
        <v>2296</v>
      </c>
      <c r="E4024" s="3" t="s">
        <v>222</v>
      </c>
      <c r="J4024" s="3" t="s">
        <v>4266</v>
      </c>
      <c r="K4024" s="3" t="s">
        <v>222</v>
      </c>
    </row>
    <row r="4025" ht="15.6" spans="4:11">
      <c r="D4025" s="3">
        <v>2297</v>
      </c>
      <c r="E4025" s="3" t="s">
        <v>222</v>
      </c>
      <c r="J4025" s="3" t="s">
        <v>4267</v>
      </c>
      <c r="K4025" s="3" t="s">
        <v>222</v>
      </c>
    </row>
    <row r="4026" ht="15.6" spans="4:11">
      <c r="D4026" s="3">
        <v>2298</v>
      </c>
      <c r="E4026" s="3" t="s">
        <v>222</v>
      </c>
      <c r="J4026" s="3" t="s">
        <v>4268</v>
      </c>
      <c r="K4026" s="3" t="s">
        <v>222</v>
      </c>
    </row>
    <row r="4027" ht="15.6" spans="4:11">
      <c r="D4027" s="3">
        <v>2299</v>
      </c>
      <c r="E4027" s="3" t="s">
        <v>222</v>
      </c>
      <c r="J4027" s="3" t="s">
        <v>4269</v>
      </c>
      <c r="K4027" s="3" t="s">
        <v>222</v>
      </c>
    </row>
    <row r="4028" ht="15.6" spans="4:11">
      <c r="D4028" s="3">
        <v>2300</v>
      </c>
      <c r="E4028" s="3" t="s">
        <v>222</v>
      </c>
      <c r="J4028" s="3" t="s">
        <v>4270</v>
      </c>
      <c r="K4028" s="3" t="s">
        <v>222</v>
      </c>
    </row>
    <row r="4029" ht="15.6" spans="4:11">
      <c r="D4029" s="3">
        <v>2301</v>
      </c>
      <c r="E4029" s="3" t="s">
        <v>222</v>
      </c>
      <c r="J4029" s="3" t="s">
        <v>4271</v>
      </c>
      <c r="K4029" s="3" t="s">
        <v>222</v>
      </c>
    </row>
    <row r="4030" ht="15.6" spans="4:11">
      <c r="D4030" s="3">
        <v>2302</v>
      </c>
      <c r="E4030" s="3" t="s">
        <v>222</v>
      </c>
      <c r="J4030" s="3" t="s">
        <v>4272</v>
      </c>
      <c r="K4030" s="3" t="s">
        <v>222</v>
      </c>
    </row>
    <row r="4031" ht="15.6" spans="4:11">
      <c r="D4031" s="3">
        <v>2303</v>
      </c>
      <c r="E4031" s="3" t="s">
        <v>222</v>
      </c>
      <c r="J4031" s="3" t="s">
        <v>4273</v>
      </c>
      <c r="K4031" s="3" t="s">
        <v>222</v>
      </c>
    </row>
    <row r="4032" ht="15.6" spans="4:11">
      <c r="D4032" s="3">
        <v>2304</v>
      </c>
      <c r="E4032" s="3" t="s">
        <v>222</v>
      </c>
      <c r="J4032" s="3" t="s">
        <v>4274</v>
      </c>
      <c r="K4032" s="3" t="s">
        <v>222</v>
      </c>
    </row>
    <row r="4033" ht="15.6" spans="4:11">
      <c r="D4033" s="3">
        <v>2305</v>
      </c>
      <c r="E4033" s="3" t="s">
        <v>222</v>
      </c>
      <c r="J4033" s="3" t="s">
        <v>4275</v>
      </c>
      <c r="K4033" s="3" t="s">
        <v>222</v>
      </c>
    </row>
    <row r="4034" ht="15.6" spans="4:11">
      <c r="D4034" s="3">
        <v>2306</v>
      </c>
      <c r="E4034" s="3" t="s">
        <v>222</v>
      </c>
      <c r="J4034" s="3" t="s">
        <v>4276</v>
      </c>
      <c r="K4034" s="3" t="s">
        <v>222</v>
      </c>
    </row>
    <row r="4035" ht="15.6" spans="4:11">
      <c r="D4035" s="3">
        <v>2307</v>
      </c>
      <c r="E4035" s="3" t="s">
        <v>222</v>
      </c>
      <c r="J4035" s="3" t="s">
        <v>4277</v>
      </c>
      <c r="K4035" s="3" t="s">
        <v>222</v>
      </c>
    </row>
    <row r="4036" ht="15.6" spans="4:11">
      <c r="D4036" s="3">
        <v>2308</v>
      </c>
      <c r="E4036" s="3" t="s">
        <v>222</v>
      </c>
      <c r="J4036" s="3" t="s">
        <v>4278</v>
      </c>
      <c r="K4036" s="3" t="s">
        <v>222</v>
      </c>
    </row>
    <row r="4037" ht="15.6" spans="4:11">
      <c r="D4037" s="3">
        <v>2309</v>
      </c>
      <c r="E4037" s="3" t="s">
        <v>222</v>
      </c>
      <c r="J4037" s="3" t="s">
        <v>4279</v>
      </c>
      <c r="K4037" s="3" t="s">
        <v>222</v>
      </c>
    </row>
    <row r="4038" ht="15.6" spans="4:11">
      <c r="D4038" s="3">
        <v>2310</v>
      </c>
      <c r="E4038" s="3" t="s">
        <v>222</v>
      </c>
      <c r="J4038" s="3" t="s">
        <v>4280</v>
      </c>
      <c r="K4038" s="3" t="s">
        <v>222</v>
      </c>
    </row>
    <row r="4039" ht="15.6" spans="4:11">
      <c r="D4039" s="3">
        <v>2485</v>
      </c>
      <c r="E4039" s="3" t="s">
        <v>222</v>
      </c>
      <c r="J4039" s="3" t="s">
        <v>4281</v>
      </c>
      <c r="K4039" s="3" t="s">
        <v>222</v>
      </c>
    </row>
    <row r="4040" ht="15.6" spans="4:11">
      <c r="D4040" s="3">
        <v>2486</v>
      </c>
      <c r="E4040" s="3" t="s">
        <v>222</v>
      </c>
      <c r="J4040" s="3" t="s">
        <v>4282</v>
      </c>
      <c r="K4040" s="3" t="s">
        <v>222</v>
      </c>
    </row>
    <row r="4041" ht="15.6" spans="4:11">
      <c r="D4041" s="3">
        <v>2500</v>
      </c>
      <c r="E4041" s="3" t="s">
        <v>222</v>
      </c>
      <c r="J4041" s="3" t="s">
        <v>4283</v>
      </c>
      <c r="K4041" s="3" t="s">
        <v>222</v>
      </c>
    </row>
    <row r="4042" ht="15.6" spans="4:11">
      <c r="D4042" s="3">
        <v>2501</v>
      </c>
      <c r="E4042" s="3" t="s">
        <v>222</v>
      </c>
      <c r="J4042" s="3" t="s">
        <v>4284</v>
      </c>
      <c r="K4042" s="3" t="s">
        <v>222</v>
      </c>
    </row>
    <row r="4043" ht="15.6" spans="4:11">
      <c r="D4043" s="3">
        <v>2502</v>
      </c>
      <c r="E4043" s="3" t="s">
        <v>222</v>
      </c>
      <c r="J4043" s="3" t="s">
        <v>4285</v>
      </c>
      <c r="K4043" s="3" t="s">
        <v>222</v>
      </c>
    </row>
    <row r="4044" ht="15.6" spans="4:11">
      <c r="D4044" s="3">
        <v>2503</v>
      </c>
      <c r="E4044" s="3" t="s">
        <v>222</v>
      </c>
      <c r="J4044" s="3" t="s">
        <v>4286</v>
      </c>
      <c r="K4044" s="3" t="s">
        <v>222</v>
      </c>
    </row>
    <row r="4045" ht="15.6" spans="4:11">
      <c r="D4045" s="3">
        <v>2504</v>
      </c>
      <c r="E4045" s="3" t="s">
        <v>222</v>
      </c>
      <c r="J4045" s="3" t="s">
        <v>4287</v>
      </c>
      <c r="K4045" s="3" t="s">
        <v>222</v>
      </c>
    </row>
    <row r="4046" ht="15.6" spans="4:11">
      <c r="D4046" s="3">
        <v>2505</v>
      </c>
      <c r="E4046" s="3" t="s">
        <v>222</v>
      </c>
      <c r="J4046" s="3" t="s">
        <v>4288</v>
      </c>
      <c r="K4046" s="3" t="s">
        <v>222</v>
      </c>
    </row>
    <row r="4047" ht="15.6" spans="4:11">
      <c r="D4047" s="3">
        <v>2506</v>
      </c>
      <c r="E4047" s="3" t="s">
        <v>222</v>
      </c>
      <c r="J4047" s="3" t="s">
        <v>4289</v>
      </c>
      <c r="K4047" s="3" t="s">
        <v>222</v>
      </c>
    </row>
    <row r="4048" ht="15.6" spans="4:11">
      <c r="D4048" s="3">
        <v>2507</v>
      </c>
      <c r="E4048" s="3" t="s">
        <v>222</v>
      </c>
      <c r="J4048" s="3" t="s">
        <v>4290</v>
      </c>
      <c r="K4048" s="3" t="s">
        <v>222</v>
      </c>
    </row>
    <row r="4049" ht="15.6" spans="4:11">
      <c r="D4049" s="3">
        <v>2508</v>
      </c>
      <c r="E4049" s="3" t="s">
        <v>222</v>
      </c>
      <c r="J4049" s="3" t="s">
        <v>4291</v>
      </c>
      <c r="K4049" s="3" t="s">
        <v>222</v>
      </c>
    </row>
    <row r="4050" ht="15.6" spans="4:11">
      <c r="D4050" s="3">
        <v>2509</v>
      </c>
      <c r="E4050" s="3" t="s">
        <v>222</v>
      </c>
      <c r="J4050" s="3" t="s">
        <v>4292</v>
      </c>
      <c r="K4050" s="3" t="s">
        <v>222</v>
      </c>
    </row>
    <row r="4051" ht="15.6" spans="4:11">
      <c r="D4051" s="3">
        <v>2510</v>
      </c>
      <c r="E4051" s="3" t="s">
        <v>222</v>
      </c>
      <c r="J4051" s="3" t="s">
        <v>4293</v>
      </c>
      <c r="K4051" s="3" t="s">
        <v>222</v>
      </c>
    </row>
    <row r="4052" ht="15.6" spans="4:11">
      <c r="D4052" s="3">
        <v>2511</v>
      </c>
      <c r="E4052" s="3" t="s">
        <v>222</v>
      </c>
      <c r="J4052" s="3" t="s">
        <v>4294</v>
      </c>
      <c r="K4052" s="3" t="s">
        <v>222</v>
      </c>
    </row>
    <row r="4053" ht="15.6" spans="4:11">
      <c r="D4053" s="3">
        <v>2512</v>
      </c>
      <c r="E4053" s="3" t="s">
        <v>222</v>
      </c>
      <c r="J4053" s="3" t="s">
        <v>4295</v>
      </c>
      <c r="K4053" s="3" t="s">
        <v>222</v>
      </c>
    </row>
    <row r="4054" ht="15.6" spans="4:11">
      <c r="D4054" s="3">
        <v>2513</v>
      </c>
      <c r="E4054" s="3" t="s">
        <v>222</v>
      </c>
      <c r="J4054" s="3" t="s">
        <v>4296</v>
      </c>
      <c r="K4054" s="3" t="s">
        <v>222</v>
      </c>
    </row>
    <row r="4055" ht="15.6" spans="4:11">
      <c r="D4055" s="3">
        <v>2514</v>
      </c>
      <c r="E4055" s="3" t="s">
        <v>222</v>
      </c>
      <c r="J4055" s="3" t="s">
        <v>4297</v>
      </c>
      <c r="K4055" s="3" t="s">
        <v>222</v>
      </c>
    </row>
    <row r="4056" ht="15.6" spans="4:11">
      <c r="D4056" s="3">
        <v>2515</v>
      </c>
      <c r="E4056" s="3" t="s">
        <v>222</v>
      </c>
      <c r="J4056" s="3" t="s">
        <v>4298</v>
      </c>
      <c r="K4056" s="3" t="s">
        <v>222</v>
      </c>
    </row>
    <row r="4057" ht="15.6" spans="4:11">
      <c r="D4057" s="3">
        <v>2516</v>
      </c>
      <c r="E4057" s="3" t="s">
        <v>222</v>
      </c>
      <c r="J4057" s="3" t="s">
        <v>4299</v>
      </c>
      <c r="K4057" s="3" t="s">
        <v>222</v>
      </c>
    </row>
    <row r="4058" ht="15.6" spans="4:11">
      <c r="D4058" s="3">
        <v>2517</v>
      </c>
      <c r="E4058" s="3" t="s">
        <v>222</v>
      </c>
      <c r="J4058" s="3" t="s">
        <v>4300</v>
      </c>
      <c r="K4058" s="3" t="s">
        <v>222</v>
      </c>
    </row>
    <row r="4059" ht="15.6" spans="4:11">
      <c r="D4059" s="3">
        <v>2518</v>
      </c>
      <c r="E4059" s="3" t="s">
        <v>222</v>
      </c>
      <c r="J4059" s="3" t="s">
        <v>4301</v>
      </c>
      <c r="K4059" s="3" t="s">
        <v>222</v>
      </c>
    </row>
    <row r="4060" ht="15.6" spans="4:11">
      <c r="D4060" s="3">
        <v>2519</v>
      </c>
      <c r="E4060" s="3" t="s">
        <v>222</v>
      </c>
      <c r="J4060" s="3" t="s">
        <v>4302</v>
      </c>
      <c r="K4060" s="3" t="s">
        <v>222</v>
      </c>
    </row>
    <row r="4061" ht="15.6" spans="4:11">
      <c r="D4061" s="3">
        <v>2520</v>
      </c>
      <c r="E4061" s="3" t="s">
        <v>222</v>
      </c>
      <c r="J4061" s="3" t="s">
        <v>4303</v>
      </c>
      <c r="K4061" s="3" t="s">
        <v>222</v>
      </c>
    </row>
    <row r="4062" ht="15.6" spans="4:11">
      <c r="D4062" s="3">
        <v>2521</v>
      </c>
      <c r="E4062" s="3" t="s">
        <v>222</v>
      </c>
      <c r="J4062" s="3" t="s">
        <v>4304</v>
      </c>
      <c r="K4062" s="3" t="s">
        <v>222</v>
      </c>
    </row>
    <row r="4063" ht="15.6" spans="4:11">
      <c r="D4063" s="3">
        <v>2522</v>
      </c>
      <c r="E4063" s="3" t="s">
        <v>222</v>
      </c>
      <c r="J4063" s="3" t="s">
        <v>4305</v>
      </c>
      <c r="K4063" s="3" t="s">
        <v>222</v>
      </c>
    </row>
    <row r="4064" ht="15.6" spans="4:11">
      <c r="D4064" s="3">
        <v>2523</v>
      </c>
      <c r="E4064" s="3" t="s">
        <v>222</v>
      </c>
      <c r="J4064" s="3" t="s">
        <v>4306</v>
      </c>
      <c r="K4064" s="3" t="s">
        <v>222</v>
      </c>
    </row>
    <row r="4065" ht="15.6" spans="4:11">
      <c r="D4065" s="3">
        <v>2524</v>
      </c>
      <c r="E4065" s="3" t="s">
        <v>222</v>
      </c>
      <c r="J4065" s="3" t="s">
        <v>4307</v>
      </c>
      <c r="K4065" s="3" t="s">
        <v>222</v>
      </c>
    </row>
    <row r="4066" ht="15.6" spans="4:11">
      <c r="D4066" s="3">
        <v>2525</v>
      </c>
      <c r="E4066" s="3" t="s">
        <v>222</v>
      </c>
      <c r="J4066" s="3" t="s">
        <v>4308</v>
      </c>
      <c r="K4066" s="3" t="s">
        <v>222</v>
      </c>
    </row>
    <row r="4067" ht="15.6" spans="4:11">
      <c r="D4067" s="3">
        <v>2526</v>
      </c>
      <c r="E4067" s="3" t="s">
        <v>222</v>
      </c>
      <c r="J4067" s="3" t="s">
        <v>4309</v>
      </c>
      <c r="K4067" s="3" t="s">
        <v>222</v>
      </c>
    </row>
    <row r="4068" ht="15.6" spans="4:11">
      <c r="D4068" s="3">
        <v>2527</v>
      </c>
      <c r="E4068" s="3" t="s">
        <v>222</v>
      </c>
      <c r="J4068" s="3" t="s">
        <v>4310</v>
      </c>
      <c r="K4068" s="3" t="s">
        <v>222</v>
      </c>
    </row>
    <row r="4069" ht="15.6" spans="4:11">
      <c r="D4069" s="3">
        <v>2528</v>
      </c>
      <c r="E4069" s="3" t="s">
        <v>222</v>
      </c>
      <c r="J4069" s="3" t="s">
        <v>4311</v>
      </c>
      <c r="K4069" s="3" t="s">
        <v>222</v>
      </c>
    </row>
    <row r="4070" ht="15.6" spans="4:11">
      <c r="D4070" s="3">
        <v>2529</v>
      </c>
      <c r="E4070" s="3" t="s">
        <v>222</v>
      </c>
      <c r="J4070" s="3" t="s">
        <v>4312</v>
      </c>
      <c r="K4070" s="3" t="s">
        <v>222</v>
      </c>
    </row>
    <row r="4071" ht="15.6" spans="4:11">
      <c r="D4071" s="3">
        <v>2530</v>
      </c>
      <c r="E4071" s="3" t="s">
        <v>222</v>
      </c>
      <c r="J4071" s="3" t="s">
        <v>4313</v>
      </c>
      <c r="K4071" s="3" t="s">
        <v>222</v>
      </c>
    </row>
    <row r="4072" ht="15.6" spans="4:11">
      <c r="D4072" s="3">
        <v>2531</v>
      </c>
      <c r="E4072" s="3" t="s">
        <v>222</v>
      </c>
      <c r="J4072" s="3" t="s">
        <v>4314</v>
      </c>
      <c r="K4072" s="3" t="s">
        <v>222</v>
      </c>
    </row>
    <row r="4073" ht="15.6" spans="4:11">
      <c r="D4073" s="3">
        <v>2532</v>
      </c>
      <c r="E4073" s="3" t="s">
        <v>222</v>
      </c>
      <c r="J4073" s="3" t="s">
        <v>4315</v>
      </c>
      <c r="K4073" s="3" t="s">
        <v>222</v>
      </c>
    </row>
    <row r="4074" ht="15.6" spans="4:11">
      <c r="D4074" s="3">
        <v>2555</v>
      </c>
      <c r="E4074" s="3" t="s">
        <v>222</v>
      </c>
      <c r="J4074" s="3" t="s">
        <v>4316</v>
      </c>
      <c r="K4074" s="3" t="s">
        <v>222</v>
      </c>
    </row>
    <row r="4075" ht="15.6" spans="4:11">
      <c r="D4075" s="3">
        <v>2556</v>
      </c>
      <c r="E4075" s="3" t="s">
        <v>222</v>
      </c>
      <c r="J4075" s="3" t="s">
        <v>4317</v>
      </c>
      <c r="K4075" s="3" t="s">
        <v>222</v>
      </c>
    </row>
    <row r="4076" ht="15.6" spans="4:11">
      <c r="D4076" s="3">
        <v>2561</v>
      </c>
      <c r="E4076" s="3" t="s">
        <v>222</v>
      </c>
      <c r="J4076" s="3" t="s">
        <v>4318</v>
      </c>
      <c r="K4076" s="3" t="s">
        <v>222</v>
      </c>
    </row>
    <row r="4077" ht="15.6" spans="4:11">
      <c r="D4077" s="3">
        <v>2562</v>
      </c>
      <c r="E4077" s="3" t="s">
        <v>222</v>
      </c>
      <c r="J4077" s="3" t="s">
        <v>4319</v>
      </c>
      <c r="K4077" s="3" t="s">
        <v>222</v>
      </c>
    </row>
    <row r="4078" ht="15.6" spans="4:11">
      <c r="D4078" s="3">
        <v>2563</v>
      </c>
      <c r="E4078" s="3" t="s">
        <v>222</v>
      </c>
      <c r="J4078" s="3" t="s">
        <v>4320</v>
      </c>
      <c r="K4078" s="3" t="s">
        <v>222</v>
      </c>
    </row>
    <row r="4079" ht="15.6" spans="4:11">
      <c r="D4079" s="3">
        <v>2568</v>
      </c>
      <c r="E4079" s="3" t="s">
        <v>222</v>
      </c>
      <c r="J4079" s="3" t="s">
        <v>4321</v>
      </c>
      <c r="K4079" s="3" t="s">
        <v>222</v>
      </c>
    </row>
    <row r="4080" ht="15.6" spans="4:11">
      <c r="D4080" s="3">
        <v>2569</v>
      </c>
      <c r="E4080" s="3" t="s">
        <v>222</v>
      </c>
      <c r="J4080" s="3" t="s">
        <v>4322</v>
      </c>
      <c r="K4080" s="3" t="s">
        <v>222</v>
      </c>
    </row>
    <row r="4081" ht="15.6" spans="4:11">
      <c r="D4081" s="3">
        <v>2571</v>
      </c>
      <c r="E4081" s="3" t="s">
        <v>222</v>
      </c>
      <c r="J4081" s="3" t="s">
        <v>4323</v>
      </c>
      <c r="K4081" s="3" t="s">
        <v>222</v>
      </c>
    </row>
    <row r="4082" ht="15.6" spans="4:11">
      <c r="D4082" s="3">
        <v>2572</v>
      </c>
      <c r="E4082" s="3" t="s">
        <v>222</v>
      </c>
      <c r="J4082" s="3" t="s">
        <v>4324</v>
      </c>
      <c r="K4082" s="3" t="s">
        <v>222</v>
      </c>
    </row>
    <row r="4083" ht="15.6" spans="4:11">
      <c r="D4083" s="3">
        <v>2573</v>
      </c>
      <c r="E4083" s="3" t="s">
        <v>222</v>
      </c>
      <c r="J4083" s="3" t="s">
        <v>4325</v>
      </c>
      <c r="K4083" s="3" t="s">
        <v>222</v>
      </c>
    </row>
    <row r="4084" ht="15.6" spans="4:11">
      <c r="D4084" s="3">
        <v>2574</v>
      </c>
      <c r="E4084" s="3" t="s">
        <v>222</v>
      </c>
      <c r="J4084" s="3" t="s">
        <v>4326</v>
      </c>
      <c r="K4084" s="3" t="s">
        <v>222</v>
      </c>
    </row>
    <row r="4085" ht="15.6" spans="4:11">
      <c r="D4085" s="3">
        <v>2600</v>
      </c>
      <c r="E4085" s="3" t="s">
        <v>222</v>
      </c>
      <c r="J4085" s="3" t="s">
        <v>4327</v>
      </c>
      <c r="K4085" s="3" t="s">
        <v>222</v>
      </c>
    </row>
    <row r="4086" ht="15.6" spans="4:11">
      <c r="D4086" s="3">
        <v>2601</v>
      </c>
      <c r="E4086" s="3" t="s">
        <v>222</v>
      </c>
      <c r="J4086" s="3" t="s">
        <v>4328</v>
      </c>
      <c r="K4086" s="3" t="s">
        <v>222</v>
      </c>
    </row>
    <row r="4087" ht="15.6" spans="4:11">
      <c r="D4087" s="3">
        <v>2602</v>
      </c>
      <c r="E4087" s="3" t="s">
        <v>222</v>
      </c>
      <c r="J4087" s="3" t="s">
        <v>4329</v>
      </c>
      <c r="K4087" s="3" t="s">
        <v>222</v>
      </c>
    </row>
    <row r="4088" ht="15.6" spans="4:11">
      <c r="D4088" s="3">
        <v>2603</v>
      </c>
      <c r="E4088" s="3" t="s">
        <v>222</v>
      </c>
      <c r="J4088" s="3" t="s">
        <v>4330</v>
      </c>
      <c r="K4088" s="3" t="s">
        <v>222</v>
      </c>
    </row>
    <row r="4089" ht="15.6" spans="4:11">
      <c r="D4089" s="3">
        <v>2604</v>
      </c>
      <c r="E4089" s="3" t="s">
        <v>222</v>
      </c>
      <c r="J4089" s="3" t="s">
        <v>4331</v>
      </c>
      <c r="K4089" s="3" t="s">
        <v>222</v>
      </c>
    </row>
    <row r="4090" ht="15.6" spans="4:11">
      <c r="D4090" s="3">
        <v>2605</v>
      </c>
      <c r="E4090" s="3" t="s">
        <v>222</v>
      </c>
      <c r="J4090" s="3" t="s">
        <v>4332</v>
      </c>
      <c r="K4090" s="3" t="s">
        <v>222</v>
      </c>
    </row>
    <row r="4091" ht="15.6" spans="4:11">
      <c r="D4091" s="3">
        <v>2606</v>
      </c>
      <c r="E4091" s="3" t="s">
        <v>222</v>
      </c>
      <c r="J4091" s="3" t="s">
        <v>4333</v>
      </c>
      <c r="K4091" s="3" t="s">
        <v>222</v>
      </c>
    </row>
    <row r="4092" ht="15.6" spans="4:11">
      <c r="D4092" s="3">
        <v>2607</v>
      </c>
      <c r="E4092" s="3" t="s">
        <v>222</v>
      </c>
      <c r="J4092" s="3" t="s">
        <v>4334</v>
      </c>
      <c r="K4092" s="3" t="s">
        <v>222</v>
      </c>
    </row>
    <row r="4093" ht="15.6" spans="4:11">
      <c r="D4093" s="3">
        <v>2608</v>
      </c>
      <c r="E4093" s="3" t="s">
        <v>222</v>
      </c>
      <c r="J4093" s="3" t="s">
        <v>4335</v>
      </c>
      <c r="K4093" s="3" t="s">
        <v>222</v>
      </c>
    </row>
    <row r="4094" ht="15.6" spans="4:11">
      <c r="D4094" s="3">
        <v>2609</v>
      </c>
      <c r="E4094" s="3" t="s">
        <v>222</v>
      </c>
      <c r="J4094" s="3" t="s">
        <v>4336</v>
      </c>
      <c r="K4094" s="3" t="s">
        <v>222</v>
      </c>
    </row>
    <row r="4095" ht="15.6" spans="4:11">
      <c r="D4095" s="3">
        <v>2610</v>
      </c>
      <c r="E4095" s="3" t="s">
        <v>222</v>
      </c>
      <c r="J4095" s="3" t="s">
        <v>4337</v>
      </c>
      <c r="K4095" s="3" t="s">
        <v>222</v>
      </c>
    </row>
    <row r="4096" ht="15.6" spans="4:11">
      <c r="D4096" s="3">
        <v>2611</v>
      </c>
      <c r="E4096" s="3" t="s">
        <v>222</v>
      </c>
      <c r="J4096" s="3" t="s">
        <v>4338</v>
      </c>
      <c r="K4096" s="3" t="s">
        <v>222</v>
      </c>
    </row>
    <row r="4097" ht="15.6" spans="4:11">
      <c r="D4097" s="3">
        <v>2612</v>
      </c>
      <c r="E4097" s="3" t="s">
        <v>222</v>
      </c>
      <c r="J4097" s="3" t="s">
        <v>4339</v>
      </c>
      <c r="K4097" s="3" t="s">
        <v>222</v>
      </c>
    </row>
    <row r="4098" ht="15.6" spans="4:11">
      <c r="D4098" s="3">
        <v>2613</v>
      </c>
      <c r="E4098" s="3" t="s">
        <v>222</v>
      </c>
      <c r="J4098" s="3" t="s">
        <v>4340</v>
      </c>
      <c r="K4098" s="3" t="s">
        <v>222</v>
      </c>
    </row>
    <row r="4099" ht="15.6" spans="4:11">
      <c r="D4099" s="3">
        <v>2614</v>
      </c>
      <c r="E4099" s="3" t="s">
        <v>222</v>
      </c>
      <c r="J4099" s="3" t="s">
        <v>4341</v>
      </c>
      <c r="K4099" s="3" t="s">
        <v>222</v>
      </c>
    </row>
    <row r="4100" ht="15.6" spans="4:11">
      <c r="D4100" s="3">
        <v>2615</v>
      </c>
      <c r="E4100" s="3" t="s">
        <v>222</v>
      </c>
      <c r="J4100" s="3" t="s">
        <v>4342</v>
      </c>
      <c r="K4100" s="3" t="s">
        <v>222</v>
      </c>
    </row>
    <row r="4101" ht="15.6" spans="4:11">
      <c r="D4101" s="3">
        <v>2616</v>
      </c>
      <c r="E4101" s="3" t="s">
        <v>222</v>
      </c>
      <c r="J4101" s="3" t="s">
        <v>4343</v>
      </c>
      <c r="K4101" s="3" t="s">
        <v>222</v>
      </c>
    </row>
    <row r="4102" ht="15.6" spans="4:11">
      <c r="D4102" s="3">
        <v>2617</v>
      </c>
      <c r="E4102" s="3" t="s">
        <v>222</v>
      </c>
      <c r="J4102" s="3" t="s">
        <v>4344</v>
      </c>
      <c r="K4102" s="3" t="s">
        <v>222</v>
      </c>
    </row>
    <row r="4103" ht="15.6" spans="4:11">
      <c r="D4103" s="3">
        <v>2618</v>
      </c>
      <c r="E4103" s="3" t="s">
        <v>222</v>
      </c>
      <c r="J4103" s="3" t="s">
        <v>4345</v>
      </c>
      <c r="K4103" s="3" t="s">
        <v>222</v>
      </c>
    </row>
    <row r="4104" ht="15.6" spans="4:11">
      <c r="D4104" s="3">
        <v>2619</v>
      </c>
      <c r="E4104" s="3" t="s">
        <v>222</v>
      </c>
      <c r="J4104" s="3" t="s">
        <v>4346</v>
      </c>
      <c r="K4104" s="3" t="s">
        <v>222</v>
      </c>
    </row>
    <row r="4105" ht="15.6" spans="4:11">
      <c r="D4105" s="3">
        <v>2620</v>
      </c>
      <c r="E4105" s="3" t="s">
        <v>222</v>
      </c>
      <c r="J4105" s="3" t="s">
        <v>4347</v>
      </c>
      <c r="K4105" s="3" t="s">
        <v>222</v>
      </c>
    </row>
    <row r="4106" ht="15.6" spans="4:11">
      <c r="D4106" s="3">
        <v>2640</v>
      </c>
      <c r="E4106" s="3" t="s">
        <v>222</v>
      </c>
      <c r="J4106" s="3" t="s">
        <v>4348</v>
      </c>
      <c r="K4106" s="3" t="s">
        <v>222</v>
      </c>
    </row>
    <row r="4107" ht="15.6" spans="4:11">
      <c r="D4107" s="3">
        <v>2641</v>
      </c>
      <c r="E4107" s="3" t="s">
        <v>222</v>
      </c>
      <c r="J4107" s="3" t="s">
        <v>4349</v>
      </c>
      <c r="K4107" s="3" t="s">
        <v>222</v>
      </c>
    </row>
    <row r="4108" ht="15.6" spans="4:11">
      <c r="D4108" s="3">
        <v>2708</v>
      </c>
      <c r="E4108" s="3" t="s">
        <v>222</v>
      </c>
      <c r="J4108" s="3" t="s">
        <v>4350</v>
      </c>
      <c r="K4108" s="3" t="s">
        <v>222</v>
      </c>
    </row>
    <row r="4109" ht="15.6" spans="4:11">
      <c r="D4109" s="3">
        <v>2709</v>
      </c>
      <c r="E4109" s="3" t="s">
        <v>222</v>
      </c>
      <c r="J4109" s="3" t="s">
        <v>4351</v>
      </c>
      <c r="K4109" s="3" t="s">
        <v>222</v>
      </c>
    </row>
    <row r="4110" ht="15.6" spans="4:11">
      <c r="D4110" s="3">
        <v>2746</v>
      </c>
      <c r="E4110" s="3" t="s">
        <v>222</v>
      </c>
      <c r="J4110" s="3" t="s">
        <v>4352</v>
      </c>
      <c r="K4110" s="3" t="s">
        <v>222</v>
      </c>
    </row>
    <row r="4111" ht="15.6" spans="4:11">
      <c r="D4111" s="3">
        <v>2752</v>
      </c>
      <c r="E4111" s="3" t="s">
        <v>222</v>
      </c>
      <c r="J4111" s="3" t="s">
        <v>4353</v>
      </c>
      <c r="K4111" s="3" t="s">
        <v>222</v>
      </c>
    </row>
    <row r="4112" ht="15.6" spans="4:11">
      <c r="D4112" s="3">
        <v>2753</v>
      </c>
      <c r="E4112" s="3" t="s">
        <v>222</v>
      </c>
      <c r="J4112" s="3" t="s">
        <v>4354</v>
      </c>
      <c r="K4112" s="3" t="s">
        <v>222</v>
      </c>
    </row>
    <row r="4113" ht="15.6" spans="4:11">
      <c r="D4113" s="3">
        <v>2754</v>
      </c>
      <c r="E4113" s="3" t="s">
        <v>222</v>
      </c>
      <c r="J4113" s="3" t="s">
        <v>4355</v>
      </c>
      <c r="K4113" s="3" t="s">
        <v>222</v>
      </c>
    </row>
    <row r="4114" ht="15.6" spans="4:11">
      <c r="D4114" s="3">
        <v>2755</v>
      </c>
      <c r="E4114" s="3" t="s">
        <v>222</v>
      </c>
      <c r="J4114" s="3" t="s">
        <v>4356</v>
      </c>
      <c r="K4114" s="3" t="s">
        <v>222</v>
      </c>
    </row>
    <row r="4115" ht="15.6" spans="4:11">
      <c r="D4115" s="3">
        <v>2756</v>
      </c>
      <c r="E4115" s="3" t="s">
        <v>222</v>
      </c>
      <c r="J4115" s="3" t="s">
        <v>4357</v>
      </c>
      <c r="K4115" s="3" t="s">
        <v>222</v>
      </c>
    </row>
    <row r="4116" ht="15.6" spans="4:11">
      <c r="D4116" s="3">
        <v>2757</v>
      </c>
      <c r="E4116" s="3" t="s">
        <v>222</v>
      </c>
      <c r="J4116" s="3" t="s">
        <v>4358</v>
      </c>
      <c r="K4116" s="3" t="s">
        <v>222</v>
      </c>
    </row>
    <row r="4117" ht="15.6" spans="4:11">
      <c r="D4117" s="3">
        <v>2758</v>
      </c>
      <c r="E4117" s="3" t="s">
        <v>222</v>
      </c>
      <c r="J4117" s="3" t="s">
        <v>4359</v>
      </c>
      <c r="K4117" s="3" t="s">
        <v>222</v>
      </c>
    </row>
    <row r="4118" ht="15.6" spans="4:11">
      <c r="D4118" s="3">
        <v>2775</v>
      </c>
      <c r="E4118" s="3" t="s">
        <v>222</v>
      </c>
      <c r="J4118" s="3" t="s">
        <v>4360</v>
      </c>
      <c r="K4118" s="3" t="s">
        <v>222</v>
      </c>
    </row>
    <row r="4119" ht="15.6" spans="4:11">
      <c r="D4119" s="3">
        <v>2778</v>
      </c>
      <c r="E4119" s="3" t="s">
        <v>222</v>
      </c>
      <c r="J4119" s="3" t="s">
        <v>4361</v>
      </c>
      <c r="K4119" s="3" t="s">
        <v>222</v>
      </c>
    </row>
    <row r="4120" ht="15.6" spans="4:11">
      <c r="D4120" s="3">
        <v>2779</v>
      </c>
      <c r="E4120" s="3" t="s">
        <v>222</v>
      </c>
      <c r="J4120" s="3" t="s">
        <v>4362</v>
      </c>
      <c r="K4120" s="3" t="s">
        <v>222</v>
      </c>
    </row>
    <row r="4121" ht="15.6" spans="4:11">
      <c r="D4121" s="3">
        <v>2780</v>
      </c>
      <c r="E4121" s="3" t="s">
        <v>222</v>
      </c>
      <c r="J4121" s="3" t="s">
        <v>4363</v>
      </c>
      <c r="K4121" s="3" t="s">
        <v>222</v>
      </c>
    </row>
    <row r="4122" ht="15.6" spans="4:11">
      <c r="D4122" s="3">
        <v>2781</v>
      </c>
      <c r="E4122" s="3" t="s">
        <v>222</v>
      </c>
      <c r="J4122" s="3" t="s">
        <v>4364</v>
      </c>
      <c r="K4122" s="3" t="s">
        <v>222</v>
      </c>
    </row>
    <row r="4123" ht="15.6" spans="4:11">
      <c r="D4123" s="3">
        <v>2782</v>
      </c>
      <c r="E4123" s="3" t="s">
        <v>222</v>
      </c>
      <c r="J4123" s="3" t="s">
        <v>4365</v>
      </c>
      <c r="K4123" s="3" t="s">
        <v>222</v>
      </c>
    </row>
    <row r="4124" ht="15.6" spans="4:11">
      <c r="D4124" s="3">
        <v>2783</v>
      </c>
      <c r="E4124" s="3" t="s">
        <v>222</v>
      </c>
      <c r="J4124" s="3" t="s">
        <v>4366</v>
      </c>
      <c r="K4124" s="3" t="s">
        <v>222</v>
      </c>
    </row>
    <row r="4125" ht="15.6" spans="4:11">
      <c r="D4125" s="3">
        <v>2784</v>
      </c>
      <c r="E4125" s="3" t="s">
        <v>222</v>
      </c>
      <c r="J4125" s="3" t="s">
        <v>4367</v>
      </c>
      <c r="K4125" s="3" t="s">
        <v>222</v>
      </c>
    </row>
    <row r="4126" ht="15.6" spans="4:11">
      <c r="D4126" s="3">
        <v>2785</v>
      </c>
      <c r="E4126" s="3" t="s">
        <v>222</v>
      </c>
      <c r="J4126" s="3" t="s">
        <v>4368</v>
      </c>
      <c r="K4126" s="3" t="s">
        <v>222</v>
      </c>
    </row>
    <row r="4127" ht="15.6" spans="4:11">
      <c r="D4127" s="3">
        <v>2786</v>
      </c>
      <c r="E4127" s="3" t="s">
        <v>222</v>
      </c>
      <c r="J4127" s="3" t="s">
        <v>4369</v>
      </c>
      <c r="K4127" s="3" t="s">
        <v>222</v>
      </c>
    </row>
    <row r="4128" ht="15.6" spans="4:11">
      <c r="D4128" s="3">
        <v>2900</v>
      </c>
      <c r="E4128" s="3" t="s">
        <v>222</v>
      </c>
      <c r="J4128" s="3" t="s">
        <v>4370</v>
      </c>
      <c r="K4128" s="3" t="s">
        <v>222</v>
      </c>
    </row>
    <row r="4129" ht="15.6" spans="4:11">
      <c r="D4129" s="3">
        <v>2901</v>
      </c>
      <c r="E4129" s="3" t="s">
        <v>222</v>
      </c>
      <c r="J4129" s="3" t="s">
        <v>4371</v>
      </c>
      <c r="K4129" s="3" t="s">
        <v>222</v>
      </c>
    </row>
    <row r="4130" ht="15.6" spans="4:11">
      <c r="D4130" s="3">
        <v>2902</v>
      </c>
      <c r="E4130" s="3" t="s">
        <v>222</v>
      </c>
      <c r="J4130" s="3" t="s">
        <v>4372</v>
      </c>
      <c r="K4130" s="3" t="s">
        <v>222</v>
      </c>
    </row>
    <row r="4131" ht="15.6" spans="4:11">
      <c r="D4131" s="3">
        <v>2903</v>
      </c>
      <c r="E4131" s="3" t="s">
        <v>222</v>
      </c>
      <c r="J4131" s="3" t="s">
        <v>4373</v>
      </c>
      <c r="K4131" s="3" t="s">
        <v>222</v>
      </c>
    </row>
    <row r="4132" ht="15.6" spans="4:11">
      <c r="D4132" s="3">
        <v>2904</v>
      </c>
      <c r="E4132" s="3" t="s">
        <v>222</v>
      </c>
      <c r="J4132" s="3" t="s">
        <v>4374</v>
      </c>
      <c r="K4132" s="3" t="s">
        <v>222</v>
      </c>
    </row>
    <row r="4133" ht="15.6" spans="4:11">
      <c r="D4133" s="3">
        <v>2905</v>
      </c>
      <c r="E4133" s="3" t="s">
        <v>222</v>
      </c>
      <c r="J4133" s="3" t="s">
        <v>4375</v>
      </c>
      <c r="K4133" s="3" t="s">
        <v>222</v>
      </c>
    </row>
    <row r="4134" ht="15.6" spans="4:11">
      <c r="D4134" s="3">
        <v>2906</v>
      </c>
      <c r="E4134" s="3" t="s">
        <v>222</v>
      </c>
      <c r="J4134" s="3" t="s">
        <v>4376</v>
      </c>
      <c r="K4134" s="3" t="s">
        <v>222</v>
      </c>
    </row>
    <row r="4135" ht="15.6" spans="4:11">
      <c r="D4135" s="3">
        <v>2907</v>
      </c>
      <c r="E4135" s="3" t="s">
        <v>222</v>
      </c>
      <c r="J4135" s="3" t="s">
        <v>4377</v>
      </c>
      <c r="K4135" s="3" t="s">
        <v>222</v>
      </c>
    </row>
    <row r="4136" ht="15.6" spans="4:11">
      <c r="D4136" s="3">
        <v>2908</v>
      </c>
      <c r="E4136" s="3" t="s">
        <v>222</v>
      </c>
      <c r="J4136" s="3" t="s">
        <v>4378</v>
      </c>
      <c r="K4136" s="3" t="s">
        <v>222</v>
      </c>
    </row>
    <row r="4137" ht="15.6" spans="4:11">
      <c r="D4137" s="3">
        <v>2909</v>
      </c>
      <c r="E4137" s="3" t="s">
        <v>222</v>
      </c>
      <c r="J4137" s="3" t="s">
        <v>4379</v>
      </c>
      <c r="K4137" s="3" t="s">
        <v>222</v>
      </c>
    </row>
    <row r="4138" ht="15.6" spans="4:11">
      <c r="D4138" s="3">
        <v>2910</v>
      </c>
      <c r="E4138" s="3" t="s">
        <v>222</v>
      </c>
      <c r="J4138" s="3" t="s">
        <v>4380</v>
      </c>
      <c r="K4138" s="3" t="s">
        <v>222</v>
      </c>
    </row>
    <row r="4139" ht="15.6" spans="4:11">
      <c r="D4139" s="3">
        <v>2911</v>
      </c>
      <c r="E4139" s="3" t="s">
        <v>222</v>
      </c>
      <c r="J4139" s="3" t="s">
        <v>4381</v>
      </c>
      <c r="K4139" s="3" t="s">
        <v>222</v>
      </c>
    </row>
    <row r="4140" ht="15.6" spans="4:11">
      <c r="D4140" s="3">
        <v>2912</v>
      </c>
      <c r="E4140" s="3" t="s">
        <v>222</v>
      </c>
      <c r="J4140" s="3" t="s">
        <v>4382</v>
      </c>
      <c r="K4140" s="3" t="s">
        <v>222</v>
      </c>
    </row>
    <row r="4141" ht="15.6" spans="4:11">
      <c r="D4141" s="3">
        <v>2913</v>
      </c>
      <c r="E4141" s="3" t="s">
        <v>222</v>
      </c>
      <c r="J4141" s="3" t="s">
        <v>4383</v>
      </c>
      <c r="K4141" s="3" t="s">
        <v>222</v>
      </c>
    </row>
    <row r="4142" ht="15.6" spans="4:11">
      <c r="D4142" s="3">
        <v>2914</v>
      </c>
      <c r="E4142" s="3" t="s">
        <v>222</v>
      </c>
      <c r="J4142" s="3" t="s">
        <v>4384</v>
      </c>
      <c r="K4142" s="3" t="s">
        <v>222</v>
      </c>
    </row>
    <row r="4143" ht="15.6" spans="4:11">
      <c r="D4143" s="3">
        <v>2915</v>
      </c>
      <c r="E4143" s="3" t="s">
        <v>222</v>
      </c>
      <c r="J4143" s="3" t="s">
        <v>4385</v>
      </c>
      <c r="K4143" s="3" t="s">
        <v>222</v>
      </c>
    </row>
    <row r="4144" ht="15.6" spans="4:11">
      <c r="D4144" s="3">
        <v>2916</v>
      </c>
      <c r="E4144" s="3" t="s">
        <v>222</v>
      </c>
      <c r="J4144" s="3" t="s">
        <v>4386</v>
      </c>
      <c r="K4144" s="3" t="s">
        <v>222</v>
      </c>
    </row>
    <row r="4145" ht="15.6" spans="4:11">
      <c r="D4145" s="3">
        <v>2917</v>
      </c>
      <c r="E4145" s="3" t="s">
        <v>222</v>
      </c>
      <c r="J4145" s="3" t="s">
        <v>4387</v>
      </c>
      <c r="K4145" s="3" t="s">
        <v>222</v>
      </c>
    </row>
    <row r="4146" ht="15.6" spans="4:11">
      <c r="D4146" s="3">
        <v>2918</v>
      </c>
      <c r="E4146" s="3" t="s">
        <v>222</v>
      </c>
      <c r="J4146" s="3" t="s">
        <v>4388</v>
      </c>
      <c r="K4146" s="3" t="s">
        <v>222</v>
      </c>
    </row>
    <row r="4147" ht="15.6" spans="4:11">
      <c r="D4147" s="3">
        <v>2919</v>
      </c>
      <c r="E4147" s="3" t="s">
        <v>222</v>
      </c>
      <c r="J4147" s="3" t="s">
        <v>4389</v>
      </c>
      <c r="K4147" s="3" t="s">
        <v>222</v>
      </c>
    </row>
    <row r="4148" ht="15.6" spans="4:11">
      <c r="D4148" s="3">
        <v>2920</v>
      </c>
      <c r="E4148" s="3" t="s">
        <v>222</v>
      </c>
      <c r="J4148" s="3" t="s">
        <v>4390</v>
      </c>
      <c r="K4148" s="3" t="s">
        <v>222</v>
      </c>
    </row>
    <row r="4149" ht="15.6" spans="4:11">
      <c r="D4149" s="3">
        <v>3063</v>
      </c>
      <c r="E4149" s="3" t="s">
        <v>222</v>
      </c>
      <c r="J4149" s="3" t="s">
        <v>4391</v>
      </c>
      <c r="K4149" s="3" t="s">
        <v>222</v>
      </c>
    </row>
    <row r="4150" ht="15.6" spans="4:11">
      <c r="D4150" s="3">
        <v>3099</v>
      </c>
      <c r="E4150" s="3" t="s">
        <v>222</v>
      </c>
      <c r="J4150" s="3" t="s">
        <v>4392</v>
      </c>
      <c r="K4150" s="3" t="s">
        <v>222</v>
      </c>
    </row>
    <row r="4151" ht="15.6" spans="4:11">
      <c r="D4151" s="3">
        <v>3100</v>
      </c>
      <c r="E4151" s="3" t="s">
        <v>222</v>
      </c>
      <c r="J4151" s="3" t="s">
        <v>4393</v>
      </c>
      <c r="K4151" s="3" t="s">
        <v>222</v>
      </c>
    </row>
    <row r="4152" ht="15.6" spans="4:11">
      <c r="D4152" s="3">
        <v>3139</v>
      </c>
      <c r="E4152" s="3" t="s">
        <v>222</v>
      </c>
      <c r="J4152" s="3" t="s">
        <v>4394</v>
      </c>
      <c r="K4152" s="3" t="s">
        <v>222</v>
      </c>
    </row>
    <row r="4153" ht="15.6" spans="4:11">
      <c r="D4153" s="3">
        <v>3211</v>
      </c>
      <c r="E4153" s="3" t="s">
        <v>222</v>
      </c>
      <c r="J4153" s="3" t="s">
        <v>4395</v>
      </c>
      <c r="K4153" s="3" t="s">
        <v>222</v>
      </c>
    </row>
    <row r="4154" ht="15.6" spans="4:11">
      <c r="D4154" s="3">
        <v>3212</v>
      </c>
      <c r="E4154" s="3" t="s">
        <v>222</v>
      </c>
      <c r="J4154" s="3" t="s">
        <v>4396</v>
      </c>
      <c r="K4154" s="3" t="s">
        <v>222</v>
      </c>
    </row>
    <row r="4155" ht="15.6" spans="4:11">
      <c r="D4155" s="3">
        <v>3213</v>
      </c>
      <c r="E4155" s="3" t="s">
        <v>222</v>
      </c>
      <c r="J4155" s="3" t="s">
        <v>4397</v>
      </c>
      <c r="K4155" s="3" t="s">
        <v>222</v>
      </c>
    </row>
    <row r="4156" ht="15.6" spans="4:11">
      <c r="D4156" s="3">
        <v>3214</v>
      </c>
      <c r="E4156" s="3" t="s">
        <v>222</v>
      </c>
      <c r="J4156" s="3" t="s">
        <v>4398</v>
      </c>
      <c r="K4156" s="3" t="s">
        <v>222</v>
      </c>
    </row>
    <row r="4157" ht="15.6" spans="4:11">
      <c r="D4157" s="3">
        <v>3215</v>
      </c>
      <c r="E4157" s="3" t="s">
        <v>222</v>
      </c>
      <c r="J4157" s="3" t="s">
        <v>4399</v>
      </c>
      <c r="K4157" s="3" t="s">
        <v>222</v>
      </c>
    </row>
    <row r="4158" ht="15.6" spans="4:11">
      <c r="D4158" s="3">
        <v>3216</v>
      </c>
      <c r="E4158" s="3" t="s">
        <v>222</v>
      </c>
      <c r="J4158" s="3" t="s">
        <v>4400</v>
      </c>
      <c r="K4158" s="3" t="s">
        <v>222</v>
      </c>
    </row>
    <row r="4159" ht="15.6" spans="4:11">
      <c r="D4159" s="3">
        <v>3217</v>
      </c>
      <c r="E4159" s="3" t="s">
        <v>222</v>
      </c>
      <c r="J4159" s="3" t="s">
        <v>4401</v>
      </c>
      <c r="K4159" s="3" t="s">
        <v>222</v>
      </c>
    </row>
    <row r="4160" ht="15.6" spans="4:11">
      <c r="D4160" s="3">
        <v>3218</v>
      </c>
      <c r="E4160" s="3" t="s">
        <v>222</v>
      </c>
      <c r="J4160" s="3" t="s">
        <v>4402</v>
      </c>
      <c r="K4160" s="3" t="s">
        <v>222</v>
      </c>
    </row>
    <row r="4161" ht="15.6" spans="4:11">
      <c r="D4161" s="3">
        <v>3219</v>
      </c>
      <c r="E4161" s="3" t="s">
        <v>222</v>
      </c>
      <c r="J4161" s="3" t="s">
        <v>4403</v>
      </c>
      <c r="K4161" s="3" t="s">
        <v>222</v>
      </c>
    </row>
    <row r="4162" ht="15.6" spans="4:11">
      <c r="D4162" s="3">
        <v>3220</v>
      </c>
      <c r="E4162" s="3" t="s">
        <v>222</v>
      </c>
      <c r="J4162" s="3" t="s">
        <v>4404</v>
      </c>
      <c r="K4162" s="3" t="s">
        <v>222</v>
      </c>
    </row>
    <row r="4163" ht="15.6" spans="4:11">
      <c r="D4163" s="3">
        <v>3335</v>
      </c>
      <c r="E4163" s="3" t="s">
        <v>222</v>
      </c>
      <c r="J4163" s="3" t="s">
        <v>4405</v>
      </c>
      <c r="K4163" s="3" t="s">
        <v>222</v>
      </c>
    </row>
    <row r="4164" ht="15.6" spans="4:11">
      <c r="D4164" s="3">
        <v>3336</v>
      </c>
      <c r="E4164" s="3" t="s">
        <v>222</v>
      </c>
      <c r="J4164" s="3" t="s">
        <v>4406</v>
      </c>
      <c r="K4164" s="3" t="s">
        <v>222</v>
      </c>
    </row>
    <row r="4165" ht="15.6" spans="4:11">
      <c r="D4165" s="3">
        <v>3339</v>
      </c>
      <c r="E4165" s="3" t="s">
        <v>222</v>
      </c>
      <c r="J4165" s="3" t="s">
        <v>4407</v>
      </c>
      <c r="K4165" s="3" t="s">
        <v>222</v>
      </c>
    </row>
    <row r="4166" ht="15.6" spans="4:11">
      <c r="D4166" s="3">
        <v>3341</v>
      </c>
      <c r="E4166" s="3" t="s">
        <v>222</v>
      </c>
      <c r="J4166" s="3" t="s">
        <v>4408</v>
      </c>
      <c r="K4166" s="3" t="s">
        <v>222</v>
      </c>
    </row>
    <row r="4167" ht="15.6" spans="4:11">
      <c r="D4167" s="3">
        <v>3350</v>
      </c>
      <c r="E4167" s="3" t="s">
        <v>222</v>
      </c>
      <c r="J4167" s="3" t="s">
        <v>4409</v>
      </c>
      <c r="K4167" s="3" t="s">
        <v>222</v>
      </c>
    </row>
    <row r="4168" ht="15.6" spans="4:11">
      <c r="D4168" s="3">
        <v>3353</v>
      </c>
      <c r="E4168" s="3" t="s">
        <v>222</v>
      </c>
      <c r="J4168" s="3" t="s">
        <v>4410</v>
      </c>
      <c r="K4168" s="3" t="s">
        <v>222</v>
      </c>
    </row>
    <row r="4169" ht="15.6" spans="4:11">
      <c r="D4169" s="3">
        <v>3354</v>
      </c>
      <c r="E4169" s="3" t="s">
        <v>222</v>
      </c>
      <c r="J4169" s="3" t="s">
        <v>4411</v>
      </c>
      <c r="K4169" s="3" t="s">
        <v>222</v>
      </c>
    </row>
    <row r="4170" ht="15.6" spans="4:11">
      <c r="D4170" s="3">
        <v>3355</v>
      </c>
      <c r="E4170" s="3" t="s">
        <v>222</v>
      </c>
      <c r="J4170" s="3" t="s">
        <v>4412</v>
      </c>
      <c r="K4170" s="3" t="s">
        <v>222</v>
      </c>
    </row>
    <row r="4171" ht="15.6" spans="4:11">
      <c r="D4171" s="3">
        <v>3356</v>
      </c>
      <c r="E4171" s="3" t="s">
        <v>222</v>
      </c>
      <c r="J4171" s="3" t="s">
        <v>4413</v>
      </c>
      <c r="K4171" s="3" t="s">
        <v>222</v>
      </c>
    </row>
    <row r="4172" ht="15.6" spans="4:11">
      <c r="D4172" s="3">
        <v>3427</v>
      </c>
      <c r="E4172" s="3" t="s">
        <v>222</v>
      </c>
      <c r="J4172" s="3" t="s">
        <v>4414</v>
      </c>
      <c r="K4172" s="3" t="s">
        <v>222</v>
      </c>
    </row>
    <row r="4173" ht="15.6" spans="4:11">
      <c r="D4173" s="3">
        <v>3428</v>
      </c>
      <c r="E4173" s="3" t="s">
        <v>222</v>
      </c>
      <c r="J4173" s="3" t="s">
        <v>4415</v>
      </c>
      <c r="K4173" s="3" t="s">
        <v>222</v>
      </c>
    </row>
    <row r="4174" ht="15.6" spans="4:11">
      <c r="D4174" s="3">
        <v>3430</v>
      </c>
      <c r="E4174" s="3" t="s">
        <v>222</v>
      </c>
      <c r="J4174" s="3" t="s">
        <v>4416</v>
      </c>
      <c r="K4174" s="3" t="s">
        <v>222</v>
      </c>
    </row>
    <row r="4175" ht="15.6" spans="4:11">
      <c r="D4175" s="3">
        <v>3431</v>
      </c>
      <c r="E4175" s="3" t="s">
        <v>222</v>
      </c>
      <c r="J4175" s="3" t="s">
        <v>4417</v>
      </c>
      <c r="K4175" s="3" t="s">
        <v>222</v>
      </c>
    </row>
    <row r="4176" ht="15.6" spans="4:11">
      <c r="D4176" s="3">
        <v>3432</v>
      </c>
      <c r="E4176" s="3" t="s">
        <v>222</v>
      </c>
      <c r="J4176" s="3" t="s">
        <v>4418</v>
      </c>
      <c r="K4176" s="3" t="s">
        <v>222</v>
      </c>
    </row>
    <row r="4177" ht="15.6" spans="4:11">
      <c r="D4177" s="3">
        <v>3433</v>
      </c>
      <c r="E4177" s="3" t="s">
        <v>222</v>
      </c>
      <c r="J4177" s="3" t="s">
        <v>4419</v>
      </c>
      <c r="K4177" s="3" t="s">
        <v>222</v>
      </c>
    </row>
    <row r="4178" ht="15.6" spans="4:11">
      <c r="D4178" s="3">
        <v>3434</v>
      </c>
      <c r="E4178" s="3" t="s">
        <v>222</v>
      </c>
      <c r="J4178" s="3" t="s">
        <v>4420</v>
      </c>
      <c r="K4178" s="3" t="s">
        <v>222</v>
      </c>
    </row>
    <row r="4179" ht="15.6" spans="4:11">
      <c r="D4179" s="3">
        <v>3435</v>
      </c>
      <c r="E4179" s="3" t="s">
        <v>222</v>
      </c>
      <c r="J4179" s="3" t="s">
        <v>4421</v>
      </c>
      <c r="K4179" s="3" t="s">
        <v>222</v>
      </c>
    </row>
    <row r="4180" ht="15.6" spans="4:11">
      <c r="D4180" s="3">
        <v>3436</v>
      </c>
      <c r="E4180" s="3" t="s">
        <v>222</v>
      </c>
      <c r="J4180" s="3" t="s">
        <v>4422</v>
      </c>
      <c r="K4180" s="3" t="s">
        <v>222</v>
      </c>
    </row>
    <row r="4181" ht="15.6" spans="4:11">
      <c r="D4181" s="3">
        <v>3437</v>
      </c>
      <c r="E4181" s="3" t="s">
        <v>222</v>
      </c>
      <c r="J4181" s="3" t="s">
        <v>4423</v>
      </c>
      <c r="K4181" s="3" t="s">
        <v>222</v>
      </c>
    </row>
    <row r="4182" ht="15.6" spans="4:11">
      <c r="D4182" s="3">
        <v>3438</v>
      </c>
      <c r="E4182" s="3" t="s">
        <v>222</v>
      </c>
      <c r="J4182" s="3" t="s">
        <v>4424</v>
      </c>
      <c r="K4182" s="3" t="s">
        <v>222</v>
      </c>
    </row>
    <row r="4183" ht="15.6" spans="4:11">
      <c r="D4183" s="3">
        <v>3439</v>
      </c>
      <c r="E4183" s="3" t="s">
        <v>222</v>
      </c>
      <c r="J4183" s="3" t="s">
        <v>4425</v>
      </c>
      <c r="K4183" s="3" t="s">
        <v>222</v>
      </c>
    </row>
    <row r="4184" ht="15.6" spans="4:11">
      <c r="D4184" s="3">
        <v>3440</v>
      </c>
      <c r="E4184" s="3" t="s">
        <v>222</v>
      </c>
      <c r="J4184" s="3" t="s">
        <v>4426</v>
      </c>
      <c r="K4184" s="3" t="s">
        <v>222</v>
      </c>
    </row>
    <row r="4185" ht="15.6" spans="4:11">
      <c r="D4185" s="3">
        <v>3441</v>
      </c>
      <c r="E4185" s="3" t="s">
        <v>222</v>
      </c>
      <c r="J4185" s="3" t="s">
        <v>4427</v>
      </c>
      <c r="K4185" s="3" t="s">
        <v>222</v>
      </c>
    </row>
    <row r="4186" ht="15.6" spans="4:11">
      <c r="D4186" s="3">
        <v>3442</v>
      </c>
      <c r="E4186" s="3" t="s">
        <v>222</v>
      </c>
      <c r="J4186" s="3" t="s">
        <v>4428</v>
      </c>
      <c r="K4186" s="3" t="s">
        <v>222</v>
      </c>
    </row>
    <row r="4187" ht="15.6" spans="4:11">
      <c r="D4187" s="3">
        <v>3443</v>
      </c>
      <c r="E4187" s="3" t="s">
        <v>222</v>
      </c>
      <c r="J4187" s="3" t="s">
        <v>4429</v>
      </c>
      <c r="K4187" s="3" t="s">
        <v>222</v>
      </c>
    </row>
    <row r="4188" ht="15.6" spans="4:11">
      <c r="D4188" s="3">
        <v>3689</v>
      </c>
      <c r="E4188" s="3" t="s">
        <v>222</v>
      </c>
      <c r="J4188" s="3" t="s">
        <v>4430</v>
      </c>
      <c r="K4188" s="3" t="s">
        <v>222</v>
      </c>
    </row>
    <row r="4189" ht="15.6" spans="4:11">
      <c r="D4189" s="3">
        <v>3690</v>
      </c>
      <c r="E4189" s="3" t="s">
        <v>222</v>
      </c>
      <c r="J4189" s="3" t="s">
        <v>4431</v>
      </c>
      <c r="K4189" s="3" t="s">
        <v>222</v>
      </c>
    </row>
    <row r="4190" ht="15.6" spans="4:11">
      <c r="D4190" s="3">
        <v>3750</v>
      </c>
      <c r="E4190" s="3" t="s">
        <v>222</v>
      </c>
      <c r="J4190" s="3" t="s">
        <v>4432</v>
      </c>
      <c r="K4190" s="3" t="s">
        <v>222</v>
      </c>
    </row>
    <row r="4191" ht="15.6" spans="4:11">
      <c r="D4191" s="3">
        <v>3751</v>
      </c>
      <c r="E4191" s="3" t="s">
        <v>222</v>
      </c>
      <c r="J4191" s="3" t="s">
        <v>4433</v>
      </c>
      <c r="K4191" s="3" t="s">
        <v>222</v>
      </c>
    </row>
    <row r="4192" ht="15.6" spans="4:11">
      <c r="D4192" s="3">
        <v>3752</v>
      </c>
      <c r="E4192" s="3" t="s">
        <v>222</v>
      </c>
      <c r="J4192" s="3" t="s">
        <v>4434</v>
      </c>
      <c r="K4192" s="3" t="s">
        <v>222</v>
      </c>
    </row>
    <row r="4193" ht="15.6" spans="4:11">
      <c r="D4193" s="3">
        <v>3753</v>
      </c>
      <c r="E4193" s="3" t="s">
        <v>222</v>
      </c>
      <c r="J4193" s="3" t="s">
        <v>4435</v>
      </c>
      <c r="K4193" s="3" t="s">
        <v>222</v>
      </c>
    </row>
    <row r="4194" ht="15.6" spans="4:11">
      <c r="D4194" s="3">
        <v>3754</v>
      </c>
      <c r="E4194" s="3" t="s">
        <v>222</v>
      </c>
      <c r="J4194" s="3" t="s">
        <v>4436</v>
      </c>
      <c r="K4194" s="3" t="s">
        <v>222</v>
      </c>
    </row>
    <row r="4195" ht="15.6" spans="4:11">
      <c r="D4195" s="3">
        <v>3755</v>
      </c>
      <c r="E4195" s="3" t="s">
        <v>222</v>
      </c>
      <c r="J4195" s="3" t="s">
        <v>4437</v>
      </c>
      <c r="K4195" s="3" t="s">
        <v>222</v>
      </c>
    </row>
    <row r="4196" ht="15.6" spans="4:11">
      <c r="D4196" s="3">
        <v>3756</v>
      </c>
      <c r="E4196" s="3" t="s">
        <v>222</v>
      </c>
      <c r="J4196" s="3" t="s">
        <v>4438</v>
      </c>
      <c r="K4196" s="3" t="s">
        <v>222</v>
      </c>
    </row>
    <row r="4197" ht="15.6" spans="4:11">
      <c r="D4197" s="3">
        <v>3757</v>
      </c>
      <c r="E4197" s="3" t="s">
        <v>222</v>
      </c>
      <c r="J4197" s="3" t="s">
        <v>4439</v>
      </c>
      <c r="K4197" s="3" t="s">
        <v>222</v>
      </c>
    </row>
    <row r="4198" ht="15.6" spans="4:11">
      <c r="D4198" s="3">
        <v>3758</v>
      </c>
      <c r="E4198" s="3" t="s">
        <v>222</v>
      </c>
      <c r="J4198" s="3" t="s">
        <v>4440</v>
      </c>
      <c r="K4198" s="3" t="s">
        <v>222</v>
      </c>
    </row>
    <row r="4199" ht="15.6" spans="4:11">
      <c r="D4199" s="3">
        <v>3759</v>
      </c>
      <c r="E4199" s="3" t="s">
        <v>222</v>
      </c>
      <c r="J4199" s="3" t="s">
        <v>4441</v>
      </c>
      <c r="K4199" s="3" t="s">
        <v>222</v>
      </c>
    </row>
    <row r="4200" ht="15.6" spans="4:11">
      <c r="D4200" s="3">
        <v>3760</v>
      </c>
      <c r="E4200" s="3" t="s">
        <v>222</v>
      </c>
      <c r="J4200" s="3" t="s">
        <v>4442</v>
      </c>
      <c r="K4200" s="3" t="s">
        <v>222</v>
      </c>
    </row>
    <row r="4201" ht="15.6" spans="4:11">
      <c r="D4201" s="3">
        <v>3761</v>
      </c>
      <c r="E4201" s="3" t="s">
        <v>222</v>
      </c>
      <c r="J4201" s="3" t="s">
        <v>4443</v>
      </c>
      <c r="K4201" s="3" t="s">
        <v>222</v>
      </c>
    </row>
    <row r="4202" ht="15.6" spans="4:11">
      <c r="D4202" s="3">
        <v>3762</v>
      </c>
      <c r="E4202" s="3" t="s">
        <v>222</v>
      </c>
      <c r="J4202" s="3" t="s">
        <v>4444</v>
      </c>
      <c r="K4202" s="3" t="s">
        <v>222</v>
      </c>
    </row>
    <row r="4203" ht="15.6" spans="4:11">
      <c r="D4203" s="3">
        <v>3763</v>
      </c>
      <c r="E4203" s="3" t="s">
        <v>222</v>
      </c>
      <c r="J4203" s="3" t="s">
        <v>4445</v>
      </c>
      <c r="K4203" s="3" t="s">
        <v>222</v>
      </c>
    </row>
    <row r="4204" ht="15.6" spans="4:11">
      <c r="D4204" s="3">
        <v>3764</v>
      </c>
      <c r="E4204" s="3" t="s">
        <v>222</v>
      </c>
      <c r="J4204" s="3" t="s">
        <v>4446</v>
      </c>
      <c r="K4204" s="3" t="s">
        <v>222</v>
      </c>
    </row>
    <row r="4205" ht="15.6" spans="4:11">
      <c r="D4205" s="3">
        <v>3765</v>
      </c>
      <c r="E4205" s="3" t="s">
        <v>222</v>
      </c>
      <c r="J4205" s="3" t="s">
        <v>4447</v>
      </c>
      <c r="K4205" s="3" t="s">
        <v>222</v>
      </c>
    </row>
    <row r="4206" ht="15.6" spans="4:11">
      <c r="D4206" s="3">
        <v>3766</v>
      </c>
      <c r="E4206" s="3" t="s">
        <v>222</v>
      </c>
      <c r="J4206" s="3" t="s">
        <v>4448</v>
      </c>
      <c r="K4206" s="3" t="s">
        <v>222</v>
      </c>
    </row>
    <row r="4207" ht="15.6" spans="4:11">
      <c r="D4207" s="3">
        <v>3767</v>
      </c>
      <c r="E4207" s="3" t="s">
        <v>222</v>
      </c>
      <c r="J4207" s="3" t="s">
        <v>4449</v>
      </c>
      <c r="K4207" s="3" t="s">
        <v>222</v>
      </c>
    </row>
    <row r="4208" ht="15.6" spans="4:11">
      <c r="D4208" s="3">
        <v>3768</v>
      </c>
      <c r="E4208" s="3" t="s">
        <v>222</v>
      </c>
      <c r="J4208" s="3" t="s">
        <v>4450</v>
      </c>
      <c r="K4208" s="3" t="s">
        <v>222</v>
      </c>
    </row>
    <row r="4209" ht="15.6" spans="4:11">
      <c r="D4209" s="3">
        <v>3769</v>
      </c>
      <c r="E4209" s="3" t="s">
        <v>222</v>
      </c>
      <c r="J4209" s="3" t="s">
        <v>4451</v>
      </c>
      <c r="K4209" s="3" t="s">
        <v>222</v>
      </c>
    </row>
    <row r="4210" ht="15.6" spans="4:11">
      <c r="D4210" s="3">
        <v>3770</v>
      </c>
      <c r="E4210" s="3" t="s">
        <v>222</v>
      </c>
      <c r="J4210" s="3" t="s">
        <v>4452</v>
      </c>
      <c r="K4210" s="3" t="s">
        <v>222</v>
      </c>
    </row>
    <row r="4211" ht="15.6" spans="4:11">
      <c r="D4211" s="3">
        <v>3771</v>
      </c>
      <c r="E4211" s="3" t="s">
        <v>222</v>
      </c>
      <c r="J4211" s="3" t="s">
        <v>4453</v>
      </c>
      <c r="K4211" s="3" t="s">
        <v>222</v>
      </c>
    </row>
    <row r="4212" ht="15.6" spans="4:11">
      <c r="D4212" s="3">
        <v>3772</v>
      </c>
      <c r="E4212" s="3" t="s">
        <v>222</v>
      </c>
      <c r="J4212" s="3" t="s">
        <v>4454</v>
      </c>
      <c r="K4212" s="3" t="s">
        <v>222</v>
      </c>
    </row>
    <row r="4213" ht="15.6" spans="4:11">
      <c r="D4213" s="3">
        <v>3773</v>
      </c>
      <c r="E4213" s="3" t="s">
        <v>222</v>
      </c>
      <c r="J4213" s="3" t="s">
        <v>4455</v>
      </c>
      <c r="K4213" s="3" t="s">
        <v>222</v>
      </c>
    </row>
    <row r="4214" ht="15.6" spans="4:11">
      <c r="D4214" s="3">
        <v>3774</v>
      </c>
      <c r="E4214" s="3" t="s">
        <v>222</v>
      </c>
      <c r="J4214" s="3" t="s">
        <v>4456</v>
      </c>
      <c r="K4214" s="3" t="s">
        <v>222</v>
      </c>
    </row>
    <row r="4215" ht="15.6" spans="4:11">
      <c r="D4215" s="3">
        <v>3775</v>
      </c>
      <c r="E4215" s="3" t="s">
        <v>222</v>
      </c>
      <c r="J4215" s="3" t="s">
        <v>4457</v>
      </c>
      <c r="K4215" s="3" t="s">
        <v>222</v>
      </c>
    </row>
    <row r="4216" ht="15.6" spans="4:11">
      <c r="D4216" s="3">
        <v>3776</v>
      </c>
      <c r="E4216" s="3" t="s">
        <v>222</v>
      </c>
      <c r="J4216" s="3" t="s">
        <v>4458</v>
      </c>
      <c r="K4216" s="3" t="s">
        <v>222</v>
      </c>
    </row>
    <row r="4217" ht="15.6" spans="4:11">
      <c r="D4217" s="3">
        <v>3777</v>
      </c>
      <c r="E4217" s="3" t="s">
        <v>222</v>
      </c>
      <c r="J4217" s="3" t="s">
        <v>4459</v>
      </c>
      <c r="K4217" s="3" t="s">
        <v>222</v>
      </c>
    </row>
    <row r="4218" ht="15.6" spans="4:11">
      <c r="D4218" s="3">
        <v>3778</v>
      </c>
      <c r="E4218" s="3" t="s">
        <v>222</v>
      </c>
      <c r="J4218" s="3" t="s">
        <v>4460</v>
      </c>
      <c r="K4218" s="3" t="s">
        <v>222</v>
      </c>
    </row>
    <row r="4219" ht="15.6" spans="4:11">
      <c r="D4219" s="3">
        <v>3779</v>
      </c>
      <c r="E4219" s="3" t="s">
        <v>222</v>
      </c>
      <c r="J4219" s="3" t="s">
        <v>4461</v>
      </c>
      <c r="K4219" s="3" t="s">
        <v>222</v>
      </c>
    </row>
    <row r="4220" ht="15.6" spans="4:11">
      <c r="D4220" s="3">
        <v>3780</v>
      </c>
      <c r="E4220" s="3" t="s">
        <v>222</v>
      </c>
      <c r="J4220" s="3" t="s">
        <v>4462</v>
      </c>
      <c r="K4220" s="3" t="s">
        <v>222</v>
      </c>
    </row>
    <row r="4221" ht="15.6" spans="4:11">
      <c r="D4221" s="3">
        <v>3781</v>
      </c>
      <c r="E4221" s="3" t="s">
        <v>222</v>
      </c>
      <c r="J4221" s="3" t="s">
        <v>4463</v>
      </c>
      <c r="K4221" s="3" t="s">
        <v>222</v>
      </c>
    </row>
    <row r="4222" ht="15.6" spans="4:11">
      <c r="D4222" s="3">
        <v>3782</v>
      </c>
      <c r="E4222" s="3" t="s">
        <v>222</v>
      </c>
      <c r="J4222" s="3" t="s">
        <v>4464</v>
      </c>
      <c r="K4222" s="3" t="s">
        <v>222</v>
      </c>
    </row>
    <row r="4223" ht="15.6" spans="4:11">
      <c r="D4223" s="3">
        <v>3783</v>
      </c>
      <c r="E4223" s="3" t="s">
        <v>222</v>
      </c>
      <c r="J4223" s="3" t="s">
        <v>4465</v>
      </c>
      <c r="K4223" s="3" t="s">
        <v>222</v>
      </c>
    </row>
    <row r="4224" ht="15.6" spans="4:11">
      <c r="D4224" s="3">
        <v>3784</v>
      </c>
      <c r="E4224" s="3" t="s">
        <v>222</v>
      </c>
      <c r="J4224" s="3" t="s">
        <v>4466</v>
      </c>
      <c r="K4224" s="3" t="s">
        <v>222</v>
      </c>
    </row>
    <row r="4225" ht="15.6" spans="4:11">
      <c r="D4225" s="3">
        <v>3785</v>
      </c>
      <c r="E4225" s="3" t="s">
        <v>222</v>
      </c>
      <c r="J4225" s="3" t="s">
        <v>4467</v>
      </c>
      <c r="K4225" s="3" t="s">
        <v>222</v>
      </c>
    </row>
    <row r="4226" ht="15.6" spans="4:11">
      <c r="D4226" s="3">
        <v>3786</v>
      </c>
      <c r="E4226" s="3" t="s">
        <v>222</v>
      </c>
      <c r="J4226" s="3" t="s">
        <v>4468</v>
      </c>
      <c r="K4226" s="3" t="s">
        <v>222</v>
      </c>
    </row>
    <row r="4227" ht="15.6" spans="4:11">
      <c r="D4227" s="3">
        <v>3787</v>
      </c>
      <c r="E4227" s="3" t="s">
        <v>222</v>
      </c>
      <c r="J4227" s="3" t="s">
        <v>4469</v>
      </c>
      <c r="K4227" s="3" t="s">
        <v>222</v>
      </c>
    </row>
    <row r="4228" ht="15.6" spans="4:11">
      <c r="D4228" s="3">
        <v>3788</v>
      </c>
      <c r="E4228" s="3" t="s">
        <v>222</v>
      </c>
      <c r="J4228" s="3" t="s">
        <v>4470</v>
      </c>
      <c r="K4228" s="3" t="s">
        <v>222</v>
      </c>
    </row>
    <row r="4229" ht="15.6" spans="4:11">
      <c r="D4229" s="3">
        <v>3789</v>
      </c>
      <c r="E4229" s="3" t="s">
        <v>222</v>
      </c>
      <c r="J4229" s="3" t="s">
        <v>4471</v>
      </c>
      <c r="K4229" s="3" t="s">
        <v>222</v>
      </c>
    </row>
    <row r="4230" ht="15.6" spans="4:11">
      <c r="D4230" s="3">
        <v>3790</v>
      </c>
      <c r="E4230" s="3" t="s">
        <v>222</v>
      </c>
      <c r="J4230" s="3" t="s">
        <v>4472</v>
      </c>
      <c r="K4230" s="3" t="s">
        <v>222</v>
      </c>
    </row>
    <row r="4231" ht="15.6" spans="4:11">
      <c r="D4231" s="3">
        <v>3791</v>
      </c>
      <c r="E4231" s="3" t="s">
        <v>222</v>
      </c>
      <c r="J4231" s="3" t="s">
        <v>4473</v>
      </c>
      <c r="K4231" s="3" t="s">
        <v>222</v>
      </c>
    </row>
    <row r="4232" ht="15.6" spans="4:11">
      <c r="D4232" s="3">
        <v>3792</v>
      </c>
      <c r="E4232" s="3" t="s">
        <v>222</v>
      </c>
      <c r="J4232" s="3" t="s">
        <v>4474</v>
      </c>
      <c r="K4232" s="3" t="s">
        <v>222</v>
      </c>
    </row>
    <row r="4233" ht="15.6" spans="4:11">
      <c r="D4233" s="3">
        <v>3793</v>
      </c>
      <c r="E4233" s="3" t="s">
        <v>222</v>
      </c>
      <c r="J4233" s="3" t="s">
        <v>4475</v>
      </c>
      <c r="K4233" s="3" t="s">
        <v>222</v>
      </c>
    </row>
    <row r="4234" ht="15.6" spans="4:11">
      <c r="D4234" s="3">
        <v>3794</v>
      </c>
      <c r="E4234" s="3" t="s">
        <v>222</v>
      </c>
      <c r="J4234" s="3" t="s">
        <v>4476</v>
      </c>
      <c r="K4234" s="3" t="s">
        <v>222</v>
      </c>
    </row>
    <row r="4235" ht="15.6" spans="4:11">
      <c r="D4235" s="3">
        <v>3795</v>
      </c>
      <c r="E4235" s="3" t="s">
        <v>222</v>
      </c>
      <c r="J4235" s="3" t="s">
        <v>4477</v>
      </c>
      <c r="K4235" s="3" t="s">
        <v>222</v>
      </c>
    </row>
    <row r="4236" ht="15.6" spans="4:11">
      <c r="D4236" s="3">
        <v>3796</v>
      </c>
      <c r="E4236" s="3" t="s">
        <v>222</v>
      </c>
      <c r="J4236" s="3" t="s">
        <v>4478</v>
      </c>
      <c r="K4236" s="3" t="s">
        <v>222</v>
      </c>
    </row>
    <row r="4237" ht="15.6" spans="4:11">
      <c r="D4237" s="3">
        <v>3797</v>
      </c>
      <c r="E4237" s="3" t="s">
        <v>222</v>
      </c>
      <c r="J4237" s="3" t="s">
        <v>4479</v>
      </c>
      <c r="K4237" s="3" t="s">
        <v>222</v>
      </c>
    </row>
    <row r="4238" ht="15.6" spans="4:11">
      <c r="D4238" s="3">
        <v>3798</v>
      </c>
      <c r="E4238" s="3" t="s">
        <v>222</v>
      </c>
      <c r="J4238" s="3" t="s">
        <v>4480</v>
      </c>
      <c r="K4238" s="3" t="s">
        <v>222</v>
      </c>
    </row>
    <row r="4239" ht="15.6" spans="4:11">
      <c r="D4239" s="3">
        <v>3799</v>
      </c>
      <c r="E4239" s="3" t="s">
        <v>222</v>
      </c>
      <c r="J4239" s="3" t="s">
        <v>4481</v>
      </c>
      <c r="K4239" s="3" t="s">
        <v>222</v>
      </c>
    </row>
    <row r="4240" ht="15.6" spans="4:11">
      <c r="D4240" s="3">
        <v>3807</v>
      </c>
      <c r="E4240" s="3" t="s">
        <v>222</v>
      </c>
      <c r="J4240" s="3" t="s">
        <v>4482</v>
      </c>
      <c r="K4240" s="3" t="s">
        <v>222</v>
      </c>
    </row>
    <row r="4241" ht="15.6" spans="4:11">
      <c r="D4241" s="3">
        <v>3808</v>
      </c>
      <c r="E4241" s="3" t="s">
        <v>222</v>
      </c>
      <c r="J4241" s="3" t="s">
        <v>4483</v>
      </c>
      <c r="K4241" s="3" t="s">
        <v>222</v>
      </c>
    </row>
    <row r="4242" ht="15.6" spans="4:11">
      <c r="D4242" s="3">
        <v>3811</v>
      </c>
      <c r="E4242" s="3" t="s">
        <v>222</v>
      </c>
      <c r="J4242" s="3" t="s">
        <v>4484</v>
      </c>
      <c r="K4242" s="3" t="s">
        <v>222</v>
      </c>
    </row>
    <row r="4243" ht="15.6" spans="4:11">
      <c r="D4243" s="3">
        <v>3911</v>
      </c>
      <c r="E4243" s="3" t="s">
        <v>222</v>
      </c>
      <c r="J4243" s="3" t="s">
        <v>4485</v>
      </c>
      <c r="K4243" s="3" t="s">
        <v>222</v>
      </c>
    </row>
    <row r="4244" ht="15.6" spans="4:11">
      <c r="D4244" s="3">
        <v>3912</v>
      </c>
      <c r="E4244" s="3" t="s">
        <v>222</v>
      </c>
      <c r="J4244" s="3" t="s">
        <v>4486</v>
      </c>
      <c r="K4244" s="3" t="s">
        <v>222</v>
      </c>
    </row>
    <row r="4245" ht="15.6" spans="4:11">
      <c r="D4245" s="3">
        <v>3913</v>
      </c>
      <c r="E4245" s="3" t="s">
        <v>222</v>
      </c>
      <c r="J4245" s="3" t="s">
        <v>4487</v>
      </c>
      <c r="K4245" s="3" t="s">
        <v>222</v>
      </c>
    </row>
    <row r="4246" ht="15.6" spans="4:11">
      <c r="D4246" s="3">
        <v>3914</v>
      </c>
      <c r="E4246" s="3" t="s">
        <v>222</v>
      </c>
      <c r="J4246" s="3" t="s">
        <v>4488</v>
      </c>
      <c r="K4246" s="3" t="s">
        <v>222</v>
      </c>
    </row>
    <row r="4247" ht="15.6" spans="4:11">
      <c r="D4247" s="3">
        <v>3915</v>
      </c>
      <c r="E4247" s="3" t="s">
        <v>222</v>
      </c>
      <c r="J4247" s="3" t="s">
        <v>4489</v>
      </c>
      <c r="K4247" s="3" t="s">
        <v>222</v>
      </c>
    </row>
    <row r="4248" ht="15.6" spans="4:11">
      <c r="D4248" s="3">
        <v>3916</v>
      </c>
      <c r="E4248" s="3" t="s">
        <v>222</v>
      </c>
      <c r="J4248" s="3" t="s">
        <v>4490</v>
      </c>
      <c r="K4248" s="3" t="s">
        <v>222</v>
      </c>
    </row>
    <row r="4249" ht="15.6" spans="4:11">
      <c r="D4249" s="3">
        <v>3917</v>
      </c>
      <c r="E4249" s="3" t="s">
        <v>222</v>
      </c>
      <c r="J4249" s="3" t="s">
        <v>4491</v>
      </c>
      <c r="K4249" s="3" t="s">
        <v>222</v>
      </c>
    </row>
    <row r="4250" ht="15.6" spans="4:11">
      <c r="D4250" s="3">
        <v>3918</v>
      </c>
      <c r="E4250" s="3" t="s">
        <v>222</v>
      </c>
      <c r="J4250" s="3" t="s">
        <v>4492</v>
      </c>
      <c r="K4250" s="3" t="s">
        <v>222</v>
      </c>
    </row>
    <row r="4251" ht="15.6" spans="4:11">
      <c r="D4251" s="3">
        <v>3919</v>
      </c>
      <c r="E4251" s="3" t="s">
        <v>222</v>
      </c>
      <c r="J4251" s="3" t="s">
        <v>4493</v>
      </c>
      <c r="K4251" s="3" t="s">
        <v>222</v>
      </c>
    </row>
    <row r="4252" ht="15.6" spans="4:11">
      <c r="D4252" s="3">
        <v>3920</v>
      </c>
      <c r="E4252" s="3" t="s">
        <v>222</v>
      </c>
      <c r="J4252" s="3" t="s">
        <v>4494</v>
      </c>
      <c r="K4252" s="3" t="s">
        <v>222</v>
      </c>
    </row>
    <row r="4253" ht="15.6" spans="4:11">
      <c r="D4253" s="3">
        <v>3926</v>
      </c>
      <c r="E4253" s="3" t="s">
        <v>222</v>
      </c>
      <c r="J4253" s="3" t="s">
        <v>4495</v>
      </c>
      <c r="K4253" s="3" t="s">
        <v>222</v>
      </c>
    </row>
    <row r="4254" ht="15.6" spans="4:11">
      <c r="D4254" s="3">
        <v>3927</v>
      </c>
      <c r="E4254" s="3" t="s">
        <v>222</v>
      </c>
      <c r="J4254" s="3" t="s">
        <v>4496</v>
      </c>
      <c r="K4254" s="3" t="s">
        <v>222</v>
      </c>
    </row>
    <row r="4255" ht="15.6" spans="4:11">
      <c r="D4255" s="3">
        <v>3928</v>
      </c>
      <c r="E4255" s="3" t="s">
        <v>222</v>
      </c>
      <c r="J4255" s="3" t="s">
        <v>4497</v>
      </c>
      <c r="K4255" s="3" t="s">
        <v>222</v>
      </c>
    </row>
    <row r="4256" ht="15.6" spans="4:11">
      <c r="D4256" s="3">
        <v>3929</v>
      </c>
      <c r="E4256" s="3" t="s">
        <v>222</v>
      </c>
      <c r="J4256" s="3" t="s">
        <v>4498</v>
      </c>
      <c r="K4256" s="3" t="s">
        <v>222</v>
      </c>
    </row>
    <row r="4257" ht="15.6" spans="4:11">
      <c r="D4257" s="3">
        <v>3930</v>
      </c>
      <c r="E4257" s="3" t="s">
        <v>222</v>
      </c>
      <c r="J4257" s="3" t="s">
        <v>4499</v>
      </c>
      <c r="K4257" s="3" t="s">
        <v>222</v>
      </c>
    </row>
    <row r="4258" ht="15.6" spans="4:11">
      <c r="D4258" s="3">
        <v>3931</v>
      </c>
      <c r="E4258" s="3" t="s">
        <v>222</v>
      </c>
      <c r="J4258" s="3" t="s">
        <v>4500</v>
      </c>
      <c r="K4258" s="3" t="s">
        <v>222</v>
      </c>
    </row>
    <row r="4259" ht="15.6" spans="4:11">
      <c r="D4259" s="3">
        <v>3932</v>
      </c>
      <c r="E4259" s="3" t="s">
        <v>222</v>
      </c>
      <c r="J4259" s="3" t="s">
        <v>4501</v>
      </c>
      <c r="K4259" s="3" t="s">
        <v>222</v>
      </c>
    </row>
    <row r="4260" ht="15.6" spans="4:11">
      <c r="D4260" s="3">
        <v>3933</v>
      </c>
      <c r="E4260" s="3" t="s">
        <v>222</v>
      </c>
      <c r="J4260" s="3" t="s">
        <v>4502</v>
      </c>
      <c r="K4260" s="3" t="s">
        <v>222</v>
      </c>
    </row>
    <row r="4261" ht="15.6" spans="4:11">
      <c r="D4261" s="3">
        <v>3934</v>
      </c>
      <c r="E4261" s="3" t="s">
        <v>222</v>
      </c>
      <c r="J4261" s="3" t="s">
        <v>4503</v>
      </c>
      <c r="K4261" s="3" t="s">
        <v>222</v>
      </c>
    </row>
    <row r="4262" ht="15.6" spans="4:11">
      <c r="D4262" s="3">
        <v>3935</v>
      </c>
      <c r="E4262" s="3" t="s">
        <v>222</v>
      </c>
      <c r="J4262" s="3" t="s">
        <v>4504</v>
      </c>
      <c r="K4262" s="3" t="s">
        <v>222</v>
      </c>
    </row>
    <row r="4263" ht="15.6" spans="4:11">
      <c r="D4263" s="3">
        <v>3936</v>
      </c>
      <c r="E4263" s="3" t="s">
        <v>222</v>
      </c>
      <c r="J4263" s="3" t="s">
        <v>4505</v>
      </c>
      <c r="K4263" s="3" t="s">
        <v>222</v>
      </c>
    </row>
    <row r="4264" ht="15.6" spans="4:11">
      <c r="D4264" s="3">
        <v>3937</v>
      </c>
      <c r="E4264" s="3" t="s">
        <v>222</v>
      </c>
      <c r="J4264" s="3" t="s">
        <v>4506</v>
      </c>
      <c r="K4264" s="3" t="s">
        <v>222</v>
      </c>
    </row>
    <row r="4265" ht="15.6" spans="4:11">
      <c r="D4265" s="3">
        <v>3938</v>
      </c>
      <c r="E4265" s="3" t="s">
        <v>222</v>
      </c>
      <c r="J4265" s="3" t="s">
        <v>4507</v>
      </c>
      <c r="K4265" s="3" t="s">
        <v>222</v>
      </c>
    </row>
    <row r="4266" ht="15.6" spans="4:11">
      <c r="D4266" s="3">
        <v>3939</v>
      </c>
      <c r="E4266" s="3" t="s">
        <v>222</v>
      </c>
      <c r="J4266" s="3" t="s">
        <v>4508</v>
      </c>
      <c r="K4266" s="3" t="s">
        <v>222</v>
      </c>
    </row>
    <row r="4267" ht="15.6" spans="4:11">
      <c r="D4267" s="3">
        <v>3940</v>
      </c>
      <c r="E4267" s="3" t="s">
        <v>222</v>
      </c>
      <c r="J4267" s="3" t="s">
        <v>4509</v>
      </c>
      <c r="K4267" s="3" t="s">
        <v>222</v>
      </c>
    </row>
    <row r="4268" ht="15.6" spans="4:11">
      <c r="D4268" s="3">
        <v>3941</v>
      </c>
      <c r="E4268" s="3" t="s">
        <v>222</v>
      </c>
      <c r="J4268" s="3" t="s">
        <v>4510</v>
      </c>
      <c r="K4268" s="3" t="s">
        <v>222</v>
      </c>
    </row>
    <row r="4269" ht="15.6" spans="4:11">
      <c r="D4269" s="3">
        <v>3942</v>
      </c>
      <c r="E4269" s="3" t="s">
        <v>222</v>
      </c>
      <c r="J4269" s="3" t="s">
        <v>4511</v>
      </c>
      <c r="K4269" s="3" t="s">
        <v>222</v>
      </c>
    </row>
    <row r="4270" ht="15.6" spans="4:11">
      <c r="D4270" s="3">
        <v>3943</v>
      </c>
      <c r="E4270" s="3" t="s">
        <v>222</v>
      </c>
      <c r="J4270" s="3" t="s">
        <v>4512</v>
      </c>
      <c r="K4270" s="3" t="s">
        <v>222</v>
      </c>
    </row>
    <row r="4271" ht="15.6" spans="4:11">
      <c r="D4271" s="3">
        <v>3944</v>
      </c>
      <c r="E4271" s="3" t="s">
        <v>222</v>
      </c>
      <c r="J4271" s="3" t="s">
        <v>4513</v>
      </c>
      <c r="K4271" s="3" t="s">
        <v>222</v>
      </c>
    </row>
    <row r="4272" ht="15.6" spans="4:11">
      <c r="D4272" s="3">
        <v>3980</v>
      </c>
      <c r="E4272" s="3" t="s">
        <v>222</v>
      </c>
      <c r="J4272" s="3" t="s">
        <v>4514</v>
      </c>
      <c r="K4272" s="3" t="s">
        <v>222</v>
      </c>
    </row>
    <row r="4273" ht="15.6" spans="4:11">
      <c r="D4273" s="3">
        <v>3981</v>
      </c>
      <c r="E4273" s="3" t="s">
        <v>222</v>
      </c>
      <c r="J4273" s="3" t="s">
        <v>4515</v>
      </c>
      <c r="K4273" s="3" t="s">
        <v>222</v>
      </c>
    </row>
    <row r="4274" ht="15.6" spans="4:11">
      <c r="D4274" s="3">
        <v>3982</v>
      </c>
      <c r="E4274" s="3" t="s">
        <v>222</v>
      </c>
      <c r="J4274" s="3" t="s">
        <v>4516</v>
      </c>
      <c r="K4274" s="3" t="s">
        <v>222</v>
      </c>
    </row>
    <row r="4275" ht="15.6" spans="4:11">
      <c r="D4275" s="3">
        <v>3983</v>
      </c>
      <c r="E4275" s="3" t="s">
        <v>222</v>
      </c>
      <c r="J4275" s="3" t="s">
        <v>4517</v>
      </c>
      <c r="K4275" s="3" t="s">
        <v>222</v>
      </c>
    </row>
    <row r="4276" ht="15.6" spans="4:11">
      <c r="D4276" s="3">
        <v>4019</v>
      </c>
      <c r="E4276" s="3" t="s">
        <v>222</v>
      </c>
      <c r="J4276" s="3" t="s">
        <v>4518</v>
      </c>
      <c r="K4276" s="3" t="s">
        <v>222</v>
      </c>
    </row>
    <row r="4277" ht="15.6" spans="4:11">
      <c r="D4277" s="3">
        <v>4020</v>
      </c>
      <c r="E4277" s="3" t="s">
        <v>222</v>
      </c>
      <c r="J4277" s="3" t="s">
        <v>4519</v>
      </c>
      <c r="K4277" s="3" t="s">
        <v>222</v>
      </c>
    </row>
    <row r="4278" ht="15.6" spans="4:11">
      <c r="D4278" s="3">
        <v>4021</v>
      </c>
      <c r="E4278" s="3" t="s">
        <v>222</v>
      </c>
      <c r="J4278" s="3" t="s">
        <v>4520</v>
      </c>
      <c r="K4278" s="3" t="s">
        <v>222</v>
      </c>
    </row>
    <row r="4279" ht="15.6" spans="4:11">
      <c r="D4279" s="3">
        <v>4022</v>
      </c>
      <c r="E4279" s="3" t="s">
        <v>222</v>
      </c>
      <c r="J4279" s="3" t="s">
        <v>4521</v>
      </c>
      <c r="K4279" s="3" t="s">
        <v>222</v>
      </c>
    </row>
    <row r="4280" ht="15.6" spans="4:11">
      <c r="D4280" s="3">
        <v>4023</v>
      </c>
      <c r="E4280" s="3" t="s">
        <v>222</v>
      </c>
      <c r="J4280" s="3" t="s">
        <v>4522</v>
      </c>
      <c r="K4280" s="3" t="s">
        <v>222</v>
      </c>
    </row>
    <row r="4281" ht="15.6" spans="4:11">
      <c r="D4281" s="3">
        <v>4024</v>
      </c>
      <c r="E4281" s="3" t="s">
        <v>222</v>
      </c>
      <c r="J4281" s="3" t="s">
        <v>4523</v>
      </c>
      <c r="K4281" s="3" t="s">
        <v>222</v>
      </c>
    </row>
    <row r="4282" ht="15.6" spans="4:11">
      <c r="D4282" s="3">
        <v>4025</v>
      </c>
      <c r="E4282" s="3" t="s">
        <v>222</v>
      </c>
      <c r="J4282" s="3" t="s">
        <v>4524</v>
      </c>
      <c r="K4282" s="3" t="s">
        <v>222</v>
      </c>
    </row>
    <row r="4283" ht="15.6" spans="4:11">
      <c r="D4283" s="3">
        <v>4026</v>
      </c>
      <c r="E4283" s="3" t="s">
        <v>222</v>
      </c>
      <c r="J4283" s="3" t="s">
        <v>4525</v>
      </c>
      <c r="K4283" s="3" t="s">
        <v>222</v>
      </c>
    </row>
    <row r="4284" ht="15.6" spans="4:11">
      <c r="D4284" s="3">
        <v>4027</v>
      </c>
      <c r="E4284" s="3" t="s">
        <v>222</v>
      </c>
      <c r="J4284" s="3" t="s">
        <v>4526</v>
      </c>
      <c r="K4284" s="3" t="s">
        <v>222</v>
      </c>
    </row>
    <row r="4285" ht="15.6" spans="4:11">
      <c r="D4285" s="3">
        <v>4028</v>
      </c>
      <c r="E4285" s="3" t="s">
        <v>222</v>
      </c>
      <c r="J4285" s="3" t="s">
        <v>4527</v>
      </c>
      <c r="K4285" s="3" t="s">
        <v>222</v>
      </c>
    </row>
    <row r="4286" ht="15.6" spans="4:11">
      <c r="D4286" s="3">
        <v>4069</v>
      </c>
      <c r="E4286" s="3" t="s">
        <v>222</v>
      </c>
      <c r="J4286" s="3" t="s">
        <v>4528</v>
      </c>
      <c r="K4286" s="3" t="s">
        <v>222</v>
      </c>
    </row>
    <row r="4287" ht="15.6" spans="4:11">
      <c r="D4287" s="3">
        <v>4070</v>
      </c>
      <c r="E4287" s="3" t="s">
        <v>222</v>
      </c>
      <c r="J4287" s="3" t="s">
        <v>4529</v>
      </c>
      <c r="K4287" s="3" t="s">
        <v>222</v>
      </c>
    </row>
    <row r="4288" ht="15.6" spans="4:11">
      <c r="D4288" s="3">
        <v>4071</v>
      </c>
      <c r="E4288" s="3" t="s">
        <v>222</v>
      </c>
      <c r="J4288" s="3" t="s">
        <v>4530</v>
      </c>
      <c r="K4288" s="3" t="s">
        <v>222</v>
      </c>
    </row>
    <row r="4289" ht="15.6" spans="4:11">
      <c r="D4289" s="3">
        <v>4124</v>
      </c>
      <c r="E4289" s="3" t="s">
        <v>222</v>
      </c>
      <c r="J4289" s="3" t="s">
        <v>4531</v>
      </c>
      <c r="K4289" s="3" t="s">
        <v>222</v>
      </c>
    </row>
    <row r="4290" ht="15.6" spans="4:11">
      <c r="D4290" s="3">
        <v>4125</v>
      </c>
      <c r="E4290" s="3" t="s">
        <v>222</v>
      </c>
      <c r="J4290" s="3" t="s">
        <v>4532</v>
      </c>
      <c r="K4290" s="3" t="s">
        <v>222</v>
      </c>
    </row>
    <row r="4291" ht="15.6" spans="4:11">
      <c r="D4291" s="3">
        <v>4126</v>
      </c>
      <c r="E4291" s="3" t="s">
        <v>222</v>
      </c>
      <c r="J4291" s="3" t="s">
        <v>4533</v>
      </c>
      <c r="K4291" s="3" t="s">
        <v>222</v>
      </c>
    </row>
    <row r="4292" ht="15.6" spans="4:11">
      <c r="D4292" s="3">
        <v>4130</v>
      </c>
      <c r="E4292" s="3" t="s">
        <v>222</v>
      </c>
      <c r="J4292" s="3" t="s">
        <v>4534</v>
      </c>
      <c r="K4292" s="3" t="s">
        <v>222</v>
      </c>
    </row>
    <row r="4293" ht="15.6" spans="4:11">
      <c r="D4293" s="3">
        <v>4133</v>
      </c>
      <c r="E4293" s="3" t="s">
        <v>222</v>
      </c>
      <c r="J4293" s="3" t="s">
        <v>4535</v>
      </c>
      <c r="K4293" s="3" t="s">
        <v>222</v>
      </c>
    </row>
    <row r="4294" ht="15.6" spans="4:11">
      <c r="D4294" s="3">
        <v>4134</v>
      </c>
      <c r="E4294" s="3" t="s">
        <v>222</v>
      </c>
      <c r="J4294" s="3" t="s">
        <v>4536</v>
      </c>
      <c r="K4294" s="3" t="s">
        <v>222</v>
      </c>
    </row>
    <row r="4295" ht="15.6" spans="4:11">
      <c r="D4295" s="3">
        <v>4135</v>
      </c>
      <c r="E4295" s="3" t="s">
        <v>222</v>
      </c>
      <c r="J4295" s="3" t="s">
        <v>4537</v>
      </c>
      <c r="K4295" s="3" t="s">
        <v>222</v>
      </c>
    </row>
    <row r="4296" ht="15.6" spans="4:11">
      <c r="D4296" s="3">
        <v>4136</v>
      </c>
      <c r="E4296" s="3" t="s">
        <v>222</v>
      </c>
      <c r="J4296" s="3" t="s">
        <v>4538</v>
      </c>
      <c r="K4296" s="3" t="s">
        <v>222</v>
      </c>
    </row>
    <row r="4297" ht="15.6" spans="4:11">
      <c r="D4297" s="3">
        <v>4137</v>
      </c>
      <c r="E4297" s="3" t="s">
        <v>222</v>
      </c>
      <c r="J4297" s="3" t="s">
        <v>4539</v>
      </c>
      <c r="K4297" s="3" t="s">
        <v>222</v>
      </c>
    </row>
    <row r="4298" ht="15.6" spans="4:11">
      <c r="D4298" s="3">
        <v>4138</v>
      </c>
      <c r="E4298" s="3" t="s">
        <v>222</v>
      </c>
      <c r="J4298" s="3" t="s">
        <v>4540</v>
      </c>
      <c r="K4298" s="3" t="s">
        <v>222</v>
      </c>
    </row>
    <row r="4299" ht="15.6" spans="4:11">
      <c r="D4299" s="3">
        <v>4139</v>
      </c>
      <c r="E4299" s="3" t="s">
        <v>222</v>
      </c>
      <c r="J4299" s="3" t="s">
        <v>4541</v>
      </c>
      <c r="K4299" s="3" t="s">
        <v>222</v>
      </c>
    </row>
    <row r="4300" ht="15.6" spans="4:11">
      <c r="D4300" s="3">
        <v>4140</v>
      </c>
      <c r="E4300" s="3" t="s">
        <v>222</v>
      </c>
      <c r="J4300" s="3" t="s">
        <v>4542</v>
      </c>
      <c r="K4300" s="3" t="s">
        <v>222</v>
      </c>
    </row>
    <row r="4301" ht="15.6" spans="4:11">
      <c r="D4301" s="3">
        <v>4141</v>
      </c>
      <c r="E4301" s="3" t="s">
        <v>222</v>
      </c>
      <c r="J4301" s="3" t="s">
        <v>4543</v>
      </c>
      <c r="K4301" s="3" t="s">
        <v>222</v>
      </c>
    </row>
    <row r="4302" ht="15.6" spans="4:11">
      <c r="D4302" s="3">
        <v>4142</v>
      </c>
      <c r="E4302" s="3" t="s">
        <v>222</v>
      </c>
      <c r="J4302" s="3" t="s">
        <v>4544</v>
      </c>
      <c r="K4302" s="3" t="s">
        <v>222</v>
      </c>
    </row>
    <row r="4303" ht="15.6" spans="4:11">
      <c r="D4303" s="3">
        <v>4143</v>
      </c>
      <c r="E4303" s="3" t="s">
        <v>222</v>
      </c>
      <c r="J4303" s="3" t="s">
        <v>4545</v>
      </c>
      <c r="K4303" s="3" t="s">
        <v>222</v>
      </c>
    </row>
    <row r="4304" ht="15.6" spans="4:11">
      <c r="D4304" s="3">
        <v>4144</v>
      </c>
      <c r="E4304" s="3" t="s">
        <v>222</v>
      </c>
      <c r="J4304" s="3" t="s">
        <v>4546</v>
      </c>
      <c r="K4304" s="3" t="s">
        <v>222</v>
      </c>
    </row>
    <row r="4305" ht="15.6" spans="4:11">
      <c r="D4305" s="3">
        <v>4145</v>
      </c>
      <c r="E4305" s="3" t="s">
        <v>222</v>
      </c>
      <c r="J4305" s="3" t="s">
        <v>4547</v>
      </c>
      <c r="K4305" s="3" t="s">
        <v>222</v>
      </c>
    </row>
    <row r="4306" ht="15.6" spans="4:11">
      <c r="D4306" s="3">
        <v>4146</v>
      </c>
      <c r="E4306" s="3" t="s">
        <v>222</v>
      </c>
      <c r="J4306" s="3" t="s">
        <v>4548</v>
      </c>
      <c r="K4306" s="3" t="s">
        <v>222</v>
      </c>
    </row>
    <row r="4307" ht="15.6" spans="4:11">
      <c r="D4307" s="3">
        <v>4147</v>
      </c>
      <c r="E4307" s="3" t="s">
        <v>222</v>
      </c>
      <c r="J4307" s="3" t="s">
        <v>4549</v>
      </c>
      <c r="K4307" s="3" t="s">
        <v>222</v>
      </c>
    </row>
    <row r="4308" ht="15.6" spans="4:11">
      <c r="D4308" s="3">
        <v>4148</v>
      </c>
      <c r="E4308" s="3" t="s">
        <v>222</v>
      </c>
      <c r="J4308" s="3" t="s">
        <v>4550</v>
      </c>
      <c r="K4308" s="3" t="s">
        <v>222</v>
      </c>
    </row>
    <row r="4309" ht="15.6" spans="4:11">
      <c r="D4309" s="3">
        <v>4149</v>
      </c>
      <c r="E4309" s="3" t="s">
        <v>222</v>
      </c>
      <c r="J4309" s="3" t="s">
        <v>4551</v>
      </c>
      <c r="K4309" s="3" t="s">
        <v>222</v>
      </c>
    </row>
    <row r="4310" ht="15.6" spans="4:11">
      <c r="D4310" s="3">
        <v>4150</v>
      </c>
      <c r="E4310" s="3" t="s">
        <v>222</v>
      </c>
      <c r="J4310" s="3" t="s">
        <v>4552</v>
      </c>
      <c r="K4310" s="3" t="s">
        <v>222</v>
      </c>
    </row>
    <row r="4311" ht="15.6" spans="4:11">
      <c r="D4311" s="3">
        <v>4165</v>
      </c>
      <c r="E4311" s="3" t="s">
        <v>222</v>
      </c>
      <c r="J4311" s="3" t="s">
        <v>4553</v>
      </c>
      <c r="K4311" s="3" t="s">
        <v>222</v>
      </c>
    </row>
    <row r="4312" ht="15.6" spans="4:11">
      <c r="D4312" s="3">
        <v>4166</v>
      </c>
      <c r="E4312" s="3" t="s">
        <v>222</v>
      </c>
      <c r="J4312" s="3" t="s">
        <v>4554</v>
      </c>
      <c r="K4312" s="3" t="s">
        <v>222</v>
      </c>
    </row>
    <row r="4313" ht="15.6" spans="4:11">
      <c r="D4313" s="3">
        <v>4167</v>
      </c>
      <c r="E4313" s="3" t="s">
        <v>222</v>
      </c>
      <c r="J4313" s="3" t="s">
        <v>4555</v>
      </c>
      <c r="K4313" s="3" t="s">
        <v>222</v>
      </c>
    </row>
    <row r="4314" ht="15.6" spans="4:11">
      <c r="D4314" s="3">
        <v>4168</v>
      </c>
      <c r="E4314" s="3" t="s">
        <v>222</v>
      </c>
      <c r="J4314" s="3" t="s">
        <v>4556</v>
      </c>
      <c r="K4314" s="3" t="s">
        <v>222</v>
      </c>
    </row>
    <row r="4315" ht="15.6" spans="4:11">
      <c r="D4315" s="3">
        <v>4183</v>
      </c>
      <c r="E4315" s="3" t="s">
        <v>222</v>
      </c>
      <c r="J4315" s="3" t="s">
        <v>4557</v>
      </c>
      <c r="K4315" s="3" t="s">
        <v>222</v>
      </c>
    </row>
    <row r="4316" ht="15.6" spans="4:11">
      <c r="D4316" s="3">
        <v>4184</v>
      </c>
      <c r="E4316" s="3" t="s">
        <v>222</v>
      </c>
      <c r="J4316" s="3" t="s">
        <v>4558</v>
      </c>
      <c r="K4316" s="3" t="s">
        <v>222</v>
      </c>
    </row>
    <row r="4317" ht="15.6" spans="4:11">
      <c r="D4317" s="3">
        <v>4185</v>
      </c>
      <c r="E4317" s="3" t="s">
        <v>222</v>
      </c>
      <c r="J4317" s="3" t="s">
        <v>4559</v>
      </c>
      <c r="K4317" s="3" t="s">
        <v>222</v>
      </c>
    </row>
    <row r="4318" ht="15.6" spans="4:11">
      <c r="D4318" s="3">
        <v>4186</v>
      </c>
      <c r="E4318" s="3" t="s">
        <v>222</v>
      </c>
      <c r="J4318" s="3" t="s">
        <v>4560</v>
      </c>
      <c r="K4318" s="3" t="s">
        <v>222</v>
      </c>
    </row>
    <row r="4319" ht="15.6" spans="4:11">
      <c r="D4319" s="3">
        <v>4187</v>
      </c>
      <c r="E4319" s="3" t="s">
        <v>222</v>
      </c>
      <c r="J4319" s="3" t="s">
        <v>4561</v>
      </c>
      <c r="K4319" s="3" t="s">
        <v>222</v>
      </c>
    </row>
    <row r="4320" ht="15.6" spans="4:11">
      <c r="D4320" s="3">
        <v>4188</v>
      </c>
      <c r="E4320" s="3" t="s">
        <v>222</v>
      </c>
      <c r="J4320" s="3" t="s">
        <v>4562</v>
      </c>
      <c r="K4320" s="3" t="s">
        <v>222</v>
      </c>
    </row>
    <row r="4321" ht="15.6" spans="4:11">
      <c r="D4321" s="3">
        <v>4189</v>
      </c>
      <c r="E4321" s="3" t="s">
        <v>222</v>
      </c>
      <c r="J4321" s="3" t="s">
        <v>4563</v>
      </c>
      <c r="K4321" s="3" t="s">
        <v>222</v>
      </c>
    </row>
    <row r="4322" ht="15.6" spans="4:11">
      <c r="D4322" s="3">
        <v>4190</v>
      </c>
      <c r="E4322" s="3" t="s">
        <v>222</v>
      </c>
      <c r="J4322" s="3" t="s">
        <v>4564</v>
      </c>
      <c r="K4322" s="3" t="s">
        <v>222</v>
      </c>
    </row>
    <row r="4323" ht="15.6" spans="4:11">
      <c r="D4323" s="3">
        <v>4191</v>
      </c>
      <c r="E4323" s="3" t="s">
        <v>222</v>
      </c>
      <c r="J4323" s="3" t="s">
        <v>4565</v>
      </c>
      <c r="K4323" s="3" t="s">
        <v>222</v>
      </c>
    </row>
    <row r="4324" ht="15.6" spans="4:11">
      <c r="D4324" s="3">
        <v>4192</v>
      </c>
      <c r="E4324" s="3" t="s">
        <v>222</v>
      </c>
      <c r="J4324" s="3" t="s">
        <v>4566</v>
      </c>
      <c r="K4324" s="3" t="s">
        <v>222</v>
      </c>
    </row>
    <row r="4325" ht="15.6" spans="4:11">
      <c r="D4325" s="3">
        <v>4193</v>
      </c>
      <c r="E4325" s="3" t="s">
        <v>222</v>
      </c>
      <c r="J4325" s="3" t="s">
        <v>4567</v>
      </c>
      <c r="K4325" s="3" t="s">
        <v>222</v>
      </c>
    </row>
    <row r="4326" ht="15.6" spans="4:11">
      <c r="D4326" s="3">
        <v>4194</v>
      </c>
      <c r="E4326" s="3" t="s">
        <v>222</v>
      </c>
      <c r="J4326" s="3" t="s">
        <v>4568</v>
      </c>
      <c r="K4326" s="3" t="s">
        <v>222</v>
      </c>
    </row>
    <row r="4327" ht="15.6" spans="4:11">
      <c r="D4327" s="3">
        <v>4195</v>
      </c>
      <c r="E4327" s="3" t="s">
        <v>222</v>
      </c>
      <c r="J4327" s="3" t="s">
        <v>4569</v>
      </c>
      <c r="K4327" s="3" t="s">
        <v>222</v>
      </c>
    </row>
    <row r="4328" ht="15.6" spans="4:11">
      <c r="D4328" s="3">
        <v>4196</v>
      </c>
      <c r="E4328" s="3" t="s">
        <v>222</v>
      </c>
      <c r="J4328" s="3" t="s">
        <v>4570</v>
      </c>
      <c r="K4328" s="3" t="s">
        <v>222</v>
      </c>
    </row>
    <row r="4329" ht="15.6" spans="4:11">
      <c r="D4329" s="3">
        <v>4197</v>
      </c>
      <c r="E4329" s="3" t="s">
        <v>222</v>
      </c>
      <c r="J4329" s="3" t="s">
        <v>4571</v>
      </c>
      <c r="K4329" s="3" t="s">
        <v>222</v>
      </c>
    </row>
    <row r="4330" ht="15.6" spans="4:11">
      <c r="D4330" s="3">
        <v>4198</v>
      </c>
      <c r="E4330" s="3" t="s">
        <v>222</v>
      </c>
      <c r="J4330" s="3" t="s">
        <v>4572</v>
      </c>
      <c r="K4330" s="3" t="s">
        <v>222</v>
      </c>
    </row>
    <row r="4331" ht="15.6" spans="4:11">
      <c r="D4331" s="3">
        <v>4199</v>
      </c>
      <c r="E4331" s="3" t="s">
        <v>222</v>
      </c>
      <c r="J4331" s="3" t="s">
        <v>4573</v>
      </c>
      <c r="K4331" s="3" t="s">
        <v>222</v>
      </c>
    </row>
    <row r="4332" ht="15.6" spans="4:11">
      <c r="D4332" s="3">
        <v>4200</v>
      </c>
      <c r="E4332" s="3" t="s">
        <v>222</v>
      </c>
      <c r="J4332" s="3" t="s">
        <v>4574</v>
      </c>
      <c r="K4332" s="3" t="s">
        <v>222</v>
      </c>
    </row>
    <row r="4333" ht="15.6" spans="4:11">
      <c r="D4333" s="3">
        <v>4201</v>
      </c>
      <c r="E4333" s="3" t="s">
        <v>222</v>
      </c>
      <c r="J4333" s="3" t="s">
        <v>4575</v>
      </c>
      <c r="K4333" s="3" t="s">
        <v>222</v>
      </c>
    </row>
    <row r="4334" ht="15.6" spans="4:11">
      <c r="D4334" s="3">
        <v>4202</v>
      </c>
      <c r="E4334" s="3" t="s">
        <v>222</v>
      </c>
      <c r="J4334" s="3" t="s">
        <v>4576</v>
      </c>
      <c r="K4334" s="3" t="s">
        <v>222</v>
      </c>
    </row>
    <row r="4335" ht="15.6" spans="4:11">
      <c r="D4335" s="3">
        <v>4203</v>
      </c>
      <c r="E4335" s="3" t="s">
        <v>222</v>
      </c>
      <c r="J4335" s="3" t="s">
        <v>4577</v>
      </c>
      <c r="K4335" s="3" t="s">
        <v>222</v>
      </c>
    </row>
    <row r="4336" ht="15.6" spans="4:11">
      <c r="D4336" s="3">
        <v>4204</v>
      </c>
      <c r="E4336" s="3" t="s">
        <v>222</v>
      </c>
      <c r="J4336" s="3" t="s">
        <v>4578</v>
      </c>
      <c r="K4336" s="3" t="s">
        <v>222</v>
      </c>
    </row>
    <row r="4337" ht="15.6" spans="4:11">
      <c r="D4337" s="3">
        <v>4207</v>
      </c>
      <c r="E4337" s="3" t="s">
        <v>222</v>
      </c>
      <c r="J4337" s="3" t="s">
        <v>4579</v>
      </c>
      <c r="K4337" s="3" t="s">
        <v>222</v>
      </c>
    </row>
    <row r="4338" ht="15.6" spans="4:11">
      <c r="D4338" s="3">
        <v>4208</v>
      </c>
      <c r="E4338" s="3" t="s">
        <v>222</v>
      </c>
      <c r="J4338" s="3" t="s">
        <v>4580</v>
      </c>
      <c r="K4338" s="3" t="s">
        <v>222</v>
      </c>
    </row>
    <row r="4339" ht="15.6" spans="4:11">
      <c r="D4339" s="3">
        <v>4209</v>
      </c>
      <c r="E4339" s="3" t="s">
        <v>222</v>
      </c>
      <c r="J4339" s="3" t="s">
        <v>4581</v>
      </c>
      <c r="K4339" s="3" t="s">
        <v>222</v>
      </c>
    </row>
    <row r="4340" ht="15.6" spans="4:11">
      <c r="D4340" s="3">
        <v>4210</v>
      </c>
      <c r="E4340" s="3" t="s">
        <v>222</v>
      </c>
      <c r="J4340" s="3" t="s">
        <v>4582</v>
      </c>
      <c r="K4340" s="3" t="s">
        <v>222</v>
      </c>
    </row>
    <row r="4341" ht="15.6" spans="4:11">
      <c r="D4341" s="3">
        <v>4211</v>
      </c>
      <c r="E4341" s="3" t="s">
        <v>222</v>
      </c>
      <c r="J4341" s="3" t="s">
        <v>4583</v>
      </c>
      <c r="K4341" s="3" t="s">
        <v>222</v>
      </c>
    </row>
    <row r="4342" ht="15.6" spans="4:11">
      <c r="D4342" s="3">
        <v>4212</v>
      </c>
      <c r="E4342" s="3" t="s">
        <v>222</v>
      </c>
      <c r="J4342" s="3" t="s">
        <v>4584</v>
      </c>
      <c r="K4342" s="3" t="s">
        <v>222</v>
      </c>
    </row>
    <row r="4343" ht="15.6" spans="4:11">
      <c r="D4343" s="3">
        <v>4213</v>
      </c>
      <c r="E4343" s="3" t="s">
        <v>222</v>
      </c>
      <c r="J4343" s="3" t="s">
        <v>4585</v>
      </c>
      <c r="K4343" s="3" t="s">
        <v>222</v>
      </c>
    </row>
    <row r="4344" ht="15.6" spans="4:11">
      <c r="D4344" s="3">
        <v>4214</v>
      </c>
      <c r="E4344" s="3" t="s">
        <v>222</v>
      </c>
      <c r="J4344" s="3" t="s">
        <v>4586</v>
      </c>
      <c r="K4344" s="3" t="s">
        <v>222</v>
      </c>
    </row>
    <row r="4345" ht="15.6" spans="4:11">
      <c r="D4345" s="3">
        <v>4215</v>
      </c>
      <c r="E4345" s="3" t="s">
        <v>222</v>
      </c>
      <c r="J4345" s="3" t="s">
        <v>4587</v>
      </c>
      <c r="K4345" s="3" t="s">
        <v>222</v>
      </c>
    </row>
    <row r="4346" ht="15.6" spans="4:11">
      <c r="D4346" s="3">
        <v>4216</v>
      </c>
      <c r="E4346" s="3" t="s">
        <v>222</v>
      </c>
      <c r="J4346" s="3" t="s">
        <v>4588</v>
      </c>
      <c r="K4346" s="3" t="s">
        <v>222</v>
      </c>
    </row>
    <row r="4347" ht="15.6" spans="4:11">
      <c r="D4347" s="3">
        <v>4217</v>
      </c>
      <c r="E4347" s="3" t="s">
        <v>222</v>
      </c>
      <c r="J4347" s="3" t="s">
        <v>4589</v>
      </c>
      <c r="K4347" s="3" t="s">
        <v>222</v>
      </c>
    </row>
    <row r="4348" ht="15.6" spans="4:11">
      <c r="D4348" s="3">
        <v>4218</v>
      </c>
      <c r="E4348" s="3" t="s">
        <v>222</v>
      </c>
      <c r="J4348" s="3" t="s">
        <v>4590</v>
      </c>
      <c r="K4348" s="3" t="s">
        <v>222</v>
      </c>
    </row>
    <row r="4349" ht="15.6" spans="4:11">
      <c r="D4349" s="3">
        <v>4219</v>
      </c>
      <c r="E4349" s="3" t="s">
        <v>222</v>
      </c>
      <c r="J4349" s="3" t="s">
        <v>4591</v>
      </c>
      <c r="K4349" s="3" t="s">
        <v>222</v>
      </c>
    </row>
    <row r="4350" ht="15.6" spans="4:11">
      <c r="D4350" s="3">
        <v>4220</v>
      </c>
      <c r="E4350" s="3" t="s">
        <v>222</v>
      </c>
      <c r="J4350" s="3" t="s">
        <v>4592</v>
      </c>
      <c r="K4350" s="3" t="s">
        <v>222</v>
      </c>
    </row>
    <row r="4351" ht="15.6" spans="4:11">
      <c r="D4351" s="3">
        <v>4221</v>
      </c>
      <c r="E4351" s="3" t="s">
        <v>222</v>
      </c>
      <c r="J4351" s="3" t="s">
        <v>4593</v>
      </c>
      <c r="K4351" s="3" t="s">
        <v>222</v>
      </c>
    </row>
    <row r="4352" ht="15.6" spans="4:11">
      <c r="D4352" s="3">
        <v>4222</v>
      </c>
      <c r="E4352" s="3" t="s">
        <v>222</v>
      </c>
      <c r="J4352" s="3" t="s">
        <v>4594</v>
      </c>
      <c r="K4352" s="3" t="s">
        <v>222</v>
      </c>
    </row>
    <row r="4353" ht="15.6" spans="4:11">
      <c r="D4353" s="3">
        <v>4223</v>
      </c>
      <c r="E4353" s="3" t="s">
        <v>222</v>
      </c>
      <c r="J4353" s="3" t="s">
        <v>4595</v>
      </c>
      <c r="K4353" s="3" t="s">
        <v>222</v>
      </c>
    </row>
    <row r="4354" ht="15.6" spans="4:11">
      <c r="D4354" s="3">
        <v>4224</v>
      </c>
      <c r="E4354" s="3" t="s">
        <v>222</v>
      </c>
      <c r="J4354" s="3" t="s">
        <v>4596</v>
      </c>
      <c r="K4354" s="3" t="s">
        <v>222</v>
      </c>
    </row>
    <row r="4355" ht="15.6" spans="4:11">
      <c r="D4355" s="3">
        <v>4225</v>
      </c>
      <c r="E4355" s="3" t="s">
        <v>222</v>
      </c>
      <c r="J4355" s="3" t="s">
        <v>4597</v>
      </c>
      <c r="K4355" s="3" t="s">
        <v>222</v>
      </c>
    </row>
    <row r="4356" ht="15.6" spans="4:11">
      <c r="D4356" s="3">
        <v>4226</v>
      </c>
      <c r="E4356" s="3" t="s">
        <v>222</v>
      </c>
      <c r="J4356" s="3" t="s">
        <v>4598</v>
      </c>
      <c r="K4356" s="3" t="s">
        <v>222</v>
      </c>
    </row>
    <row r="4357" ht="15.6" spans="4:11">
      <c r="D4357" s="3">
        <v>4227</v>
      </c>
      <c r="E4357" s="3" t="s">
        <v>222</v>
      </c>
      <c r="J4357" s="3" t="s">
        <v>4599</v>
      </c>
      <c r="K4357" s="3" t="s">
        <v>222</v>
      </c>
    </row>
    <row r="4358" ht="15.6" spans="4:11">
      <c r="D4358" s="3">
        <v>4228</v>
      </c>
      <c r="E4358" s="3" t="s">
        <v>222</v>
      </c>
      <c r="J4358" s="3" t="s">
        <v>4600</v>
      </c>
      <c r="K4358" s="3" t="s">
        <v>222</v>
      </c>
    </row>
    <row r="4359" ht="15.6" spans="4:11">
      <c r="D4359" s="3">
        <v>4229</v>
      </c>
      <c r="E4359" s="3" t="s">
        <v>222</v>
      </c>
      <c r="J4359" s="3" t="s">
        <v>4601</v>
      </c>
      <c r="K4359" s="3" t="s">
        <v>222</v>
      </c>
    </row>
    <row r="4360" ht="15.6" spans="4:11">
      <c r="D4360" s="3">
        <v>4230</v>
      </c>
      <c r="E4360" s="3" t="s">
        <v>222</v>
      </c>
      <c r="J4360" s="3" t="s">
        <v>4602</v>
      </c>
      <c r="K4360" s="3" t="s">
        <v>222</v>
      </c>
    </row>
    <row r="4361" ht="15.6" spans="4:11">
      <c r="D4361" s="3">
        <v>4231</v>
      </c>
      <c r="E4361" s="3" t="s">
        <v>222</v>
      </c>
      <c r="J4361" s="3" t="s">
        <v>4603</v>
      </c>
      <c r="K4361" s="3" t="s">
        <v>222</v>
      </c>
    </row>
    <row r="4362" ht="15.6" spans="4:11">
      <c r="D4362" s="3">
        <v>4232</v>
      </c>
      <c r="E4362" s="3" t="s">
        <v>222</v>
      </c>
      <c r="J4362" s="3" t="s">
        <v>4604</v>
      </c>
      <c r="K4362" s="3" t="s">
        <v>222</v>
      </c>
    </row>
    <row r="4363" ht="15.6" spans="4:11">
      <c r="D4363" s="3">
        <v>4233</v>
      </c>
      <c r="E4363" s="3" t="s">
        <v>222</v>
      </c>
      <c r="J4363" s="3" t="s">
        <v>4605</v>
      </c>
      <c r="K4363" s="3" t="s">
        <v>222</v>
      </c>
    </row>
    <row r="4364" ht="15.6" spans="4:11">
      <c r="D4364" s="3">
        <v>4234</v>
      </c>
      <c r="E4364" s="3" t="s">
        <v>222</v>
      </c>
      <c r="J4364" s="3" t="s">
        <v>4606</v>
      </c>
      <c r="K4364" s="3" t="s">
        <v>222</v>
      </c>
    </row>
    <row r="4365" ht="15.6" spans="4:11">
      <c r="D4365" s="3">
        <v>4235</v>
      </c>
      <c r="E4365" s="3" t="s">
        <v>222</v>
      </c>
      <c r="J4365" s="3" t="s">
        <v>4607</v>
      </c>
      <c r="K4365" s="3" t="s">
        <v>222</v>
      </c>
    </row>
    <row r="4366" ht="15.6" spans="4:11">
      <c r="D4366" s="3">
        <v>4236</v>
      </c>
      <c r="E4366" s="3" t="s">
        <v>222</v>
      </c>
      <c r="J4366" s="3" t="s">
        <v>4608</v>
      </c>
      <c r="K4366" s="3" t="s">
        <v>222</v>
      </c>
    </row>
    <row r="4367" ht="15.6" spans="4:11">
      <c r="D4367" s="3">
        <v>4237</v>
      </c>
      <c r="E4367" s="3" t="s">
        <v>222</v>
      </c>
      <c r="J4367" s="3" t="s">
        <v>4609</v>
      </c>
      <c r="K4367" s="3" t="s">
        <v>222</v>
      </c>
    </row>
    <row r="4368" ht="15.6" spans="4:11">
      <c r="D4368" s="3">
        <v>4238</v>
      </c>
      <c r="E4368" s="3" t="s">
        <v>222</v>
      </c>
      <c r="J4368" s="3" t="s">
        <v>4610</v>
      </c>
      <c r="K4368" s="3" t="s">
        <v>222</v>
      </c>
    </row>
    <row r="4369" ht="15.6" spans="4:11">
      <c r="D4369" s="3">
        <v>4239</v>
      </c>
      <c r="E4369" s="3" t="s">
        <v>222</v>
      </c>
      <c r="J4369" s="3" t="s">
        <v>4611</v>
      </c>
      <c r="K4369" s="3" t="s">
        <v>222</v>
      </c>
    </row>
    <row r="4370" ht="15.6" spans="4:11">
      <c r="D4370" s="3">
        <v>4240</v>
      </c>
      <c r="E4370" s="3" t="s">
        <v>222</v>
      </c>
      <c r="J4370" s="3" t="s">
        <v>4612</v>
      </c>
      <c r="K4370" s="3" t="s">
        <v>222</v>
      </c>
    </row>
    <row r="4371" ht="15.6" spans="4:11">
      <c r="D4371" s="3">
        <v>4241</v>
      </c>
      <c r="E4371" s="3" t="s">
        <v>222</v>
      </c>
      <c r="J4371" s="3" t="s">
        <v>4613</v>
      </c>
      <c r="K4371" s="3" t="s">
        <v>222</v>
      </c>
    </row>
    <row r="4372" ht="15.6" spans="4:11">
      <c r="D4372" s="3">
        <v>4242</v>
      </c>
      <c r="E4372" s="3" t="s">
        <v>222</v>
      </c>
      <c r="J4372" s="3" t="s">
        <v>4614</v>
      </c>
      <c r="K4372" s="3" t="s">
        <v>222</v>
      </c>
    </row>
    <row r="4373" ht="15.6" spans="4:11">
      <c r="D4373" s="3">
        <v>4243</v>
      </c>
      <c r="E4373" s="3" t="s">
        <v>222</v>
      </c>
      <c r="J4373" s="3" t="s">
        <v>4615</v>
      </c>
      <c r="K4373" s="3" t="s">
        <v>222</v>
      </c>
    </row>
    <row r="4374" ht="15.6" spans="4:11">
      <c r="D4374" s="3">
        <v>4244</v>
      </c>
      <c r="E4374" s="3" t="s">
        <v>222</v>
      </c>
      <c r="J4374" s="3" t="s">
        <v>4616</v>
      </c>
      <c r="K4374" s="3" t="s">
        <v>222</v>
      </c>
    </row>
    <row r="4375" ht="15.6" spans="4:11">
      <c r="D4375" s="3">
        <v>4245</v>
      </c>
      <c r="E4375" s="3" t="s">
        <v>222</v>
      </c>
      <c r="J4375" s="3" t="s">
        <v>4617</v>
      </c>
      <c r="K4375" s="3" t="s">
        <v>222</v>
      </c>
    </row>
    <row r="4376" ht="15.6" spans="4:11">
      <c r="D4376" s="3">
        <v>4246</v>
      </c>
      <c r="E4376" s="3" t="s">
        <v>222</v>
      </c>
      <c r="J4376" s="3" t="s">
        <v>4618</v>
      </c>
      <c r="K4376" s="3" t="s">
        <v>222</v>
      </c>
    </row>
    <row r="4377" ht="15.6" spans="4:11">
      <c r="D4377" s="3">
        <v>4247</v>
      </c>
      <c r="E4377" s="3" t="s">
        <v>222</v>
      </c>
      <c r="J4377" s="3" t="s">
        <v>4619</v>
      </c>
      <c r="K4377" s="3" t="s">
        <v>222</v>
      </c>
    </row>
    <row r="4378" ht="15.6" spans="4:11">
      <c r="D4378" s="3">
        <v>4248</v>
      </c>
      <c r="E4378" s="3" t="s">
        <v>222</v>
      </c>
      <c r="J4378" s="3" t="s">
        <v>4620</v>
      </c>
      <c r="K4378" s="3" t="s">
        <v>222</v>
      </c>
    </row>
    <row r="4379" ht="15.6" spans="4:11">
      <c r="D4379" s="3">
        <v>4249</v>
      </c>
      <c r="E4379" s="3" t="s">
        <v>222</v>
      </c>
      <c r="J4379" s="3" t="s">
        <v>4621</v>
      </c>
      <c r="K4379" s="3" t="s">
        <v>222</v>
      </c>
    </row>
    <row r="4380" ht="15.6" spans="4:11">
      <c r="D4380" s="3">
        <v>4250</v>
      </c>
      <c r="E4380" s="3" t="s">
        <v>222</v>
      </c>
      <c r="J4380" s="3" t="s">
        <v>4622</v>
      </c>
      <c r="K4380" s="3" t="s">
        <v>222</v>
      </c>
    </row>
    <row r="4381" ht="15.6" spans="4:11">
      <c r="D4381" s="3">
        <v>4251</v>
      </c>
      <c r="E4381" s="3" t="s">
        <v>222</v>
      </c>
      <c r="J4381" s="3" t="s">
        <v>4623</v>
      </c>
      <c r="K4381" s="3" t="s">
        <v>222</v>
      </c>
    </row>
    <row r="4382" ht="15.6" spans="4:11">
      <c r="D4382" s="3">
        <v>4252</v>
      </c>
      <c r="E4382" s="3" t="s">
        <v>222</v>
      </c>
      <c r="J4382" s="3" t="s">
        <v>4624</v>
      </c>
      <c r="K4382" s="3" t="s">
        <v>222</v>
      </c>
    </row>
    <row r="4383" ht="15.6" spans="4:11">
      <c r="D4383" s="3">
        <v>4253</v>
      </c>
      <c r="E4383" s="3" t="s">
        <v>222</v>
      </c>
      <c r="J4383" s="3" t="s">
        <v>4625</v>
      </c>
      <c r="K4383" s="3" t="s">
        <v>222</v>
      </c>
    </row>
    <row r="4384" ht="15.6" spans="4:11">
      <c r="D4384" s="3">
        <v>4254</v>
      </c>
      <c r="E4384" s="3" t="s">
        <v>222</v>
      </c>
      <c r="J4384" s="3" t="s">
        <v>4626</v>
      </c>
      <c r="K4384" s="3" t="s">
        <v>222</v>
      </c>
    </row>
    <row r="4385" ht="15.6" spans="4:11">
      <c r="D4385" s="3">
        <v>4255</v>
      </c>
      <c r="E4385" s="3" t="s">
        <v>222</v>
      </c>
      <c r="J4385" s="3" t="s">
        <v>4627</v>
      </c>
      <c r="K4385" s="3" t="s">
        <v>222</v>
      </c>
    </row>
    <row r="4386" ht="15.6" spans="4:11">
      <c r="D4386" s="3">
        <v>4256</v>
      </c>
      <c r="E4386" s="3" t="s">
        <v>222</v>
      </c>
      <c r="J4386" s="3" t="s">
        <v>4628</v>
      </c>
      <c r="K4386" s="3" t="s">
        <v>222</v>
      </c>
    </row>
    <row r="4387" ht="15.6" spans="4:11">
      <c r="D4387" s="3">
        <v>4257</v>
      </c>
      <c r="E4387" s="3" t="s">
        <v>222</v>
      </c>
      <c r="J4387" s="3" t="s">
        <v>4629</v>
      </c>
      <c r="K4387" s="3" t="s">
        <v>222</v>
      </c>
    </row>
    <row r="4388" ht="15.6" spans="4:11">
      <c r="D4388" s="3">
        <v>4258</v>
      </c>
      <c r="E4388" s="3" t="s">
        <v>222</v>
      </c>
      <c r="J4388" s="3" t="s">
        <v>4630</v>
      </c>
      <c r="K4388" s="3" t="s">
        <v>222</v>
      </c>
    </row>
    <row r="4389" ht="15.6" spans="4:11">
      <c r="D4389" s="3">
        <v>4259</v>
      </c>
      <c r="E4389" s="3" t="s">
        <v>222</v>
      </c>
      <c r="J4389" s="3" t="s">
        <v>4631</v>
      </c>
      <c r="K4389" s="3" t="s">
        <v>222</v>
      </c>
    </row>
    <row r="4390" ht="15.6" spans="4:11">
      <c r="D4390" s="3">
        <v>4260</v>
      </c>
      <c r="E4390" s="3" t="s">
        <v>222</v>
      </c>
      <c r="J4390" s="3" t="s">
        <v>4632</v>
      </c>
      <c r="K4390" s="3" t="s">
        <v>222</v>
      </c>
    </row>
    <row r="4391" ht="15.6" spans="4:11">
      <c r="D4391" s="3">
        <v>4261</v>
      </c>
      <c r="E4391" s="3" t="s">
        <v>222</v>
      </c>
      <c r="J4391" s="3" t="s">
        <v>4633</v>
      </c>
      <c r="K4391" s="3" t="s">
        <v>222</v>
      </c>
    </row>
    <row r="4392" ht="15.6" spans="4:11">
      <c r="D4392" s="3">
        <v>4262</v>
      </c>
      <c r="E4392" s="3" t="s">
        <v>222</v>
      </c>
      <c r="J4392" s="3" t="s">
        <v>4634</v>
      </c>
      <c r="K4392" s="3" t="s">
        <v>222</v>
      </c>
    </row>
    <row r="4393" ht="15.6" spans="4:11">
      <c r="D4393" s="3">
        <v>4263</v>
      </c>
      <c r="E4393" s="3" t="s">
        <v>222</v>
      </c>
      <c r="J4393" s="3" t="s">
        <v>4635</v>
      </c>
      <c r="K4393" s="3" t="s">
        <v>222</v>
      </c>
    </row>
    <row r="4394" ht="15.6" spans="4:11">
      <c r="D4394" s="3">
        <v>4264</v>
      </c>
      <c r="E4394" s="3" t="s">
        <v>222</v>
      </c>
      <c r="J4394" s="3" t="s">
        <v>4636</v>
      </c>
      <c r="K4394" s="3" t="s">
        <v>222</v>
      </c>
    </row>
    <row r="4395" ht="15.6" spans="4:11">
      <c r="D4395" s="3">
        <v>4265</v>
      </c>
      <c r="E4395" s="3" t="s">
        <v>222</v>
      </c>
      <c r="J4395" s="3" t="s">
        <v>4637</v>
      </c>
      <c r="K4395" s="3" t="s">
        <v>222</v>
      </c>
    </row>
    <row r="4396" ht="15.6" spans="4:11">
      <c r="D4396" s="3">
        <v>4266</v>
      </c>
      <c r="E4396" s="3" t="s">
        <v>222</v>
      </c>
      <c r="J4396" s="3" t="s">
        <v>4638</v>
      </c>
      <c r="K4396" s="3" t="s">
        <v>222</v>
      </c>
    </row>
    <row r="4397" ht="15.6" spans="4:11">
      <c r="D4397" s="3">
        <v>4267</v>
      </c>
      <c r="E4397" s="3" t="s">
        <v>222</v>
      </c>
      <c r="J4397" s="3" t="s">
        <v>4639</v>
      </c>
      <c r="K4397" s="3" t="s">
        <v>222</v>
      </c>
    </row>
    <row r="4398" ht="15.6" spans="4:11">
      <c r="D4398" s="3">
        <v>4268</v>
      </c>
      <c r="E4398" s="3" t="s">
        <v>222</v>
      </c>
      <c r="J4398" s="3" t="s">
        <v>4640</v>
      </c>
      <c r="K4398" s="3" t="s">
        <v>222</v>
      </c>
    </row>
    <row r="4399" ht="15.6" spans="4:11">
      <c r="D4399" s="3">
        <v>4269</v>
      </c>
      <c r="E4399" s="3" t="s">
        <v>222</v>
      </c>
      <c r="J4399" s="3" t="s">
        <v>4641</v>
      </c>
      <c r="K4399" s="3" t="s">
        <v>222</v>
      </c>
    </row>
    <row r="4400" ht="15.6" spans="4:11">
      <c r="D4400" s="3">
        <v>4270</v>
      </c>
      <c r="E4400" s="3" t="s">
        <v>222</v>
      </c>
      <c r="J4400" s="3" t="s">
        <v>4642</v>
      </c>
      <c r="K4400" s="3" t="s">
        <v>222</v>
      </c>
    </row>
    <row r="4401" ht="15.6" spans="4:11">
      <c r="D4401" s="3">
        <v>4271</v>
      </c>
      <c r="E4401" s="3" t="s">
        <v>222</v>
      </c>
      <c r="J4401" s="3" t="s">
        <v>4643</v>
      </c>
      <c r="K4401" s="3" t="s">
        <v>222</v>
      </c>
    </row>
    <row r="4402" ht="15.6" spans="4:11">
      <c r="D4402" s="3">
        <v>4272</v>
      </c>
      <c r="E4402" s="3" t="s">
        <v>222</v>
      </c>
      <c r="J4402" s="3" t="s">
        <v>4644</v>
      </c>
      <c r="K4402" s="3" t="s">
        <v>222</v>
      </c>
    </row>
    <row r="4403" ht="15.6" spans="4:11">
      <c r="D4403" s="3">
        <v>4273</v>
      </c>
      <c r="E4403" s="3" t="s">
        <v>222</v>
      </c>
      <c r="J4403" s="3" t="s">
        <v>4645</v>
      </c>
      <c r="K4403" s="3" t="s">
        <v>222</v>
      </c>
    </row>
    <row r="4404" ht="15.6" spans="4:11">
      <c r="D4404" s="3">
        <v>4274</v>
      </c>
      <c r="E4404" s="3" t="s">
        <v>222</v>
      </c>
      <c r="J4404" s="3" t="s">
        <v>4646</v>
      </c>
      <c r="K4404" s="3" t="s">
        <v>222</v>
      </c>
    </row>
    <row r="4405" ht="15.6" spans="4:11">
      <c r="D4405" s="3">
        <v>4275</v>
      </c>
      <c r="E4405" s="3" t="s">
        <v>222</v>
      </c>
      <c r="J4405" s="3" t="s">
        <v>4647</v>
      </c>
      <c r="K4405" s="3" t="s">
        <v>222</v>
      </c>
    </row>
    <row r="4406" ht="15.6" spans="4:11">
      <c r="D4406" s="3">
        <v>4276</v>
      </c>
      <c r="E4406" s="3" t="s">
        <v>222</v>
      </c>
      <c r="J4406" s="3" t="s">
        <v>4648</v>
      </c>
      <c r="K4406" s="3" t="s">
        <v>222</v>
      </c>
    </row>
    <row r="4407" ht="15.6" spans="4:11">
      <c r="D4407" s="3">
        <v>4277</v>
      </c>
      <c r="E4407" s="3" t="s">
        <v>222</v>
      </c>
      <c r="J4407" s="3" t="s">
        <v>4649</v>
      </c>
      <c r="K4407" s="3" t="s">
        <v>222</v>
      </c>
    </row>
    <row r="4408" ht="15.6" spans="4:11">
      <c r="D4408" s="3">
        <v>4278</v>
      </c>
      <c r="E4408" s="3" t="s">
        <v>222</v>
      </c>
      <c r="J4408" s="3" t="s">
        <v>4650</v>
      </c>
      <c r="K4408" s="3" t="s">
        <v>222</v>
      </c>
    </row>
    <row r="4409" ht="15.6" spans="4:11">
      <c r="D4409" s="3">
        <v>4279</v>
      </c>
      <c r="E4409" s="3" t="s">
        <v>222</v>
      </c>
      <c r="J4409" s="3" t="s">
        <v>4651</v>
      </c>
      <c r="K4409" s="3" t="s">
        <v>222</v>
      </c>
    </row>
    <row r="4410" ht="15.6" spans="4:11">
      <c r="D4410" s="3">
        <v>4280</v>
      </c>
      <c r="E4410" s="3" t="s">
        <v>222</v>
      </c>
      <c r="J4410" s="3" t="s">
        <v>4652</v>
      </c>
      <c r="K4410" s="3" t="s">
        <v>222</v>
      </c>
    </row>
    <row r="4411" ht="15.6" spans="4:11">
      <c r="D4411" s="3">
        <v>4281</v>
      </c>
      <c r="E4411" s="3" t="s">
        <v>222</v>
      </c>
      <c r="J4411" s="3" t="s">
        <v>4653</v>
      </c>
      <c r="K4411" s="3" t="s">
        <v>222</v>
      </c>
    </row>
    <row r="4412" ht="15.6" spans="4:11">
      <c r="D4412" s="3">
        <v>4282</v>
      </c>
      <c r="E4412" s="3" t="s">
        <v>222</v>
      </c>
      <c r="J4412" s="3" t="s">
        <v>4654</v>
      </c>
      <c r="K4412" s="3" t="s">
        <v>222</v>
      </c>
    </row>
    <row r="4413" ht="15.6" spans="4:11">
      <c r="D4413" s="3">
        <v>4283</v>
      </c>
      <c r="E4413" s="3" t="s">
        <v>222</v>
      </c>
      <c r="J4413" s="3" t="s">
        <v>4655</v>
      </c>
      <c r="K4413" s="3" t="s">
        <v>222</v>
      </c>
    </row>
    <row r="4414" ht="15.6" spans="4:11">
      <c r="D4414" s="3">
        <v>4284</v>
      </c>
      <c r="E4414" s="3" t="s">
        <v>222</v>
      </c>
      <c r="J4414" s="3" t="s">
        <v>4656</v>
      </c>
      <c r="K4414" s="3" t="s">
        <v>222</v>
      </c>
    </row>
    <row r="4415" ht="15.6" spans="4:11">
      <c r="D4415" s="3">
        <v>4285</v>
      </c>
      <c r="E4415" s="3" t="s">
        <v>222</v>
      </c>
      <c r="J4415" s="3" t="s">
        <v>4657</v>
      </c>
      <c r="K4415" s="3" t="s">
        <v>222</v>
      </c>
    </row>
    <row r="4416" ht="15.6" spans="4:11">
      <c r="D4416" s="3">
        <v>4286</v>
      </c>
      <c r="E4416" s="3" t="s">
        <v>222</v>
      </c>
      <c r="J4416" s="3" t="s">
        <v>4658</v>
      </c>
      <c r="K4416" s="3" t="s">
        <v>222</v>
      </c>
    </row>
    <row r="4417" ht="15.6" spans="4:11">
      <c r="D4417" s="3">
        <v>4287</v>
      </c>
      <c r="E4417" s="3" t="s">
        <v>222</v>
      </c>
      <c r="J4417" s="3" t="s">
        <v>4659</v>
      </c>
      <c r="K4417" s="3" t="s">
        <v>222</v>
      </c>
    </row>
    <row r="4418" ht="15.6" spans="4:11">
      <c r="D4418" s="3">
        <v>4288</v>
      </c>
      <c r="E4418" s="3" t="s">
        <v>222</v>
      </c>
      <c r="J4418" s="3" t="s">
        <v>4660</v>
      </c>
      <c r="K4418" s="3" t="s">
        <v>222</v>
      </c>
    </row>
    <row r="4419" ht="15.6" spans="4:11">
      <c r="D4419" s="3">
        <v>4289</v>
      </c>
      <c r="E4419" s="3" t="s">
        <v>222</v>
      </c>
      <c r="J4419" s="3" t="s">
        <v>4661</v>
      </c>
      <c r="K4419" s="3" t="s">
        <v>222</v>
      </c>
    </row>
    <row r="4420" ht="15.6" spans="4:11">
      <c r="D4420" s="3">
        <v>4290</v>
      </c>
      <c r="E4420" s="3" t="s">
        <v>222</v>
      </c>
      <c r="J4420" s="3" t="s">
        <v>4662</v>
      </c>
      <c r="K4420" s="3" t="s">
        <v>222</v>
      </c>
    </row>
    <row r="4421" ht="15.6" spans="4:11">
      <c r="D4421" s="3">
        <v>4291</v>
      </c>
      <c r="E4421" s="3" t="s">
        <v>222</v>
      </c>
      <c r="J4421" s="3" t="s">
        <v>4663</v>
      </c>
      <c r="K4421" s="3" t="s">
        <v>222</v>
      </c>
    </row>
    <row r="4422" ht="15.6" spans="4:11">
      <c r="D4422" s="3">
        <v>4292</v>
      </c>
      <c r="E4422" s="3" t="s">
        <v>222</v>
      </c>
      <c r="J4422" s="3" t="s">
        <v>4664</v>
      </c>
      <c r="K4422" s="3" t="s">
        <v>222</v>
      </c>
    </row>
    <row r="4423" ht="15.6" spans="4:11">
      <c r="D4423" s="3">
        <v>4293</v>
      </c>
      <c r="E4423" s="3" t="s">
        <v>222</v>
      </c>
      <c r="J4423" s="3" t="s">
        <v>4665</v>
      </c>
      <c r="K4423" s="3" t="s">
        <v>222</v>
      </c>
    </row>
    <row r="4424" ht="15.6" spans="4:11">
      <c r="D4424" s="3">
        <v>4294</v>
      </c>
      <c r="E4424" s="3" t="s">
        <v>222</v>
      </c>
      <c r="J4424" s="3" t="s">
        <v>4666</v>
      </c>
      <c r="K4424" s="3" t="s">
        <v>222</v>
      </c>
    </row>
    <row r="4425" ht="15.6" spans="4:11">
      <c r="D4425" s="3">
        <v>4295</v>
      </c>
      <c r="E4425" s="3" t="s">
        <v>222</v>
      </c>
      <c r="J4425" s="3" t="s">
        <v>4667</v>
      </c>
      <c r="K4425" s="3" t="s">
        <v>222</v>
      </c>
    </row>
    <row r="4426" ht="15.6" spans="4:11">
      <c r="D4426" s="3">
        <v>4296</v>
      </c>
      <c r="E4426" s="3" t="s">
        <v>222</v>
      </c>
      <c r="J4426" s="3" t="s">
        <v>4668</v>
      </c>
      <c r="K4426" s="3" t="s">
        <v>222</v>
      </c>
    </row>
    <row r="4427" ht="15.6" spans="4:11">
      <c r="D4427" s="3">
        <v>4297</v>
      </c>
      <c r="E4427" s="3" t="s">
        <v>222</v>
      </c>
      <c r="J4427" s="3" t="s">
        <v>4669</v>
      </c>
      <c r="K4427" s="3" t="s">
        <v>222</v>
      </c>
    </row>
    <row r="4428" ht="15.6" spans="4:11">
      <c r="D4428" s="3">
        <v>4298</v>
      </c>
      <c r="E4428" s="3" t="s">
        <v>222</v>
      </c>
      <c r="J4428" s="3" t="s">
        <v>4670</v>
      </c>
      <c r="K4428" s="3" t="s">
        <v>222</v>
      </c>
    </row>
    <row r="4429" ht="15.6" spans="4:11">
      <c r="D4429" s="3">
        <v>4299</v>
      </c>
      <c r="E4429" s="3" t="s">
        <v>222</v>
      </c>
      <c r="J4429" s="3" t="s">
        <v>4671</v>
      </c>
      <c r="K4429" s="3" t="s">
        <v>222</v>
      </c>
    </row>
    <row r="4430" ht="15.6" spans="4:11">
      <c r="D4430" s="3">
        <v>4300</v>
      </c>
      <c r="E4430" s="3" t="s">
        <v>222</v>
      </c>
      <c r="J4430" s="3" t="s">
        <v>4672</v>
      </c>
      <c r="K4430" s="3" t="s">
        <v>222</v>
      </c>
    </row>
    <row r="4431" ht="15.6" spans="4:11">
      <c r="D4431" s="3">
        <v>4301</v>
      </c>
      <c r="E4431" s="3" t="s">
        <v>222</v>
      </c>
      <c r="J4431" s="3" t="s">
        <v>4673</v>
      </c>
      <c r="K4431" s="3" t="s">
        <v>222</v>
      </c>
    </row>
    <row r="4432" ht="15.6" spans="4:11">
      <c r="D4432" s="3">
        <v>4302</v>
      </c>
      <c r="E4432" s="3" t="s">
        <v>222</v>
      </c>
      <c r="J4432" s="3" t="s">
        <v>4674</v>
      </c>
      <c r="K4432" s="3" t="s">
        <v>222</v>
      </c>
    </row>
    <row r="4433" ht="15.6" spans="4:11">
      <c r="D4433" s="3">
        <v>4303</v>
      </c>
      <c r="E4433" s="3" t="s">
        <v>222</v>
      </c>
      <c r="J4433" s="3" t="s">
        <v>4675</v>
      </c>
      <c r="K4433" s="3" t="s">
        <v>222</v>
      </c>
    </row>
    <row r="4434" ht="15.6" spans="4:11">
      <c r="D4434" s="3">
        <v>4304</v>
      </c>
      <c r="E4434" s="3" t="s">
        <v>222</v>
      </c>
      <c r="J4434" s="3" t="s">
        <v>4676</v>
      </c>
      <c r="K4434" s="3" t="s">
        <v>222</v>
      </c>
    </row>
    <row r="4435" ht="15.6" spans="4:11">
      <c r="D4435" s="3">
        <v>4305</v>
      </c>
      <c r="E4435" s="3" t="s">
        <v>222</v>
      </c>
      <c r="J4435" s="3" t="s">
        <v>4677</v>
      </c>
      <c r="K4435" s="3" t="s">
        <v>222</v>
      </c>
    </row>
    <row r="4436" ht="15.6" spans="4:11">
      <c r="D4436" s="3">
        <v>4306</v>
      </c>
      <c r="E4436" s="3" t="s">
        <v>222</v>
      </c>
      <c r="J4436" s="3" t="s">
        <v>4678</v>
      </c>
      <c r="K4436" s="3" t="s">
        <v>222</v>
      </c>
    </row>
    <row r="4437" ht="15.6" spans="4:11">
      <c r="D4437" s="3">
        <v>4307</v>
      </c>
      <c r="E4437" s="3" t="s">
        <v>222</v>
      </c>
      <c r="J4437" s="3" t="s">
        <v>4679</v>
      </c>
      <c r="K4437" s="3" t="s">
        <v>222</v>
      </c>
    </row>
    <row r="4438" ht="15.6" spans="4:11">
      <c r="D4438" s="3">
        <v>4308</v>
      </c>
      <c r="E4438" s="3" t="s">
        <v>222</v>
      </c>
      <c r="J4438" s="3" t="s">
        <v>4680</v>
      </c>
      <c r="K4438" s="3" t="s">
        <v>222</v>
      </c>
    </row>
    <row r="4439" ht="15.6" spans="4:11">
      <c r="D4439" s="3">
        <v>4500</v>
      </c>
      <c r="E4439" s="3" t="s">
        <v>222</v>
      </c>
      <c r="J4439" s="3" t="s">
        <v>4681</v>
      </c>
      <c r="K4439" s="3" t="s">
        <v>222</v>
      </c>
    </row>
    <row r="4440" ht="15.6" spans="4:11">
      <c r="D4440" s="3">
        <v>4501</v>
      </c>
      <c r="E4440" s="3" t="s">
        <v>222</v>
      </c>
      <c r="J4440" s="3" t="s">
        <v>4682</v>
      </c>
      <c r="K4440" s="3" t="s">
        <v>222</v>
      </c>
    </row>
    <row r="4441" ht="15.6" spans="4:11">
      <c r="D4441" s="3">
        <v>4502</v>
      </c>
      <c r="E4441" s="3" t="s">
        <v>222</v>
      </c>
      <c r="J4441" s="3" t="s">
        <v>4683</v>
      </c>
      <c r="K4441" s="3" t="s">
        <v>222</v>
      </c>
    </row>
    <row r="4442" ht="15.6" spans="4:11">
      <c r="D4442" s="3">
        <v>4503</v>
      </c>
      <c r="E4442" s="3" t="s">
        <v>222</v>
      </c>
      <c r="J4442" s="3" t="s">
        <v>4684</v>
      </c>
      <c r="K4442" s="3" t="s">
        <v>222</v>
      </c>
    </row>
    <row r="4443" ht="15.6" spans="4:11">
      <c r="D4443" s="3">
        <v>4504</v>
      </c>
      <c r="E4443" s="3" t="s">
        <v>222</v>
      </c>
      <c r="J4443" s="3" t="s">
        <v>4685</v>
      </c>
      <c r="K4443" s="3" t="s">
        <v>222</v>
      </c>
    </row>
    <row r="4444" ht="15.6" spans="4:11">
      <c r="D4444" s="3">
        <v>4505</v>
      </c>
      <c r="E4444" s="3" t="s">
        <v>222</v>
      </c>
      <c r="J4444" s="3" t="s">
        <v>4686</v>
      </c>
      <c r="K4444" s="3" t="s">
        <v>222</v>
      </c>
    </row>
    <row r="4445" ht="15.6" spans="4:11">
      <c r="D4445" s="3">
        <v>4506</v>
      </c>
      <c r="E4445" s="3" t="s">
        <v>222</v>
      </c>
      <c r="J4445" s="3" t="s">
        <v>4687</v>
      </c>
      <c r="K4445" s="3" t="s">
        <v>222</v>
      </c>
    </row>
    <row r="4446" ht="15.6" spans="4:11">
      <c r="D4446" s="3">
        <v>4507</v>
      </c>
      <c r="E4446" s="3" t="s">
        <v>222</v>
      </c>
      <c r="J4446" s="3" t="s">
        <v>4688</v>
      </c>
      <c r="K4446" s="3" t="s">
        <v>222</v>
      </c>
    </row>
    <row r="4447" ht="15.6" spans="4:11">
      <c r="D4447" s="3">
        <v>4508</v>
      </c>
      <c r="E4447" s="3" t="s">
        <v>222</v>
      </c>
      <c r="J4447" s="3" t="s">
        <v>4689</v>
      </c>
      <c r="K4447" s="3" t="s">
        <v>222</v>
      </c>
    </row>
    <row r="4448" ht="15.6" spans="4:11">
      <c r="D4448" s="3">
        <v>4509</v>
      </c>
      <c r="E4448" s="3" t="s">
        <v>222</v>
      </c>
      <c r="J4448" s="3" t="s">
        <v>4690</v>
      </c>
      <c r="K4448" s="3" t="s">
        <v>222</v>
      </c>
    </row>
    <row r="4449" ht="15.6" spans="4:11">
      <c r="D4449" s="3">
        <v>4510</v>
      </c>
      <c r="E4449" s="3" t="s">
        <v>222</v>
      </c>
      <c r="J4449" s="3" t="s">
        <v>4691</v>
      </c>
      <c r="K4449" s="3" t="s">
        <v>222</v>
      </c>
    </row>
    <row r="4450" ht="15.6" spans="4:11">
      <c r="D4450" s="3">
        <v>4511</v>
      </c>
      <c r="E4450" s="3" t="s">
        <v>222</v>
      </c>
      <c r="J4450" s="3" t="s">
        <v>4692</v>
      </c>
      <c r="K4450" s="3" t="s">
        <v>222</v>
      </c>
    </row>
    <row r="4451" ht="15.6" spans="4:11">
      <c r="D4451" s="3">
        <v>4512</v>
      </c>
      <c r="E4451" s="3" t="s">
        <v>222</v>
      </c>
      <c r="J4451" s="3" t="s">
        <v>4693</v>
      </c>
      <c r="K4451" s="3" t="s">
        <v>222</v>
      </c>
    </row>
    <row r="4452" ht="15.6" spans="4:11">
      <c r="D4452" s="3">
        <v>4513</v>
      </c>
      <c r="E4452" s="3" t="s">
        <v>222</v>
      </c>
      <c r="J4452" s="3" t="s">
        <v>4694</v>
      </c>
      <c r="K4452" s="3" t="s">
        <v>222</v>
      </c>
    </row>
    <row r="4453" ht="15.6" spans="4:11">
      <c r="D4453" s="3">
        <v>4514</v>
      </c>
      <c r="E4453" s="3" t="s">
        <v>222</v>
      </c>
      <c r="J4453" s="3" t="s">
        <v>4695</v>
      </c>
      <c r="K4453" s="3" t="s">
        <v>222</v>
      </c>
    </row>
    <row r="4454" ht="15.6" spans="4:11">
      <c r="D4454" s="3">
        <v>4515</v>
      </c>
      <c r="E4454" s="3" t="s">
        <v>222</v>
      </c>
      <c r="J4454" s="3" t="s">
        <v>4696</v>
      </c>
      <c r="K4454" s="3" t="s">
        <v>222</v>
      </c>
    </row>
    <row r="4455" ht="15.6" spans="4:11">
      <c r="D4455" s="3">
        <v>4516</v>
      </c>
      <c r="E4455" s="3" t="s">
        <v>222</v>
      </c>
      <c r="J4455" s="3" t="s">
        <v>4697</v>
      </c>
      <c r="K4455" s="3" t="s">
        <v>222</v>
      </c>
    </row>
    <row r="4456" ht="15.6" spans="4:11">
      <c r="D4456" s="3">
        <v>4517</v>
      </c>
      <c r="E4456" s="3" t="s">
        <v>222</v>
      </c>
      <c r="J4456" s="3" t="s">
        <v>4698</v>
      </c>
      <c r="K4456" s="3" t="s">
        <v>222</v>
      </c>
    </row>
    <row r="4457" ht="15.6" spans="4:11">
      <c r="D4457" s="3">
        <v>4518</v>
      </c>
      <c r="E4457" s="3" t="s">
        <v>222</v>
      </c>
      <c r="J4457" s="3" t="s">
        <v>4699</v>
      </c>
      <c r="K4457" s="3" t="s">
        <v>222</v>
      </c>
    </row>
    <row r="4458" ht="15.6" spans="4:11">
      <c r="D4458" s="3">
        <v>4519</v>
      </c>
      <c r="E4458" s="3" t="s">
        <v>222</v>
      </c>
      <c r="J4458" s="3" t="s">
        <v>4700</v>
      </c>
      <c r="K4458" s="3" t="s">
        <v>222</v>
      </c>
    </row>
    <row r="4459" ht="15.6" spans="4:11">
      <c r="D4459" s="3">
        <v>4520</v>
      </c>
      <c r="E4459" s="3" t="s">
        <v>222</v>
      </c>
      <c r="J4459" s="3" t="s">
        <v>4701</v>
      </c>
      <c r="K4459" s="3" t="s">
        <v>222</v>
      </c>
    </row>
    <row r="4460" ht="15.6" spans="4:11">
      <c r="D4460" s="3">
        <v>4521</v>
      </c>
      <c r="E4460" s="3" t="s">
        <v>222</v>
      </c>
      <c r="J4460" s="3" t="s">
        <v>4702</v>
      </c>
      <c r="K4460" s="3" t="s">
        <v>222</v>
      </c>
    </row>
    <row r="4461" ht="15.6" spans="4:11">
      <c r="D4461" s="3">
        <v>4522</v>
      </c>
      <c r="E4461" s="3" t="s">
        <v>222</v>
      </c>
      <c r="J4461" s="3" t="s">
        <v>4703</v>
      </c>
      <c r="K4461" s="3" t="s">
        <v>222</v>
      </c>
    </row>
    <row r="4462" ht="15.6" spans="4:11">
      <c r="D4462" s="3">
        <v>4523</v>
      </c>
      <c r="E4462" s="3" t="s">
        <v>222</v>
      </c>
      <c r="J4462" s="3" t="s">
        <v>4704</v>
      </c>
      <c r="K4462" s="3" t="s">
        <v>222</v>
      </c>
    </row>
    <row r="4463" ht="15.6" spans="4:11">
      <c r="D4463" s="3">
        <v>4524</v>
      </c>
      <c r="E4463" s="3" t="s">
        <v>222</v>
      </c>
      <c r="J4463" s="3" t="s">
        <v>4705</v>
      </c>
      <c r="K4463" s="3" t="s">
        <v>222</v>
      </c>
    </row>
    <row r="4464" ht="15.6" spans="4:11">
      <c r="D4464" s="3">
        <v>4525</v>
      </c>
      <c r="E4464" s="3" t="s">
        <v>222</v>
      </c>
      <c r="J4464" s="3" t="s">
        <v>4706</v>
      </c>
      <c r="K4464" s="3" t="s">
        <v>222</v>
      </c>
    </row>
    <row r="4465" ht="15.6" spans="4:11">
      <c r="D4465" s="3">
        <v>4526</v>
      </c>
      <c r="E4465" s="3" t="s">
        <v>222</v>
      </c>
      <c r="J4465" s="3" t="s">
        <v>4707</v>
      </c>
      <c r="K4465" s="3" t="s">
        <v>222</v>
      </c>
    </row>
    <row r="4466" ht="15.6" spans="4:11">
      <c r="D4466" s="3">
        <v>4527</v>
      </c>
      <c r="E4466" s="3" t="s">
        <v>222</v>
      </c>
      <c r="J4466" s="3" t="s">
        <v>4708</v>
      </c>
      <c r="K4466" s="3" t="s">
        <v>222</v>
      </c>
    </row>
    <row r="4467" ht="15.6" spans="4:11">
      <c r="D4467" s="3">
        <v>4528</v>
      </c>
      <c r="E4467" s="3" t="s">
        <v>222</v>
      </c>
      <c r="J4467" s="3" t="s">
        <v>4709</v>
      </c>
      <c r="K4467" s="3" t="s">
        <v>222</v>
      </c>
    </row>
    <row r="4468" ht="15.6" spans="4:11">
      <c r="D4468" s="3">
        <v>4529</v>
      </c>
      <c r="E4468" s="3" t="s">
        <v>222</v>
      </c>
      <c r="J4468" s="3" t="s">
        <v>4710</v>
      </c>
      <c r="K4468" s="3" t="s">
        <v>222</v>
      </c>
    </row>
    <row r="4469" ht="15.6" spans="4:11">
      <c r="D4469" s="3">
        <v>4530</v>
      </c>
      <c r="E4469" s="3" t="s">
        <v>222</v>
      </c>
      <c r="J4469" s="3" t="s">
        <v>4711</v>
      </c>
      <c r="K4469" s="3" t="s">
        <v>222</v>
      </c>
    </row>
    <row r="4470" ht="15.6" spans="4:11">
      <c r="D4470" s="3">
        <v>4531</v>
      </c>
      <c r="E4470" s="3" t="s">
        <v>222</v>
      </c>
      <c r="J4470" s="3" t="s">
        <v>4712</v>
      </c>
      <c r="K4470" s="3" t="s">
        <v>222</v>
      </c>
    </row>
    <row r="4471" ht="15.6" spans="4:11">
      <c r="D4471" s="3">
        <v>4532</v>
      </c>
      <c r="E4471" s="3" t="s">
        <v>222</v>
      </c>
      <c r="J4471" s="3" t="s">
        <v>4713</v>
      </c>
      <c r="K4471" s="3" t="s">
        <v>222</v>
      </c>
    </row>
    <row r="4472" ht="15.6" spans="4:11">
      <c r="D4472" s="3">
        <v>4533</v>
      </c>
      <c r="E4472" s="3" t="s">
        <v>222</v>
      </c>
      <c r="J4472" s="3" t="s">
        <v>4714</v>
      </c>
      <c r="K4472" s="3" t="s">
        <v>222</v>
      </c>
    </row>
    <row r="4473" ht="15.6" spans="4:11">
      <c r="D4473" s="3">
        <v>4534</v>
      </c>
      <c r="E4473" s="3" t="s">
        <v>222</v>
      </c>
      <c r="J4473" s="3" t="s">
        <v>4715</v>
      </c>
      <c r="K4473" s="3" t="s">
        <v>222</v>
      </c>
    </row>
    <row r="4474" ht="15.6" spans="4:11">
      <c r="D4474" s="3">
        <v>4535</v>
      </c>
      <c r="E4474" s="3" t="s">
        <v>222</v>
      </c>
      <c r="J4474" s="3" t="s">
        <v>4716</v>
      </c>
      <c r="K4474" s="3" t="s">
        <v>222</v>
      </c>
    </row>
    <row r="4475" ht="15.6" spans="4:11">
      <c r="D4475" s="3">
        <v>4536</v>
      </c>
      <c r="E4475" s="3" t="s">
        <v>222</v>
      </c>
      <c r="J4475" s="3" t="s">
        <v>4717</v>
      </c>
      <c r="K4475" s="3" t="s">
        <v>222</v>
      </c>
    </row>
    <row r="4476" ht="15.6" spans="4:11">
      <c r="D4476" s="3">
        <v>4537</v>
      </c>
      <c r="E4476" s="3" t="s">
        <v>222</v>
      </c>
      <c r="J4476" s="3" t="s">
        <v>4718</v>
      </c>
      <c r="K4476" s="3" t="s">
        <v>222</v>
      </c>
    </row>
    <row r="4477" ht="15.6" spans="4:11">
      <c r="D4477" s="3">
        <v>4538</v>
      </c>
      <c r="E4477" s="3" t="s">
        <v>222</v>
      </c>
      <c r="J4477" s="3" t="s">
        <v>4719</v>
      </c>
      <c r="K4477" s="3" t="s">
        <v>222</v>
      </c>
    </row>
    <row r="4478" ht="15.6" spans="4:11">
      <c r="D4478" s="3">
        <v>4539</v>
      </c>
      <c r="E4478" s="3" t="s">
        <v>222</v>
      </c>
      <c r="J4478" s="3" t="s">
        <v>4720</v>
      </c>
      <c r="K4478" s="3" t="s">
        <v>222</v>
      </c>
    </row>
    <row r="4479" ht="15.6" spans="4:11">
      <c r="D4479" s="3">
        <v>4540</v>
      </c>
      <c r="E4479" s="3" t="s">
        <v>222</v>
      </c>
      <c r="J4479" s="3" t="s">
        <v>4721</v>
      </c>
      <c r="K4479" s="3" t="s">
        <v>222</v>
      </c>
    </row>
    <row r="4480" ht="15.6" spans="4:11">
      <c r="D4480" s="3">
        <v>4541</v>
      </c>
      <c r="E4480" s="3" t="s">
        <v>222</v>
      </c>
      <c r="J4480" s="3" t="s">
        <v>4722</v>
      </c>
      <c r="K4480" s="3" t="s">
        <v>222</v>
      </c>
    </row>
    <row r="4481" ht="15.6" spans="4:11">
      <c r="D4481" s="3">
        <v>4542</v>
      </c>
      <c r="E4481" s="3" t="s">
        <v>222</v>
      </c>
      <c r="J4481" s="3" t="s">
        <v>4723</v>
      </c>
      <c r="K4481" s="3" t="s">
        <v>222</v>
      </c>
    </row>
    <row r="4482" ht="15.6" spans="4:11">
      <c r="D4482" s="3">
        <v>4543</v>
      </c>
      <c r="E4482" s="3" t="s">
        <v>222</v>
      </c>
      <c r="J4482" s="3" t="s">
        <v>4724</v>
      </c>
      <c r="K4482" s="3" t="s">
        <v>222</v>
      </c>
    </row>
    <row r="4483" ht="15.6" spans="4:11">
      <c r="D4483" s="3">
        <v>4544</v>
      </c>
      <c r="E4483" s="3" t="s">
        <v>222</v>
      </c>
      <c r="J4483" s="3" t="s">
        <v>4725</v>
      </c>
      <c r="K4483" s="3" t="s">
        <v>222</v>
      </c>
    </row>
    <row r="4484" ht="15.6" spans="4:11">
      <c r="D4484" s="3">
        <v>4545</v>
      </c>
      <c r="E4484" s="3" t="s">
        <v>222</v>
      </c>
      <c r="J4484" s="3" t="s">
        <v>4726</v>
      </c>
      <c r="K4484" s="3" t="s">
        <v>222</v>
      </c>
    </row>
    <row r="4485" ht="15.6" spans="4:11">
      <c r="D4485" s="3">
        <v>4546</v>
      </c>
      <c r="E4485" s="3" t="s">
        <v>222</v>
      </c>
      <c r="J4485" s="3" t="s">
        <v>4727</v>
      </c>
      <c r="K4485" s="3" t="s">
        <v>222</v>
      </c>
    </row>
    <row r="4486" ht="15.6" spans="4:11">
      <c r="D4486" s="3">
        <v>4547</v>
      </c>
      <c r="E4486" s="3" t="s">
        <v>222</v>
      </c>
      <c r="J4486" s="3" t="s">
        <v>4728</v>
      </c>
      <c r="K4486" s="3" t="s">
        <v>222</v>
      </c>
    </row>
    <row r="4487" ht="15.6" spans="4:11">
      <c r="D4487" s="3">
        <v>4548</v>
      </c>
      <c r="E4487" s="3" t="s">
        <v>222</v>
      </c>
      <c r="J4487" s="3" t="s">
        <v>4729</v>
      </c>
      <c r="K4487" s="3" t="s">
        <v>222</v>
      </c>
    </row>
    <row r="4488" ht="15.6" spans="4:11">
      <c r="D4488" s="3">
        <v>4549</v>
      </c>
      <c r="E4488" s="3" t="s">
        <v>222</v>
      </c>
      <c r="J4488" s="3" t="s">
        <v>4730</v>
      </c>
      <c r="K4488" s="3" t="s">
        <v>222</v>
      </c>
    </row>
    <row r="4489" ht="15.6" spans="4:11">
      <c r="D4489" s="3">
        <v>4550</v>
      </c>
      <c r="E4489" s="3" t="s">
        <v>222</v>
      </c>
      <c r="J4489" s="3" t="s">
        <v>4731</v>
      </c>
      <c r="K4489" s="3" t="s">
        <v>222</v>
      </c>
    </row>
    <row r="4490" ht="15.6" spans="4:11">
      <c r="D4490" s="3">
        <v>4551</v>
      </c>
      <c r="E4490" s="3" t="s">
        <v>222</v>
      </c>
      <c r="J4490" s="3" t="s">
        <v>4732</v>
      </c>
      <c r="K4490" s="3" t="s">
        <v>222</v>
      </c>
    </row>
    <row r="4491" ht="15.6" spans="4:11">
      <c r="D4491" s="3">
        <v>4552</v>
      </c>
      <c r="E4491" s="3" t="s">
        <v>222</v>
      </c>
      <c r="J4491" s="3" t="s">
        <v>4733</v>
      </c>
      <c r="K4491" s="3" t="s">
        <v>222</v>
      </c>
    </row>
    <row r="4492" ht="15.6" spans="4:11">
      <c r="D4492" s="3">
        <v>4553</v>
      </c>
      <c r="E4492" s="3" t="s">
        <v>222</v>
      </c>
      <c r="J4492" s="3" t="s">
        <v>4734</v>
      </c>
      <c r="K4492" s="3" t="s">
        <v>222</v>
      </c>
    </row>
    <row r="4493" ht="15.6" spans="4:11">
      <c r="D4493" s="3">
        <v>4554</v>
      </c>
      <c r="E4493" s="3" t="s">
        <v>222</v>
      </c>
      <c r="J4493" s="3" t="s">
        <v>4735</v>
      </c>
      <c r="K4493" s="3" t="s">
        <v>222</v>
      </c>
    </row>
    <row r="4494" ht="15.6" spans="4:11">
      <c r="D4494" s="3">
        <v>4555</v>
      </c>
      <c r="E4494" s="3" t="s">
        <v>222</v>
      </c>
      <c r="J4494" s="3" t="s">
        <v>4736</v>
      </c>
      <c r="K4494" s="3" t="s">
        <v>222</v>
      </c>
    </row>
    <row r="4495" ht="15.6" spans="4:11">
      <c r="D4495" s="3">
        <v>4556</v>
      </c>
      <c r="E4495" s="3" t="s">
        <v>222</v>
      </c>
      <c r="J4495" s="3" t="s">
        <v>4737</v>
      </c>
      <c r="K4495" s="3" t="s">
        <v>222</v>
      </c>
    </row>
    <row r="4496" ht="15.6" spans="4:11">
      <c r="D4496" s="3">
        <v>4557</v>
      </c>
      <c r="E4496" s="3" t="s">
        <v>222</v>
      </c>
      <c r="J4496" s="3" t="s">
        <v>4738</v>
      </c>
      <c r="K4496" s="3" t="s">
        <v>222</v>
      </c>
    </row>
    <row r="4497" ht="15.6" spans="4:11">
      <c r="D4497" s="3">
        <v>4558</v>
      </c>
      <c r="E4497" s="3" t="s">
        <v>222</v>
      </c>
      <c r="J4497" s="3" t="s">
        <v>4739</v>
      </c>
      <c r="K4497" s="3" t="s">
        <v>222</v>
      </c>
    </row>
    <row r="4498" ht="15.6" spans="4:11">
      <c r="D4498" s="3">
        <v>4559</v>
      </c>
      <c r="E4498" s="3" t="s">
        <v>222</v>
      </c>
      <c r="J4498" s="3" t="s">
        <v>4740</v>
      </c>
      <c r="K4498" s="3" t="s">
        <v>222</v>
      </c>
    </row>
    <row r="4499" ht="15.6" spans="4:11">
      <c r="D4499" s="3">
        <v>4560</v>
      </c>
      <c r="E4499" s="3" t="s">
        <v>222</v>
      </c>
      <c r="J4499" s="3" t="s">
        <v>4741</v>
      </c>
      <c r="K4499" s="3" t="s">
        <v>222</v>
      </c>
    </row>
    <row r="4500" ht="15.6" spans="4:11">
      <c r="D4500" s="3">
        <v>4561</v>
      </c>
      <c r="E4500" s="3" t="s">
        <v>222</v>
      </c>
      <c r="J4500" s="3" t="s">
        <v>4742</v>
      </c>
      <c r="K4500" s="3" t="s">
        <v>222</v>
      </c>
    </row>
    <row r="4501" ht="15.6" spans="4:11">
      <c r="D4501" s="3">
        <v>4562</v>
      </c>
      <c r="E4501" s="3" t="s">
        <v>222</v>
      </c>
      <c r="J4501" s="3" t="s">
        <v>4743</v>
      </c>
      <c r="K4501" s="3" t="s">
        <v>222</v>
      </c>
    </row>
    <row r="4502" ht="15.6" spans="4:11">
      <c r="D4502" s="3">
        <v>4563</v>
      </c>
      <c r="E4502" s="3" t="s">
        <v>222</v>
      </c>
      <c r="J4502" s="3" t="s">
        <v>4744</v>
      </c>
      <c r="K4502" s="3" t="s">
        <v>222</v>
      </c>
    </row>
    <row r="4503" ht="15.6" spans="4:11">
      <c r="D4503" s="3">
        <v>4564</v>
      </c>
      <c r="E4503" s="3" t="s">
        <v>222</v>
      </c>
      <c r="J4503" s="3" t="s">
        <v>4745</v>
      </c>
      <c r="K4503" s="3" t="s">
        <v>222</v>
      </c>
    </row>
    <row r="4504" ht="15.6" spans="4:11">
      <c r="D4504" s="3">
        <v>4565</v>
      </c>
      <c r="E4504" s="3" t="s">
        <v>222</v>
      </c>
      <c r="J4504" s="3" t="s">
        <v>4746</v>
      </c>
      <c r="K4504" s="3" t="s">
        <v>222</v>
      </c>
    </row>
    <row r="4505" ht="15.6" spans="4:11">
      <c r="D4505" s="3">
        <v>4566</v>
      </c>
      <c r="E4505" s="3" t="s">
        <v>222</v>
      </c>
      <c r="J4505" s="3" t="s">
        <v>4747</v>
      </c>
      <c r="K4505" s="3" t="s">
        <v>222</v>
      </c>
    </row>
    <row r="4506" ht="15.6" spans="4:11">
      <c r="D4506" s="3">
        <v>4567</v>
      </c>
      <c r="E4506" s="3" t="s">
        <v>222</v>
      </c>
      <c r="J4506" s="3" t="s">
        <v>4748</v>
      </c>
      <c r="K4506" s="3" t="s">
        <v>222</v>
      </c>
    </row>
    <row r="4507" ht="15.6" spans="4:11">
      <c r="D4507" s="3">
        <v>4568</v>
      </c>
      <c r="E4507" s="3" t="s">
        <v>222</v>
      </c>
      <c r="J4507" s="3" t="s">
        <v>4749</v>
      </c>
      <c r="K4507" s="3" t="s">
        <v>222</v>
      </c>
    </row>
    <row r="4508" ht="15.6" spans="4:11">
      <c r="D4508" s="3">
        <v>4569</v>
      </c>
      <c r="E4508" s="3" t="s">
        <v>222</v>
      </c>
      <c r="J4508" s="3" t="s">
        <v>4750</v>
      </c>
      <c r="K4508" s="3" t="s">
        <v>222</v>
      </c>
    </row>
    <row r="4509" ht="15.6" spans="4:11">
      <c r="D4509" s="3">
        <v>4570</v>
      </c>
      <c r="E4509" s="3" t="s">
        <v>222</v>
      </c>
      <c r="J4509" s="3" t="s">
        <v>4751</v>
      </c>
      <c r="K4509" s="3" t="s">
        <v>222</v>
      </c>
    </row>
    <row r="4510" ht="15.6" spans="4:11">
      <c r="D4510" s="3">
        <v>4571</v>
      </c>
      <c r="E4510" s="3" t="s">
        <v>222</v>
      </c>
      <c r="J4510" s="3" t="s">
        <v>4752</v>
      </c>
      <c r="K4510" s="3" t="s">
        <v>222</v>
      </c>
    </row>
    <row r="4511" ht="15.6" spans="4:11">
      <c r="D4511" s="3">
        <v>4572</v>
      </c>
      <c r="E4511" s="3" t="s">
        <v>222</v>
      </c>
      <c r="J4511" s="3" t="s">
        <v>4753</v>
      </c>
      <c r="K4511" s="3" t="s">
        <v>222</v>
      </c>
    </row>
    <row r="4512" ht="15.6" spans="4:11">
      <c r="D4512" s="3">
        <v>4573</v>
      </c>
      <c r="E4512" s="3" t="s">
        <v>222</v>
      </c>
      <c r="J4512" s="3" t="s">
        <v>4754</v>
      </c>
      <c r="K4512" s="3" t="s">
        <v>222</v>
      </c>
    </row>
    <row r="4513" ht="15.6" spans="4:11">
      <c r="D4513" s="3">
        <v>4574</v>
      </c>
      <c r="E4513" s="3" t="s">
        <v>222</v>
      </c>
      <c r="J4513" s="3" t="s">
        <v>4755</v>
      </c>
      <c r="K4513" s="3" t="s">
        <v>222</v>
      </c>
    </row>
    <row r="4514" ht="15.6" spans="4:11">
      <c r="D4514" s="3">
        <v>4575</v>
      </c>
      <c r="E4514" s="3" t="s">
        <v>222</v>
      </c>
      <c r="J4514" s="3" t="s">
        <v>4756</v>
      </c>
      <c r="K4514" s="3" t="s">
        <v>222</v>
      </c>
    </row>
    <row r="4515" ht="15.6" spans="4:11">
      <c r="D4515" s="3">
        <v>4576</v>
      </c>
      <c r="E4515" s="3" t="s">
        <v>222</v>
      </c>
      <c r="J4515" s="3" t="s">
        <v>4757</v>
      </c>
      <c r="K4515" s="3" t="s">
        <v>222</v>
      </c>
    </row>
    <row r="4516" ht="15.6" spans="4:11">
      <c r="D4516" s="3">
        <v>4577</v>
      </c>
      <c r="E4516" s="3" t="s">
        <v>222</v>
      </c>
      <c r="J4516" s="3" t="s">
        <v>4758</v>
      </c>
      <c r="K4516" s="3" t="s">
        <v>222</v>
      </c>
    </row>
    <row r="4517" ht="15.6" spans="4:11">
      <c r="D4517" s="3">
        <v>4578</v>
      </c>
      <c r="E4517" s="3" t="s">
        <v>222</v>
      </c>
      <c r="J4517" s="3" t="s">
        <v>4759</v>
      </c>
      <c r="K4517" s="3" t="s">
        <v>222</v>
      </c>
    </row>
    <row r="4518" ht="15.6" spans="4:11">
      <c r="D4518" s="3">
        <v>4579</v>
      </c>
      <c r="E4518" s="3" t="s">
        <v>222</v>
      </c>
      <c r="J4518" s="3" t="s">
        <v>4760</v>
      </c>
      <c r="K4518" s="3" t="s">
        <v>222</v>
      </c>
    </row>
    <row r="4519" ht="15.6" spans="4:11">
      <c r="D4519" s="3">
        <v>5114</v>
      </c>
      <c r="E4519" s="3" t="s">
        <v>222</v>
      </c>
      <c r="J4519" s="3" t="s">
        <v>4761</v>
      </c>
      <c r="K4519" s="3" t="s">
        <v>222</v>
      </c>
    </row>
    <row r="4520" ht="15.6" spans="4:11">
      <c r="D4520" s="3">
        <v>5118</v>
      </c>
      <c r="E4520" s="3" t="s">
        <v>222</v>
      </c>
      <c r="J4520" s="3" t="s">
        <v>4762</v>
      </c>
      <c r="K4520" s="3" t="s">
        <v>222</v>
      </c>
    </row>
    <row r="4521" ht="15.6" spans="4:11">
      <c r="D4521" s="3">
        <v>5119</v>
      </c>
      <c r="E4521" s="3" t="s">
        <v>222</v>
      </c>
      <c r="J4521" s="3" t="s">
        <v>4763</v>
      </c>
      <c r="K4521" s="3" t="s">
        <v>222</v>
      </c>
    </row>
    <row r="4522" ht="15.6" spans="4:11">
      <c r="D4522" s="3">
        <v>5120</v>
      </c>
      <c r="E4522" s="3" t="s">
        <v>222</v>
      </c>
      <c r="J4522" s="3" t="s">
        <v>4764</v>
      </c>
      <c r="K4522" s="3" t="s">
        <v>222</v>
      </c>
    </row>
    <row r="4523" ht="15.6" spans="4:11">
      <c r="D4523" s="3">
        <v>5121</v>
      </c>
      <c r="E4523" s="3" t="s">
        <v>222</v>
      </c>
      <c r="J4523" s="3" t="s">
        <v>4765</v>
      </c>
      <c r="K4523" s="3" t="s">
        <v>222</v>
      </c>
    </row>
    <row r="4524" ht="15.6" spans="4:11">
      <c r="D4524" s="3">
        <v>5122</v>
      </c>
      <c r="E4524" s="3" t="s">
        <v>222</v>
      </c>
      <c r="J4524" s="3" t="s">
        <v>4766</v>
      </c>
      <c r="K4524" s="3" t="s">
        <v>222</v>
      </c>
    </row>
    <row r="4525" ht="15.6" spans="4:11">
      <c r="D4525" s="3">
        <v>5123</v>
      </c>
      <c r="E4525" s="3" t="s">
        <v>222</v>
      </c>
      <c r="J4525" s="3" t="s">
        <v>4767</v>
      </c>
      <c r="K4525" s="3" t="s">
        <v>222</v>
      </c>
    </row>
    <row r="4526" ht="15.6" spans="4:11">
      <c r="D4526" s="3">
        <v>5124</v>
      </c>
      <c r="E4526" s="3" t="s">
        <v>222</v>
      </c>
      <c r="J4526" s="3" t="s">
        <v>4768</v>
      </c>
      <c r="K4526" s="3" t="s">
        <v>222</v>
      </c>
    </row>
    <row r="4527" ht="15.6" spans="4:11">
      <c r="D4527" s="3">
        <v>5131</v>
      </c>
      <c r="E4527" s="3" t="s">
        <v>222</v>
      </c>
      <c r="J4527" s="3" t="s">
        <v>4769</v>
      </c>
      <c r="K4527" s="3" t="s">
        <v>222</v>
      </c>
    </row>
    <row r="4528" ht="15.6" spans="4:11">
      <c r="D4528" s="3">
        <v>5132</v>
      </c>
      <c r="E4528" s="3" t="s">
        <v>222</v>
      </c>
      <c r="J4528" s="3" t="s">
        <v>4770</v>
      </c>
      <c r="K4528" s="3" t="s">
        <v>222</v>
      </c>
    </row>
    <row r="4529" ht="15.6" spans="4:11">
      <c r="D4529" s="3">
        <v>5133</v>
      </c>
      <c r="E4529" s="3" t="s">
        <v>222</v>
      </c>
      <c r="J4529" s="3" t="s">
        <v>4771</v>
      </c>
      <c r="K4529" s="3" t="s">
        <v>222</v>
      </c>
    </row>
    <row r="4530" ht="15.6" spans="4:11">
      <c r="D4530" s="3">
        <v>5134</v>
      </c>
      <c r="E4530" s="3" t="s">
        <v>222</v>
      </c>
      <c r="J4530" s="3" t="s">
        <v>4772</v>
      </c>
      <c r="K4530" s="3" t="s">
        <v>222</v>
      </c>
    </row>
    <row r="4531" ht="15.6" spans="4:11">
      <c r="D4531" s="3">
        <v>5135</v>
      </c>
      <c r="E4531" s="3" t="s">
        <v>222</v>
      </c>
      <c r="J4531" s="3" t="s">
        <v>4773</v>
      </c>
      <c r="K4531" s="3" t="s">
        <v>222</v>
      </c>
    </row>
    <row r="4532" ht="15.6" spans="4:11">
      <c r="D4532" s="3">
        <v>5136</v>
      </c>
      <c r="E4532" s="3" t="s">
        <v>222</v>
      </c>
      <c r="J4532" s="3" t="s">
        <v>4774</v>
      </c>
      <c r="K4532" s="3" t="s">
        <v>222</v>
      </c>
    </row>
    <row r="4533" ht="15.6" spans="4:11">
      <c r="D4533" s="3">
        <v>5137</v>
      </c>
      <c r="E4533" s="3" t="s">
        <v>222</v>
      </c>
      <c r="J4533" s="3" t="s">
        <v>4775</v>
      </c>
      <c r="K4533" s="3" t="s">
        <v>222</v>
      </c>
    </row>
    <row r="4534" ht="15.6" spans="4:11">
      <c r="D4534" s="3">
        <v>5138</v>
      </c>
      <c r="E4534" s="3" t="s">
        <v>222</v>
      </c>
      <c r="J4534" s="3" t="s">
        <v>4776</v>
      </c>
      <c r="K4534" s="3" t="s">
        <v>222</v>
      </c>
    </row>
    <row r="4535" ht="15.6" spans="4:11">
      <c r="D4535" s="3">
        <v>5139</v>
      </c>
      <c r="E4535" s="3" t="s">
        <v>222</v>
      </c>
      <c r="J4535" s="3" t="s">
        <v>4777</v>
      </c>
      <c r="K4535" s="3" t="s">
        <v>222</v>
      </c>
    </row>
    <row r="4536" ht="15.6" spans="4:11">
      <c r="D4536" s="3">
        <v>5140</v>
      </c>
      <c r="E4536" s="3" t="s">
        <v>222</v>
      </c>
      <c r="J4536" s="3" t="s">
        <v>4778</v>
      </c>
      <c r="K4536" s="3" t="s">
        <v>222</v>
      </c>
    </row>
    <row r="4537" ht="15.6" spans="4:11">
      <c r="D4537" s="3">
        <v>5141</v>
      </c>
      <c r="E4537" s="3" t="s">
        <v>222</v>
      </c>
      <c r="J4537" s="3" t="s">
        <v>4779</v>
      </c>
      <c r="K4537" s="3" t="s">
        <v>222</v>
      </c>
    </row>
    <row r="4538" ht="15.6" spans="4:11">
      <c r="D4538" s="3">
        <v>5142</v>
      </c>
      <c r="E4538" s="3" t="s">
        <v>222</v>
      </c>
      <c r="J4538" s="3" t="s">
        <v>4780</v>
      </c>
      <c r="K4538" s="3" t="s">
        <v>222</v>
      </c>
    </row>
    <row r="4539" ht="15.6" spans="4:11">
      <c r="D4539" s="3">
        <v>5143</v>
      </c>
      <c r="E4539" s="3" t="s">
        <v>222</v>
      </c>
      <c r="J4539" s="3" t="s">
        <v>4781</v>
      </c>
      <c r="K4539" s="3" t="s">
        <v>222</v>
      </c>
    </row>
    <row r="4540" ht="15.6" spans="4:11">
      <c r="D4540" s="3">
        <v>5144</v>
      </c>
      <c r="E4540" s="3" t="s">
        <v>222</v>
      </c>
      <c r="J4540" s="3" t="s">
        <v>4782</v>
      </c>
      <c r="K4540" s="3" t="s">
        <v>222</v>
      </c>
    </row>
    <row r="4541" ht="15.6" spans="4:11">
      <c r="D4541" s="3">
        <v>5145</v>
      </c>
      <c r="E4541" s="3" t="s">
        <v>222</v>
      </c>
      <c r="J4541" s="3" t="s">
        <v>4783</v>
      </c>
      <c r="K4541" s="3" t="s">
        <v>222</v>
      </c>
    </row>
    <row r="4542" ht="15.6" spans="4:11">
      <c r="D4542" s="3">
        <v>5146</v>
      </c>
      <c r="E4542" s="3" t="s">
        <v>222</v>
      </c>
      <c r="J4542" s="3" t="s">
        <v>4784</v>
      </c>
      <c r="K4542" s="3" t="s">
        <v>222</v>
      </c>
    </row>
    <row r="4543" ht="15.6" spans="4:11">
      <c r="D4543" s="3">
        <v>5147</v>
      </c>
      <c r="E4543" s="3" t="s">
        <v>222</v>
      </c>
      <c r="J4543" s="3" t="s">
        <v>4785</v>
      </c>
      <c r="K4543" s="3" t="s">
        <v>222</v>
      </c>
    </row>
    <row r="4544" ht="15.6" spans="4:11">
      <c r="D4544" s="3">
        <v>5148</v>
      </c>
      <c r="E4544" s="3" t="s">
        <v>222</v>
      </c>
      <c r="J4544" s="3" t="s">
        <v>4786</v>
      </c>
      <c r="K4544" s="3" t="s">
        <v>222</v>
      </c>
    </row>
    <row r="4545" ht="15.6" spans="4:11">
      <c r="D4545" s="3">
        <v>5149</v>
      </c>
      <c r="E4545" s="3" t="s">
        <v>222</v>
      </c>
      <c r="J4545" s="3" t="s">
        <v>4787</v>
      </c>
      <c r="K4545" s="3" t="s">
        <v>222</v>
      </c>
    </row>
    <row r="4546" ht="15.6" spans="4:11">
      <c r="D4546" s="3">
        <v>5150</v>
      </c>
      <c r="E4546" s="3" t="s">
        <v>222</v>
      </c>
      <c r="J4546" s="3" t="s">
        <v>4788</v>
      </c>
      <c r="K4546" s="3" t="s">
        <v>222</v>
      </c>
    </row>
    <row r="4547" ht="15.6" spans="4:11">
      <c r="D4547" s="3">
        <v>5151</v>
      </c>
      <c r="E4547" s="3" t="s">
        <v>222</v>
      </c>
      <c r="J4547" s="3" t="s">
        <v>4789</v>
      </c>
      <c r="K4547" s="3" t="s">
        <v>222</v>
      </c>
    </row>
    <row r="4548" ht="15.6" spans="4:11">
      <c r="D4548" s="3">
        <v>5152</v>
      </c>
      <c r="E4548" s="3" t="s">
        <v>222</v>
      </c>
      <c r="J4548" s="3" t="s">
        <v>4790</v>
      </c>
      <c r="K4548" s="3" t="s">
        <v>222</v>
      </c>
    </row>
    <row r="4549" ht="15.6" spans="4:11">
      <c r="D4549" s="3">
        <v>5153</v>
      </c>
      <c r="E4549" s="3" t="s">
        <v>222</v>
      </c>
      <c r="J4549" s="3" t="s">
        <v>4791</v>
      </c>
      <c r="K4549" s="3" t="s">
        <v>222</v>
      </c>
    </row>
    <row r="4550" ht="15.6" spans="4:11">
      <c r="D4550" s="3">
        <v>5154</v>
      </c>
      <c r="E4550" s="3" t="s">
        <v>222</v>
      </c>
      <c r="J4550" s="3" t="s">
        <v>4792</v>
      </c>
      <c r="K4550" s="3" t="s">
        <v>222</v>
      </c>
    </row>
    <row r="4551" ht="15.6" spans="4:11">
      <c r="D4551" s="3">
        <v>5155</v>
      </c>
      <c r="E4551" s="3" t="s">
        <v>222</v>
      </c>
      <c r="J4551" s="3" t="s">
        <v>4793</v>
      </c>
      <c r="K4551" s="3" t="s">
        <v>222</v>
      </c>
    </row>
    <row r="4552" ht="15.6" spans="4:11">
      <c r="D4552" s="3">
        <v>5156</v>
      </c>
      <c r="E4552" s="3" t="s">
        <v>222</v>
      </c>
      <c r="J4552" s="3" t="s">
        <v>4794</v>
      </c>
      <c r="K4552" s="3" t="s">
        <v>222</v>
      </c>
    </row>
    <row r="4553" ht="15.6" spans="4:11">
      <c r="D4553" s="3">
        <v>5157</v>
      </c>
      <c r="E4553" s="3" t="s">
        <v>222</v>
      </c>
      <c r="J4553" s="3" t="s">
        <v>4795</v>
      </c>
      <c r="K4553" s="3" t="s">
        <v>222</v>
      </c>
    </row>
    <row r="4554" ht="15.6" spans="4:11">
      <c r="D4554" s="3">
        <v>5170</v>
      </c>
      <c r="E4554" s="3" t="s">
        <v>222</v>
      </c>
      <c r="J4554" s="3" t="s">
        <v>4796</v>
      </c>
      <c r="K4554" s="3" t="s">
        <v>222</v>
      </c>
    </row>
    <row r="4555" ht="15.6" spans="4:11">
      <c r="D4555" s="3">
        <v>5171</v>
      </c>
      <c r="E4555" s="3" t="s">
        <v>222</v>
      </c>
      <c r="J4555" s="3" t="s">
        <v>4797</v>
      </c>
      <c r="K4555" s="3" t="s">
        <v>222</v>
      </c>
    </row>
    <row r="4556" ht="15.6" spans="4:11">
      <c r="D4556" s="3">
        <v>5172</v>
      </c>
      <c r="E4556" s="3" t="s">
        <v>222</v>
      </c>
      <c r="J4556" s="3" t="s">
        <v>4798</v>
      </c>
      <c r="K4556" s="3" t="s">
        <v>222</v>
      </c>
    </row>
    <row r="4557" ht="15.6" spans="4:11">
      <c r="D4557" s="3">
        <v>5173</v>
      </c>
      <c r="E4557" s="3" t="s">
        <v>222</v>
      </c>
      <c r="J4557" s="3" t="s">
        <v>4799</v>
      </c>
      <c r="K4557" s="3" t="s">
        <v>222</v>
      </c>
    </row>
    <row r="4558" ht="15.6" spans="4:11">
      <c r="D4558" s="3">
        <v>5174</v>
      </c>
      <c r="E4558" s="3" t="s">
        <v>222</v>
      </c>
      <c r="J4558" s="3" t="s">
        <v>4800</v>
      </c>
      <c r="K4558" s="3" t="s">
        <v>222</v>
      </c>
    </row>
    <row r="4559" ht="15.6" spans="4:11">
      <c r="D4559" s="3">
        <v>5175</v>
      </c>
      <c r="E4559" s="3" t="s">
        <v>222</v>
      </c>
      <c r="J4559" s="3" t="s">
        <v>4801</v>
      </c>
      <c r="K4559" s="3" t="s">
        <v>222</v>
      </c>
    </row>
    <row r="4560" ht="15.6" spans="4:11">
      <c r="D4560" s="3">
        <v>5176</v>
      </c>
      <c r="E4560" s="3" t="s">
        <v>222</v>
      </c>
      <c r="J4560" s="3" t="s">
        <v>4802</v>
      </c>
      <c r="K4560" s="3" t="s">
        <v>222</v>
      </c>
    </row>
    <row r="4561" ht="15.6" spans="4:11">
      <c r="D4561" s="3">
        <v>5177</v>
      </c>
      <c r="E4561" s="3" t="s">
        <v>222</v>
      </c>
      <c r="J4561" s="3" t="s">
        <v>4803</v>
      </c>
      <c r="K4561" s="3" t="s">
        <v>222</v>
      </c>
    </row>
    <row r="4562" ht="15.6" spans="4:11">
      <c r="D4562" s="3">
        <v>5178</v>
      </c>
      <c r="E4562" s="3" t="s">
        <v>222</v>
      </c>
      <c r="J4562" s="3" t="s">
        <v>4804</v>
      </c>
      <c r="K4562" s="3" t="s">
        <v>222</v>
      </c>
    </row>
    <row r="4563" ht="15.6" spans="4:11">
      <c r="D4563" s="3">
        <v>5179</v>
      </c>
      <c r="E4563" s="3" t="s">
        <v>222</v>
      </c>
      <c r="J4563" s="3" t="s">
        <v>4805</v>
      </c>
      <c r="K4563" s="3" t="s">
        <v>222</v>
      </c>
    </row>
    <row r="4564" ht="15.6" spans="4:11">
      <c r="D4564" s="3">
        <v>5180</v>
      </c>
      <c r="E4564" s="3" t="s">
        <v>222</v>
      </c>
      <c r="J4564" s="3" t="s">
        <v>4806</v>
      </c>
      <c r="K4564" s="3" t="s">
        <v>222</v>
      </c>
    </row>
    <row r="4565" ht="15.6" spans="4:11">
      <c r="D4565" s="3">
        <v>5181</v>
      </c>
      <c r="E4565" s="3" t="s">
        <v>222</v>
      </c>
      <c r="J4565" s="3" t="s">
        <v>4807</v>
      </c>
      <c r="K4565" s="3" t="s">
        <v>222</v>
      </c>
    </row>
    <row r="4566" ht="15.6" spans="4:11">
      <c r="D4566" s="3">
        <v>5182</v>
      </c>
      <c r="E4566" s="3" t="s">
        <v>222</v>
      </c>
      <c r="J4566" s="3" t="s">
        <v>4808</v>
      </c>
      <c r="K4566" s="3" t="s">
        <v>222</v>
      </c>
    </row>
    <row r="4567" ht="15.6" spans="4:11">
      <c r="D4567" s="3">
        <v>5183</v>
      </c>
      <c r="E4567" s="3" t="s">
        <v>222</v>
      </c>
      <c r="J4567" s="3" t="s">
        <v>4809</v>
      </c>
      <c r="K4567" s="3" t="s">
        <v>222</v>
      </c>
    </row>
    <row r="4568" ht="15.6" spans="4:11">
      <c r="D4568" s="3">
        <v>5184</v>
      </c>
      <c r="E4568" s="3" t="s">
        <v>222</v>
      </c>
      <c r="J4568" s="3" t="s">
        <v>4810</v>
      </c>
      <c r="K4568" s="3" t="s">
        <v>222</v>
      </c>
    </row>
    <row r="4569" ht="15.6" spans="4:11">
      <c r="D4569" s="3">
        <v>5185</v>
      </c>
      <c r="E4569" s="3" t="s">
        <v>222</v>
      </c>
      <c r="J4569" s="3" t="s">
        <v>4811</v>
      </c>
      <c r="K4569" s="3" t="s">
        <v>222</v>
      </c>
    </row>
    <row r="4570" ht="15.6" spans="4:11">
      <c r="D4570" s="3">
        <v>5186</v>
      </c>
      <c r="E4570" s="3" t="s">
        <v>222</v>
      </c>
      <c r="J4570" s="3" t="s">
        <v>4812</v>
      </c>
      <c r="K4570" s="3" t="s">
        <v>222</v>
      </c>
    </row>
    <row r="4571" ht="15.6" spans="4:11">
      <c r="D4571" s="3">
        <v>5187</v>
      </c>
      <c r="E4571" s="3" t="s">
        <v>222</v>
      </c>
      <c r="J4571" s="3" t="s">
        <v>4813</v>
      </c>
      <c r="K4571" s="3" t="s">
        <v>222</v>
      </c>
    </row>
    <row r="4572" ht="15.6" spans="4:11">
      <c r="D4572" s="3">
        <v>5188</v>
      </c>
      <c r="E4572" s="3" t="s">
        <v>222</v>
      </c>
      <c r="J4572" s="3" t="s">
        <v>4814</v>
      </c>
      <c r="K4572" s="3" t="s">
        <v>222</v>
      </c>
    </row>
    <row r="4573" ht="15.6" spans="4:11">
      <c r="D4573" s="3">
        <v>5189</v>
      </c>
      <c r="E4573" s="3" t="s">
        <v>222</v>
      </c>
      <c r="J4573" s="3" t="s">
        <v>4815</v>
      </c>
      <c r="K4573" s="3" t="s">
        <v>222</v>
      </c>
    </row>
    <row r="4574" ht="15.6" spans="4:11">
      <c r="D4574" s="3">
        <v>5190</v>
      </c>
      <c r="E4574" s="3" t="s">
        <v>222</v>
      </c>
      <c r="J4574" s="3" t="s">
        <v>4816</v>
      </c>
      <c r="K4574" s="3" t="s">
        <v>222</v>
      </c>
    </row>
    <row r="4575" ht="15.6" spans="4:11">
      <c r="D4575" s="3">
        <v>5191</v>
      </c>
      <c r="E4575" s="3" t="s">
        <v>222</v>
      </c>
      <c r="J4575" s="3" t="s">
        <v>4817</v>
      </c>
      <c r="K4575" s="3" t="s">
        <v>222</v>
      </c>
    </row>
    <row r="4576" ht="15.6" spans="4:11">
      <c r="D4576" s="3">
        <v>5192</v>
      </c>
      <c r="E4576" s="3" t="s">
        <v>222</v>
      </c>
      <c r="J4576" s="3" t="s">
        <v>4818</v>
      </c>
      <c r="K4576" s="3" t="s">
        <v>222</v>
      </c>
    </row>
    <row r="4577" ht="15.6" spans="4:11">
      <c r="D4577" s="3">
        <v>5193</v>
      </c>
      <c r="E4577" s="3" t="s">
        <v>222</v>
      </c>
      <c r="J4577" s="3" t="s">
        <v>4819</v>
      </c>
      <c r="K4577" s="3" t="s">
        <v>222</v>
      </c>
    </row>
    <row r="4578" ht="15.6" spans="4:11">
      <c r="D4578" s="3">
        <v>5194</v>
      </c>
      <c r="E4578" s="3" t="s">
        <v>222</v>
      </c>
      <c r="J4578" s="3" t="s">
        <v>4820</v>
      </c>
      <c r="K4578" s="3" t="s">
        <v>222</v>
      </c>
    </row>
    <row r="4579" ht="15.6" spans="4:11">
      <c r="D4579" s="3">
        <v>5195</v>
      </c>
      <c r="E4579" s="3" t="s">
        <v>222</v>
      </c>
      <c r="J4579" s="3" t="s">
        <v>4821</v>
      </c>
      <c r="K4579" s="3" t="s">
        <v>222</v>
      </c>
    </row>
    <row r="4580" ht="15.6" spans="4:11">
      <c r="D4580" s="3">
        <v>5196</v>
      </c>
      <c r="E4580" s="3" t="s">
        <v>222</v>
      </c>
      <c r="J4580" s="3" t="s">
        <v>4822</v>
      </c>
      <c r="K4580" s="3" t="s">
        <v>222</v>
      </c>
    </row>
    <row r="4581" ht="15.6" spans="4:11">
      <c r="D4581" s="3">
        <v>5197</v>
      </c>
      <c r="E4581" s="3" t="s">
        <v>222</v>
      </c>
      <c r="J4581" s="3" t="s">
        <v>4823</v>
      </c>
      <c r="K4581" s="3" t="s">
        <v>222</v>
      </c>
    </row>
    <row r="4582" ht="15.6" spans="4:11">
      <c r="D4582" s="3">
        <v>5198</v>
      </c>
      <c r="E4582" s="3" t="s">
        <v>222</v>
      </c>
      <c r="J4582" s="3" t="s">
        <v>4824</v>
      </c>
      <c r="K4582" s="3" t="s">
        <v>222</v>
      </c>
    </row>
    <row r="4583" ht="15.6" spans="4:11">
      <c r="D4583" s="3">
        <v>5199</v>
      </c>
      <c r="E4583" s="3" t="s">
        <v>222</v>
      </c>
      <c r="J4583" s="3" t="s">
        <v>4825</v>
      </c>
      <c r="K4583" s="3" t="s">
        <v>222</v>
      </c>
    </row>
    <row r="4584" ht="15.6" spans="4:11">
      <c r="D4584" s="3">
        <v>5200</v>
      </c>
      <c r="E4584" s="3" t="s">
        <v>222</v>
      </c>
      <c r="J4584" s="3" t="s">
        <v>4826</v>
      </c>
      <c r="K4584" s="3" t="s">
        <v>222</v>
      </c>
    </row>
    <row r="4585" ht="15.6" spans="4:11">
      <c r="D4585" s="3">
        <v>6031</v>
      </c>
      <c r="E4585" s="3" t="s">
        <v>222</v>
      </c>
      <c r="J4585" s="3" t="s">
        <v>4827</v>
      </c>
      <c r="K4585" s="3" t="s">
        <v>222</v>
      </c>
    </row>
    <row r="4586" ht="15.6" spans="4:11">
      <c r="D4586" s="3">
        <v>6032</v>
      </c>
      <c r="E4586" s="3" t="s">
        <v>222</v>
      </c>
      <c r="J4586" s="3" t="s">
        <v>4828</v>
      </c>
      <c r="K4586" s="3" t="s">
        <v>222</v>
      </c>
    </row>
    <row r="4587" ht="15.6" spans="4:11">
      <c r="D4587" s="3">
        <v>6033</v>
      </c>
      <c r="E4587" s="3" t="s">
        <v>222</v>
      </c>
      <c r="J4587" s="3" t="s">
        <v>4829</v>
      </c>
      <c r="K4587" s="3" t="s">
        <v>222</v>
      </c>
    </row>
    <row r="4588" ht="15.6" spans="4:11">
      <c r="D4588" s="3">
        <v>6034</v>
      </c>
      <c r="E4588" s="3" t="s">
        <v>222</v>
      </c>
      <c r="J4588" s="3" t="s">
        <v>4830</v>
      </c>
      <c r="K4588" s="3" t="s">
        <v>222</v>
      </c>
    </row>
    <row r="4589" ht="15.6" spans="4:11">
      <c r="D4589" s="3">
        <v>6035</v>
      </c>
      <c r="E4589" s="3" t="s">
        <v>222</v>
      </c>
      <c r="J4589" s="3" t="s">
        <v>4831</v>
      </c>
      <c r="K4589" s="3" t="s">
        <v>222</v>
      </c>
    </row>
    <row r="4590" ht="15.6" spans="4:11">
      <c r="D4590" s="3">
        <v>6037</v>
      </c>
      <c r="E4590" s="3" t="s">
        <v>222</v>
      </c>
      <c r="J4590" s="3" t="s">
        <v>4832</v>
      </c>
      <c r="K4590" s="3" t="s">
        <v>222</v>
      </c>
    </row>
    <row r="4591" ht="15.6" spans="4:11">
      <c r="D4591" s="3">
        <v>6038</v>
      </c>
      <c r="E4591" s="3" t="s">
        <v>222</v>
      </c>
      <c r="J4591" s="3" t="s">
        <v>4833</v>
      </c>
      <c r="K4591" s="3" t="s">
        <v>222</v>
      </c>
    </row>
    <row r="4592" ht="15.6" spans="4:11">
      <c r="D4592" s="3">
        <v>6039</v>
      </c>
      <c r="E4592" s="3" t="s">
        <v>222</v>
      </c>
      <c r="J4592" s="3" t="s">
        <v>4834</v>
      </c>
      <c r="K4592" s="3" t="s">
        <v>222</v>
      </c>
    </row>
    <row r="4593" ht="15.6" spans="4:11">
      <c r="D4593" s="3">
        <v>6040</v>
      </c>
      <c r="E4593" s="3" t="s">
        <v>222</v>
      </c>
      <c r="J4593" s="3" t="s">
        <v>4835</v>
      </c>
      <c r="K4593" s="3" t="s">
        <v>222</v>
      </c>
    </row>
    <row r="4594" ht="15.6" spans="4:11">
      <c r="D4594" s="3">
        <v>6041</v>
      </c>
      <c r="E4594" s="3" t="s">
        <v>222</v>
      </c>
      <c r="J4594" s="3" t="s">
        <v>4836</v>
      </c>
      <c r="K4594" s="3" t="s">
        <v>222</v>
      </c>
    </row>
    <row r="4595" ht="15.6" spans="4:11">
      <c r="D4595" s="3">
        <v>6042</v>
      </c>
      <c r="E4595" s="3" t="s">
        <v>222</v>
      </c>
      <c r="J4595" s="3" t="s">
        <v>4837</v>
      </c>
      <c r="K4595" s="3" t="s">
        <v>222</v>
      </c>
    </row>
    <row r="4596" ht="15.6" spans="4:11">
      <c r="D4596" s="3">
        <v>6043</v>
      </c>
      <c r="E4596" s="3" t="s">
        <v>222</v>
      </c>
      <c r="J4596" s="3" t="s">
        <v>4838</v>
      </c>
      <c r="K4596" s="3" t="s">
        <v>222</v>
      </c>
    </row>
    <row r="4597" ht="15.6" spans="4:11">
      <c r="D4597" s="3">
        <v>6044</v>
      </c>
      <c r="E4597" s="3" t="s">
        <v>222</v>
      </c>
      <c r="J4597" s="3" t="s">
        <v>4839</v>
      </c>
      <c r="K4597" s="3" t="s">
        <v>222</v>
      </c>
    </row>
    <row r="4598" ht="15.6" spans="4:11">
      <c r="D4598" s="3">
        <v>6045</v>
      </c>
      <c r="E4598" s="3" t="s">
        <v>222</v>
      </c>
      <c r="J4598" s="3" t="s">
        <v>4840</v>
      </c>
      <c r="K4598" s="3" t="s">
        <v>222</v>
      </c>
    </row>
    <row r="4599" ht="15.6" spans="4:11">
      <c r="D4599" s="3">
        <v>6046</v>
      </c>
      <c r="E4599" s="3" t="s">
        <v>222</v>
      </c>
      <c r="J4599" s="3" t="s">
        <v>4841</v>
      </c>
      <c r="K4599" s="3" t="s">
        <v>222</v>
      </c>
    </row>
    <row r="4600" ht="15.6" spans="4:11">
      <c r="D4600" s="3">
        <v>6047</v>
      </c>
      <c r="E4600" s="3" t="s">
        <v>222</v>
      </c>
      <c r="J4600" s="3" t="s">
        <v>4842</v>
      </c>
      <c r="K4600" s="3" t="s">
        <v>222</v>
      </c>
    </row>
    <row r="4601" ht="15.6" spans="4:11">
      <c r="D4601" s="3">
        <v>6048</v>
      </c>
      <c r="E4601" s="3" t="s">
        <v>222</v>
      </c>
      <c r="J4601" s="3" t="s">
        <v>4843</v>
      </c>
      <c r="K4601" s="3" t="s">
        <v>222</v>
      </c>
    </row>
    <row r="4602" ht="15.6" spans="4:11">
      <c r="D4602" s="3">
        <v>6049</v>
      </c>
      <c r="E4602" s="3" t="s">
        <v>222</v>
      </c>
      <c r="J4602" s="3" t="s">
        <v>4844</v>
      </c>
      <c r="K4602" s="3" t="s">
        <v>222</v>
      </c>
    </row>
    <row r="4603" ht="15.6" spans="4:11">
      <c r="D4603" s="3">
        <v>6067</v>
      </c>
      <c r="E4603" s="3" t="s">
        <v>222</v>
      </c>
      <c r="J4603" s="3" t="s">
        <v>4845</v>
      </c>
      <c r="K4603" s="3" t="s">
        <v>222</v>
      </c>
    </row>
    <row r="4604" ht="15.6" spans="4:11">
      <c r="D4604" s="3">
        <v>6068</v>
      </c>
      <c r="E4604" s="3" t="s">
        <v>222</v>
      </c>
      <c r="J4604" s="3" t="s">
        <v>4846</v>
      </c>
      <c r="K4604" s="3" t="s">
        <v>222</v>
      </c>
    </row>
    <row r="4605" ht="15.6" spans="4:11">
      <c r="D4605" s="3">
        <v>6070</v>
      </c>
      <c r="E4605" s="3" t="s">
        <v>222</v>
      </c>
      <c r="J4605" s="3" t="s">
        <v>4847</v>
      </c>
      <c r="K4605" s="3" t="s">
        <v>222</v>
      </c>
    </row>
    <row r="4606" ht="15.6" spans="4:11">
      <c r="D4606" s="3">
        <v>6071</v>
      </c>
      <c r="E4606" s="3" t="s">
        <v>222</v>
      </c>
      <c r="J4606" s="3" t="s">
        <v>4848</v>
      </c>
      <c r="K4606" s="3" t="s">
        <v>222</v>
      </c>
    </row>
    <row r="4607" ht="15.6" spans="4:11">
      <c r="D4607" s="3">
        <v>6072</v>
      </c>
      <c r="E4607" s="3" t="s">
        <v>222</v>
      </c>
      <c r="J4607" s="3" t="s">
        <v>4849</v>
      </c>
      <c r="K4607" s="3" t="s">
        <v>222</v>
      </c>
    </row>
    <row r="4608" ht="15.6" spans="4:11">
      <c r="D4608" s="3">
        <v>6073</v>
      </c>
      <c r="E4608" s="3" t="s">
        <v>222</v>
      </c>
      <c r="J4608" s="3" t="s">
        <v>4850</v>
      </c>
      <c r="K4608" s="3" t="s">
        <v>222</v>
      </c>
    </row>
    <row r="4609" ht="15.6" spans="4:11">
      <c r="D4609" s="3">
        <v>6074</v>
      </c>
      <c r="E4609" s="3" t="s">
        <v>222</v>
      </c>
      <c r="J4609" s="3" t="s">
        <v>4851</v>
      </c>
      <c r="K4609" s="3" t="s">
        <v>222</v>
      </c>
    </row>
    <row r="4610" ht="15.6" spans="4:11">
      <c r="D4610" s="3">
        <v>6075</v>
      </c>
      <c r="E4610" s="3" t="s">
        <v>222</v>
      </c>
      <c r="J4610" s="3" t="s">
        <v>4852</v>
      </c>
      <c r="K4610" s="3" t="s">
        <v>222</v>
      </c>
    </row>
    <row r="4611" ht="15.6" spans="4:11">
      <c r="D4611" s="3">
        <v>6077</v>
      </c>
      <c r="E4611" s="3" t="s">
        <v>222</v>
      </c>
      <c r="J4611" s="3" t="s">
        <v>4853</v>
      </c>
      <c r="K4611" s="3" t="s">
        <v>222</v>
      </c>
    </row>
    <row r="4612" ht="15.6" spans="4:11">
      <c r="D4612" s="3">
        <v>6078</v>
      </c>
      <c r="E4612" s="3" t="s">
        <v>222</v>
      </c>
      <c r="J4612" s="3" t="s">
        <v>4854</v>
      </c>
      <c r="K4612" s="3" t="s">
        <v>222</v>
      </c>
    </row>
    <row r="4613" ht="15.6" spans="4:11">
      <c r="D4613" s="3">
        <v>6079</v>
      </c>
      <c r="E4613" s="3" t="s">
        <v>222</v>
      </c>
      <c r="J4613" s="3" t="s">
        <v>4855</v>
      </c>
      <c r="K4613" s="3" t="s">
        <v>222</v>
      </c>
    </row>
    <row r="4614" ht="15.6" spans="4:11">
      <c r="D4614" s="3">
        <v>6080</v>
      </c>
      <c r="E4614" s="3" t="s">
        <v>222</v>
      </c>
      <c r="J4614" s="3" t="s">
        <v>4856</v>
      </c>
      <c r="K4614" s="3" t="s">
        <v>222</v>
      </c>
    </row>
    <row r="4615" ht="15.6" spans="4:11">
      <c r="D4615" s="3">
        <v>6081</v>
      </c>
      <c r="E4615" s="3" t="s">
        <v>222</v>
      </c>
      <c r="J4615" s="3" t="s">
        <v>4857</v>
      </c>
      <c r="K4615" s="3" t="s">
        <v>222</v>
      </c>
    </row>
    <row r="4616" ht="15.6" spans="4:11">
      <c r="D4616" s="3">
        <v>6082</v>
      </c>
      <c r="E4616" s="3" t="s">
        <v>222</v>
      </c>
      <c r="J4616" s="3" t="s">
        <v>4858</v>
      </c>
      <c r="K4616" s="3" t="s">
        <v>222</v>
      </c>
    </row>
    <row r="4617" ht="15.6" spans="4:11">
      <c r="D4617" s="3">
        <v>6083</v>
      </c>
      <c r="E4617" s="3" t="s">
        <v>222</v>
      </c>
      <c r="J4617" s="3" t="s">
        <v>4859</v>
      </c>
      <c r="K4617" s="3" t="s">
        <v>222</v>
      </c>
    </row>
    <row r="4618" ht="15.6" spans="4:11">
      <c r="D4618" s="3">
        <v>6084</v>
      </c>
      <c r="E4618" s="3" t="s">
        <v>222</v>
      </c>
      <c r="J4618" s="3" t="s">
        <v>4860</v>
      </c>
      <c r="K4618" s="3" t="s">
        <v>222</v>
      </c>
    </row>
    <row r="4619" ht="15.6" spans="4:11">
      <c r="D4619" s="3">
        <v>6085</v>
      </c>
      <c r="E4619" s="3" t="s">
        <v>222</v>
      </c>
      <c r="J4619" s="3" t="s">
        <v>4861</v>
      </c>
      <c r="K4619" s="3" t="s">
        <v>222</v>
      </c>
    </row>
    <row r="4620" ht="15.6" spans="4:11">
      <c r="D4620" s="3">
        <v>6086</v>
      </c>
      <c r="E4620" s="3" t="s">
        <v>222</v>
      </c>
      <c r="J4620" s="3" t="s">
        <v>4862</v>
      </c>
      <c r="K4620" s="3" t="s">
        <v>222</v>
      </c>
    </row>
    <row r="4621" ht="15.6" spans="4:11">
      <c r="D4621" s="3">
        <v>6087</v>
      </c>
      <c r="E4621" s="3" t="s">
        <v>222</v>
      </c>
      <c r="J4621" s="3" t="s">
        <v>4863</v>
      </c>
      <c r="K4621" s="3" t="s">
        <v>222</v>
      </c>
    </row>
    <row r="4622" ht="15.6" spans="4:11">
      <c r="D4622" s="3">
        <v>6088</v>
      </c>
      <c r="E4622" s="3" t="s">
        <v>222</v>
      </c>
      <c r="J4622" s="3" t="s">
        <v>4864</v>
      </c>
      <c r="K4622" s="3" t="s">
        <v>222</v>
      </c>
    </row>
    <row r="4623" ht="15.6" spans="4:11">
      <c r="D4623" s="3">
        <v>6089</v>
      </c>
      <c r="E4623" s="3" t="s">
        <v>222</v>
      </c>
      <c r="J4623" s="3" t="s">
        <v>4865</v>
      </c>
      <c r="K4623" s="3" t="s">
        <v>222</v>
      </c>
    </row>
    <row r="4624" ht="15.6" spans="4:11">
      <c r="D4624" s="3">
        <v>6111</v>
      </c>
      <c r="E4624" s="3" t="s">
        <v>222</v>
      </c>
      <c r="J4624" s="3" t="s">
        <v>4866</v>
      </c>
      <c r="K4624" s="3" t="s">
        <v>222</v>
      </c>
    </row>
    <row r="4625" ht="15.6" spans="4:11">
      <c r="D4625" s="3">
        <v>6121</v>
      </c>
      <c r="E4625" s="3" t="s">
        <v>222</v>
      </c>
      <c r="J4625" s="3" t="s">
        <v>4867</v>
      </c>
      <c r="K4625" s="3" t="s">
        <v>222</v>
      </c>
    </row>
    <row r="4626" ht="15.6" spans="4:11">
      <c r="D4626" s="3">
        <v>6122</v>
      </c>
      <c r="E4626" s="3" t="s">
        <v>222</v>
      </c>
      <c r="J4626" s="3" t="s">
        <v>4868</v>
      </c>
      <c r="K4626" s="3" t="s">
        <v>222</v>
      </c>
    </row>
    <row r="4627" ht="15.6" spans="4:11">
      <c r="D4627" s="3">
        <v>6123</v>
      </c>
      <c r="E4627" s="3" t="s">
        <v>222</v>
      </c>
      <c r="J4627" s="3" t="s">
        <v>4869</v>
      </c>
      <c r="K4627" s="3" t="s">
        <v>222</v>
      </c>
    </row>
    <row r="4628" ht="15.6" spans="4:11">
      <c r="D4628" s="3">
        <v>6124</v>
      </c>
      <c r="E4628" s="3" t="s">
        <v>222</v>
      </c>
      <c r="J4628" s="3" t="s">
        <v>4870</v>
      </c>
      <c r="K4628" s="3" t="s">
        <v>222</v>
      </c>
    </row>
    <row r="4629" ht="15.6" spans="4:11">
      <c r="D4629" s="3">
        <v>6125</v>
      </c>
      <c r="E4629" s="3" t="s">
        <v>222</v>
      </c>
      <c r="J4629" s="3" t="s">
        <v>4871</v>
      </c>
      <c r="K4629" s="3" t="s">
        <v>222</v>
      </c>
    </row>
    <row r="4630" ht="15.6" spans="4:11">
      <c r="D4630" s="3">
        <v>6126</v>
      </c>
      <c r="E4630" s="3" t="s">
        <v>222</v>
      </c>
      <c r="J4630" s="3" t="s">
        <v>4872</v>
      </c>
      <c r="K4630" s="3" t="s">
        <v>222</v>
      </c>
    </row>
    <row r="4631" ht="15.6" spans="4:11">
      <c r="D4631" s="3">
        <v>6127</v>
      </c>
      <c r="E4631" s="3" t="s">
        <v>222</v>
      </c>
      <c r="J4631" s="3" t="s">
        <v>4873</v>
      </c>
      <c r="K4631" s="3" t="s">
        <v>222</v>
      </c>
    </row>
    <row r="4632" ht="15.6" spans="4:11">
      <c r="D4632" s="3">
        <v>6128</v>
      </c>
      <c r="E4632" s="3" t="s">
        <v>222</v>
      </c>
      <c r="J4632" s="3" t="s">
        <v>4874</v>
      </c>
      <c r="K4632" s="3" t="s">
        <v>222</v>
      </c>
    </row>
    <row r="4633" ht="15.6" spans="4:11">
      <c r="D4633" s="3">
        <v>6129</v>
      </c>
      <c r="E4633" s="3" t="s">
        <v>222</v>
      </c>
      <c r="J4633" s="3" t="s">
        <v>4875</v>
      </c>
      <c r="K4633" s="3" t="s">
        <v>222</v>
      </c>
    </row>
    <row r="4634" ht="15.6" spans="4:11">
      <c r="D4634" s="3">
        <v>6130</v>
      </c>
      <c r="E4634" s="3" t="s">
        <v>222</v>
      </c>
      <c r="J4634" s="3" t="s">
        <v>4876</v>
      </c>
      <c r="K4634" s="3" t="s">
        <v>222</v>
      </c>
    </row>
    <row r="4635" ht="15.6" spans="4:11">
      <c r="D4635" s="3">
        <v>6131</v>
      </c>
      <c r="E4635" s="3" t="s">
        <v>222</v>
      </c>
      <c r="J4635" s="3" t="s">
        <v>4877</v>
      </c>
      <c r="K4635" s="3" t="s">
        <v>222</v>
      </c>
    </row>
    <row r="4636" ht="15.6" spans="4:11">
      <c r="D4636" s="3">
        <v>6132</v>
      </c>
      <c r="E4636" s="3" t="s">
        <v>222</v>
      </c>
      <c r="J4636" s="3" t="s">
        <v>4878</v>
      </c>
      <c r="K4636" s="3" t="s">
        <v>222</v>
      </c>
    </row>
    <row r="4637" ht="15.6" spans="4:11">
      <c r="D4637" s="3">
        <v>6133</v>
      </c>
      <c r="E4637" s="3" t="s">
        <v>222</v>
      </c>
      <c r="J4637" s="3" t="s">
        <v>4879</v>
      </c>
      <c r="K4637" s="3" t="s">
        <v>222</v>
      </c>
    </row>
    <row r="4638" ht="15.6" spans="4:11">
      <c r="D4638" s="3">
        <v>6134</v>
      </c>
      <c r="E4638" s="3" t="s">
        <v>222</v>
      </c>
      <c r="J4638" s="3" t="s">
        <v>4880</v>
      </c>
      <c r="K4638" s="3" t="s">
        <v>222</v>
      </c>
    </row>
    <row r="4639" ht="15.6" spans="4:11">
      <c r="D4639" s="3">
        <v>6135</v>
      </c>
      <c r="E4639" s="3" t="s">
        <v>222</v>
      </c>
      <c r="J4639" s="3" t="s">
        <v>4881</v>
      </c>
      <c r="K4639" s="3" t="s">
        <v>222</v>
      </c>
    </row>
    <row r="4640" ht="15.6" spans="4:11">
      <c r="D4640" s="3">
        <v>6136</v>
      </c>
      <c r="E4640" s="3" t="s">
        <v>222</v>
      </c>
      <c r="J4640" s="3" t="s">
        <v>4882</v>
      </c>
      <c r="K4640" s="3" t="s">
        <v>222</v>
      </c>
    </row>
    <row r="4641" ht="15.6" spans="4:11">
      <c r="D4641" s="3">
        <v>6137</v>
      </c>
      <c r="E4641" s="3" t="s">
        <v>222</v>
      </c>
      <c r="J4641" s="3" t="s">
        <v>4883</v>
      </c>
      <c r="K4641" s="3" t="s">
        <v>222</v>
      </c>
    </row>
    <row r="4642" ht="15.6" spans="4:11">
      <c r="D4642" s="3">
        <v>6138</v>
      </c>
      <c r="E4642" s="3" t="s">
        <v>222</v>
      </c>
      <c r="J4642" s="3" t="s">
        <v>4884</v>
      </c>
      <c r="K4642" s="3" t="s">
        <v>222</v>
      </c>
    </row>
    <row r="4643" ht="15.6" spans="4:11">
      <c r="D4643" s="3">
        <v>6139</v>
      </c>
      <c r="E4643" s="3" t="s">
        <v>222</v>
      </c>
      <c r="J4643" s="3" t="s">
        <v>4885</v>
      </c>
      <c r="K4643" s="3" t="s">
        <v>222</v>
      </c>
    </row>
    <row r="4644" ht="15.6" spans="4:11">
      <c r="D4644" s="3">
        <v>6140</v>
      </c>
      <c r="E4644" s="3" t="s">
        <v>222</v>
      </c>
      <c r="J4644" s="3" t="s">
        <v>4886</v>
      </c>
      <c r="K4644" s="3" t="s">
        <v>222</v>
      </c>
    </row>
    <row r="4645" ht="15.6" spans="4:11">
      <c r="D4645" s="3">
        <v>6141</v>
      </c>
      <c r="E4645" s="3" t="s">
        <v>222</v>
      </c>
      <c r="J4645" s="3" t="s">
        <v>4887</v>
      </c>
      <c r="K4645" s="3" t="s">
        <v>222</v>
      </c>
    </row>
    <row r="4646" ht="15.6" spans="4:11">
      <c r="D4646" s="3">
        <v>6142</v>
      </c>
      <c r="E4646" s="3" t="s">
        <v>222</v>
      </c>
      <c r="J4646" s="3" t="s">
        <v>4888</v>
      </c>
      <c r="K4646" s="3" t="s">
        <v>222</v>
      </c>
    </row>
    <row r="4647" ht="15.6" spans="4:11">
      <c r="D4647" s="3">
        <v>6143</v>
      </c>
      <c r="E4647" s="3" t="s">
        <v>222</v>
      </c>
      <c r="J4647" s="3" t="s">
        <v>4889</v>
      </c>
      <c r="K4647" s="3" t="s">
        <v>222</v>
      </c>
    </row>
    <row r="4648" ht="15.6" spans="4:11">
      <c r="D4648" s="3">
        <v>6144</v>
      </c>
      <c r="E4648" s="3" t="s">
        <v>222</v>
      </c>
      <c r="J4648" s="3" t="s">
        <v>4890</v>
      </c>
      <c r="K4648" s="3" t="s">
        <v>222</v>
      </c>
    </row>
    <row r="4649" ht="15.6" spans="4:11">
      <c r="D4649" s="3">
        <v>6145</v>
      </c>
      <c r="E4649" s="3" t="s">
        <v>222</v>
      </c>
      <c r="J4649" s="3" t="s">
        <v>4891</v>
      </c>
      <c r="K4649" s="3" t="s">
        <v>222</v>
      </c>
    </row>
    <row r="4650" ht="15.6" spans="4:11">
      <c r="D4650" s="3">
        <v>6146</v>
      </c>
      <c r="E4650" s="3" t="s">
        <v>222</v>
      </c>
      <c r="J4650" s="3" t="s">
        <v>4892</v>
      </c>
      <c r="K4650" s="3" t="s">
        <v>222</v>
      </c>
    </row>
    <row r="4651" ht="15.6" spans="4:11">
      <c r="D4651" s="3">
        <v>6161</v>
      </c>
      <c r="E4651" s="3" t="s">
        <v>222</v>
      </c>
      <c r="J4651" s="3" t="s">
        <v>4893</v>
      </c>
      <c r="K4651" s="3" t="s">
        <v>222</v>
      </c>
    </row>
    <row r="4652" ht="15.6" spans="4:11">
      <c r="D4652" s="3">
        <v>6176</v>
      </c>
      <c r="E4652" s="3" t="s">
        <v>222</v>
      </c>
      <c r="J4652" s="3" t="s">
        <v>4894</v>
      </c>
      <c r="K4652" s="3" t="s">
        <v>222</v>
      </c>
    </row>
    <row r="4653" ht="15.6" spans="4:11">
      <c r="D4653" s="3">
        <v>6177</v>
      </c>
      <c r="E4653" s="3" t="s">
        <v>222</v>
      </c>
      <c r="J4653" s="3" t="s">
        <v>4895</v>
      </c>
      <c r="K4653" s="3" t="s">
        <v>222</v>
      </c>
    </row>
    <row r="4654" ht="15.6" spans="4:11">
      <c r="D4654" s="3">
        <v>6178</v>
      </c>
      <c r="E4654" s="3" t="s">
        <v>222</v>
      </c>
      <c r="J4654" s="3" t="s">
        <v>4896</v>
      </c>
      <c r="K4654" s="3" t="s">
        <v>222</v>
      </c>
    </row>
    <row r="4655" ht="15.6" spans="4:11">
      <c r="D4655" s="3">
        <v>6179</v>
      </c>
      <c r="E4655" s="3" t="s">
        <v>222</v>
      </c>
      <c r="J4655" s="3" t="s">
        <v>4897</v>
      </c>
      <c r="K4655" s="3" t="s">
        <v>222</v>
      </c>
    </row>
    <row r="4656" ht="15.6" spans="4:11">
      <c r="D4656" s="3">
        <v>6181</v>
      </c>
      <c r="E4656" s="3" t="s">
        <v>222</v>
      </c>
      <c r="J4656" s="3" t="s">
        <v>4898</v>
      </c>
      <c r="K4656" s="3" t="s">
        <v>222</v>
      </c>
    </row>
    <row r="4657" ht="15.6" spans="4:11">
      <c r="D4657" s="3">
        <v>6207</v>
      </c>
      <c r="E4657" s="3" t="s">
        <v>222</v>
      </c>
      <c r="J4657" s="3" t="s">
        <v>4899</v>
      </c>
      <c r="K4657" s="3" t="s">
        <v>222</v>
      </c>
    </row>
    <row r="4658" ht="15.6" spans="4:11">
      <c r="D4658" s="3">
        <v>6208</v>
      </c>
      <c r="E4658" s="3" t="s">
        <v>222</v>
      </c>
      <c r="J4658" s="3" t="s">
        <v>4900</v>
      </c>
      <c r="K4658" s="3" t="s">
        <v>222</v>
      </c>
    </row>
    <row r="4659" ht="15.6" spans="4:11">
      <c r="D4659" s="3">
        <v>6209</v>
      </c>
      <c r="E4659" s="3" t="s">
        <v>222</v>
      </c>
      <c r="J4659" s="3" t="s">
        <v>4901</v>
      </c>
      <c r="K4659" s="3" t="s">
        <v>222</v>
      </c>
    </row>
    <row r="4660" ht="15.6" spans="4:11">
      <c r="D4660" s="3">
        <v>6211</v>
      </c>
      <c r="E4660" s="3" t="s">
        <v>222</v>
      </c>
      <c r="J4660" s="3" t="s">
        <v>4902</v>
      </c>
      <c r="K4660" s="3" t="s">
        <v>222</v>
      </c>
    </row>
    <row r="4661" ht="15.6" spans="4:11">
      <c r="D4661" s="3">
        <v>6212</v>
      </c>
      <c r="E4661" s="3" t="s">
        <v>222</v>
      </c>
      <c r="J4661" s="3" t="s">
        <v>4903</v>
      </c>
      <c r="K4661" s="3" t="s">
        <v>222</v>
      </c>
    </row>
    <row r="4662" ht="15.6" spans="4:11">
      <c r="D4662" s="3">
        <v>6213</v>
      </c>
      <c r="E4662" s="3" t="s">
        <v>222</v>
      </c>
      <c r="J4662" s="3" t="s">
        <v>4904</v>
      </c>
      <c r="K4662" s="3" t="s">
        <v>222</v>
      </c>
    </row>
    <row r="4663" ht="15.6" spans="4:11">
      <c r="D4663" s="3">
        <v>6214</v>
      </c>
      <c r="E4663" s="3" t="s">
        <v>222</v>
      </c>
      <c r="J4663" s="3" t="s">
        <v>4905</v>
      </c>
      <c r="K4663" s="3" t="s">
        <v>222</v>
      </c>
    </row>
    <row r="4664" ht="15.6" spans="4:11">
      <c r="D4664" s="3">
        <v>6991</v>
      </c>
      <c r="E4664" s="3" t="s">
        <v>222</v>
      </c>
      <c r="J4664" s="3" t="s">
        <v>4906</v>
      </c>
      <c r="K4664" s="3" t="s">
        <v>222</v>
      </c>
    </row>
    <row r="4665" ht="15.6" spans="4:11">
      <c r="D4665" s="3">
        <v>6997</v>
      </c>
      <c r="E4665" s="3" t="s">
        <v>222</v>
      </c>
      <c r="J4665" s="3" t="s">
        <v>4907</v>
      </c>
      <c r="K4665" s="3" t="s">
        <v>222</v>
      </c>
    </row>
    <row r="4666" ht="15.6" spans="4:11">
      <c r="D4666" s="3">
        <v>6998</v>
      </c>
      <c r="E4666" s="3" t="s">
        <v>222</v>
      </c>
      <c r="J4666" s="3" t="s">
        <v>4908</v>
      </c>
      <c r="K4666" s="3" t="s">
        <v>222</v>
      </c>
    </row>
    <row r="4667" ht="15.6" spans="4:11">
      <c r="D4667" s="3">
        <v>6999</v>
      </c>
      <c r="E4667" s="3" t="s">
        <v>222</v>
      </c>
      <c r="J4667" s="3" t="s">
        <v>4909</v>
      </c>
      <c r="K4667" s="3" t="s">
        <v>222</v>
      </c>
    </row>
    <row r="4668" ht="15.6" spans="4:11">
      <c r="D4668" s="3">
        <v>9726</v>
      </c>
      <c r="E4668" s="3" t="s">
        <v>222</v>
      </c>
      <c r="J4668" s="3" t="s">
        <v>4910</v>
      </c>
      <c r="K4668" s="3" t="s">
        <v>222</v>
      </c>
    </row>
    <row r="4669" ht="15.6" spans="4:11">
      <c r="D4669" s="3">
        <v>9727</v>
      </c>
      <c r="E4669" s="3" t="s">
        <v>222</v>
      </c>
      <c r="J4669" s="3" t="s">
        <v>4911</v>
      </c>
      <c r="K4669" s="3" t="s">
        <v>222</v>
      </c>
    </row>
    <row r="4670" ht="15.6" spans="4:11">
      <c r="D4670" s="3">
        <v>9728</v>
      </c>
      <c r="E4670" s="3" t="s">
        <v>222</v>
      </c>
      <c r="J4670" s="3" t="s">
        <v>4912</v>
      </c>
      <c r="K4670" s="3" t="s">
        <v>222</v>
      </c>
    </row>
    <row r="4671" ht="15.6" spans="4:11">
      <c r="D4671" s="3">
        <v>9729</v>
      </c>
      <c r="E4671" s="3" t="s">
        <v>222</v>
      </c>
      <c r="J4671" s="3" t="s">
        <v>4913</v>
      </c>
      <c r="K4671" s="3" t="s">
        <v>222</v>
      </c>
    </row>
    <row r="4672" ht="15.6" spans="4:11">
      <c r="D4672" s="3">
        <v>9730</v>
      </c>
      <c r="E4672" s="3" t="s">
        <v>222</v>
      </c>
      <c r="J4672" s="3" t="s">
        <v>4914</v>
      </c>
      <c r="K4672" s="3" t="s">
        <v>222</v>
      </c>
    </row>
    <row r="4673" ht="15.6" spans="4:11">
      <c r="D4673" s="3">
        <v>9731</v>
      </c>
      <c r="E4673" s="3" t="s">
        <v>222</v>
      </c>
      <c r="J4673" s="3" t="s">
        <v>4915</v>
      </c>
      <c r="K4673" s="3" t="s">
        <v>222</v>
      </c>
    </row>
    <row r="4674" ht="15.6" spans="4:11">
      <c r="D4674" s="3">
        <v>9732</v>
      </c>
      <c r="E4674" s="3" t="s">
        <v>222</v>
      </c>
      <c r="J4674" s="3" t="s">
        <v>4916</v>
      </c>
      <c r="K4674" s="3" t="s">
        <v>222</v>
      </c>
    </row>
    <row r="4675" ht="15.6" spans="4:11">
      <c r="D4675" s="3">
        <v>9733</v>
      </c>
      <c r="E4675" s="3" t="s">
        <v>222</v>
      </c>
      <c r="J4675" s="3" t="s">
        <v>4917</v>
      </c>
      <c r="K4675" s="3" t="s">
        <v>222</v>
      </c>
    </row>
    <row r="4676" ht="15.6" spans="4:11">
      <c r="D4676" s="3">
        <v>9734</v>
      </c>
      <c r="E4676" s="3" t="s">
        <v>222</v>
      </c>
      <c r="J4676" s="3" t="s">
        <v>4918</v>
      </c>
      <c r="K4676" s="3" t="s">
        <v>222</v>
      </c>
    </row>
    <row r="4677" ht="15.6" spans="4:11">
      <c r="D4677" s="3">
        <v>9735</v>
      </c>
      <c r="E4677" s="3" t="s">
        <v>222</v>
      </c>
      <c r="J4677" s="3" t="s">
        <v>4919</v>
      </c>
      <c r="K4677" s="3" t="s">
        <v>222</v>
      </c>
    </row>
    <row r="4678" ht="15.6" spans="4:11">
      <c r="D4678" s="3">
        <v>9736</v>
      </c>
      <c r="E4678" s="3" t="s">
        <v>222</v>
      </c>
      <c r="J4678" s="3" t="s">
        <v>4920</v>
      </c>
      <c r="K4678" s="3" t="s">
        <v>222</v>
      </c>
    </row>
    <row r="4679" ht="15.6" spans="4:11">
      <c r="D4679" s="3">
        <v>9737</v>
      </c>
      <c r="E4679" s="3" t="s">
        <v>222</v>
      </c>
      <c r="J4679" s="3" t="s">
        <v>4921</v>
      </c>
      <c r="K4679" s="3" t="s">
        <v>222</v>
      </c>
    </row>
    <row r="4680" ht="15.6" spans="4:11">
      <c r="D4680" s="3">
        <v>9738</v>
      </c>
      <c r="E4680" s="3" t="s">
        <v>222</v>
      </c>
      <c r="J4680" s="3" t="s">
        <v>4922</v>
      </c>
      <c r="K4680" s="3" t="s">
        <v>222</v>
      </c>
    </row>
    <row r="4681" ht="15.6" spans="4:11">
      <c r="D4681" s="3">
        <v>9739</v>
      </c>
      <c r="E4681" s="3" t="s">
        <v>222</v>
      </c>
      <c r="J4681" s="3" t="s">
        <v>4923</v>
      </c>
      <c r="K4681" s="3" t="s">
        <v>222</v>
      </c>
    </row>
    <row r="4682" ht="15.6" spans="4:11">
      <c r="D4682" s="3">
        <v>9740</v>
      </c>
      <c r="E4682" s="3" t="s">
        <v>222</v>
      </c>
      <c r="J4682" s="3" t="s">
        <v>4924</v>
      </c>
      <c r="K4682" s="3" t="s">
        <v>222</v>
      </c>
    </row>
    <row r="4683" ht="15.6" spans="4:11">
      <c r="D4683" s="3">
        <v>9741</v>
      </c>
      <c r="E4683" s="3" t="s">
        <v>222</v>
      </c>
      <c r="J4683" s="3" t="s">
        <v>4925</v>
      </c>
      <c r="K4683" s="3" t="s">
        <v>222</v>
      </c>
    </row>
    <row r="4684" ht="15.6" spans="4:11">
      <c r="D4684" s="3">
        <v>9742</v>
      </c>
      <c r="E4684" s="3" t="s">
        <v>222</v>
      </c>
      <c r="J4684" s="3" t="s">
        <v>4926</v>
      </c>
      <c r="K4684" s="3" t="s">
        <v>222</v>
      </c>
    </row>
    <row r="4685" ht="15.6" spans="4:11">
      <c r="D4685" s="3">
        <v>9743</v>
      </c>
      <c r="E4685" s="3" t="s">
        <v>222</v>
      </c>
      <c r="J4685" s="3" t="s">
        <v>4927</v>
      </c>
      <c r="K4685" s="3" t="s">
        <v>222</v>
      </c>
    </row>
    <row r="4686" ht="15.6" spans="4:11">
      <c r="D4686" s="3">
        <v>9744</v>
      </c>
      <c r="E4686" s="3" t="s">
        <v>222</v>
      </c>
      <c r="J4686" s="3" t="s">
        <v>4928</v>
      </c>
      <c r="K4686" s="3" t="s">
        <v>222</v>
      </c>
    </row>
    <row r="4687" ht="15.6" spans="4:11">
      <c r="D4687" s="3">
        <v>9745</v>
      </c>
      <c r="E4687" s="3" t="s">
        <v>222</v>
      </c>
      <c r="J4687" s="3" t="s">
        <v>4929</v>
      </c>
      <c r="K4687" s="3" t="s">
        <v>222</v>
      </c>
    </row>
    <row r="4688" ht="15.6" spans="4:11">
      <c r="D4688" s="3">
        <v>9746</v>
      </c>
      <c r="E4688" s="3" t="s">
        <v>222</v>
      </c>
      <c r="J4688" s="3" t="s">
        <v>4930</v>
      </c>
      <c r="K4688" s="3" t="s">
        <v>222</v>
      </c>
    </row>
    <row r="4689" ht="15.6" spans="4:11">
      <c r="D4689" s="3">
        <v>9747</v>
      </c>
      <c r="E4689" s="3" t="s">
        <v>222</v>
      </c>
      <c r="J4689" s="3" t="s">
        <v>4931</v>
      </c>
      <c r="K4689" s="3" t="s">
        <v>222</v>
      </c>
    </row>
    <row r="4690" ht="15.6" spans="4:11">
      <c r="D4690" s="3">
        <v>9748</v>
      </c>
      <c r="E4690" s="3" t="s">
        <v>222</v>
      </c>
      <c r="J4690" s="3" t="s">
        <v>4932</v>
      </c>
      <c r="K4690" s="3" t="s">
        <v>222</v>
      </c>
    </row>
    <row r="4691" ht="15.6" spans="4:11">
      <c r="D4691" s="3">
        <v>9749</v>
      </c>
      <c r="E4691" s="3" t="s">
        <v>222</v>
      </c>
      <c r="J4691" s="3" t="s">
        <v>4933</v>
      </c>
      <c r="K4691" s="3" t="s">
        <v>222</v>
      </c>
    </row>
    <row r="4692" ht="15.6" spans="4:11">
      <c r="D4692" s="3">
        <v>9750</v>
      </c>
      <c r="E4692" s="3" t="s">
        <v>222</v>
      </c>
      <c r="J4692" s="3" t="s">
        <v>4934</v>
      </c>
      <c r="K4692" s="3" t="s">
        <v>222</v>
      </c>
    </row>
    <row r="4693" ht="15.6" spans="4:11">
      <c r="D4693" s="3">
        <v>9751</v>
      </c>
      <c r="E4693" s="3" t="s">
        <v>222</v>
      </c>
      <c r="J4693" s="3" t="s">
        <v>4935</v>
      </c>
      <c r="K4693" s="3" t="s">
        <v>222</v>
      </c>
    </row>
    <row r="4694" ht="15.6" spans="4:11">
      <c r="D4694" s="3">
        <v>9752</v>
      </c>
      <c r="E4694" s="3" t="s">
        <v>222</v>
      </c>
      <c r="J4694" s="3" t="s">
        <v>4936</v>
      </c>
      <c r="K4694" s="3" t="s">
        <v>222</v>
      </c>
    </row>
    <row r="4695" ht="15.6" spans="4:11">
      <c r="D4695" s="3">
        <v>9753</v>
      </c>
      <c r="E4695" s="3" t="s">
        <v>222</v>
      </c>
      <c r="J4695" s="3" t="s">
        <v>4937</v>
      </c>
      <c r="K4695" s="3" t="s">
        <v>222</v>
      </c>
    </row>
    <row r="4696" ht="15.6" spans="4:11">
      <c r="D4696" s="3">
        <v>9754</v>
      </c>
      <c r="E4696" s="3" t="s">
        <v>222</v>
      </c>
      <c r="J4696" s="3" t="s">
        <v>4938</v>
      </c>
      <c r="K4696" s="3" t="s">
        <v>222</v>
      </c>
    </row>
    <row r="4697" ht="15.6" spans="4:11">
      <c r="D4697" s="3">
        <v>9755</v>
      </c>
      <c r="E4697" s="3" t="s">
        <v>222</v>
      </c>
      <c r="J4697" s="3" t="s">
        <v>4939</v>
      </c>
      <c r="K4697" s="3" t="s">
        <v>222</v>
      </c>
    </row>
    <row r="4698" ht="15.6" spans="4:11">
      <c r="D4698" s="3">
        <v>9756</v>
      </c>
      <c r="E4698" s="3" t="s">
        <v>222</v>
      </c>
      <c r="J4698" s="3" t="s">
        <v>4940</v>
      </c>
      <c r="K4698" s="3" t="s">
        <v>222</v>
      </c>
    </row>
    <row r="4699" ht="15.6" spans="4:11">
      <c r="D4699" s="3">
        <v>9757</v>
      </c>
      <c r="E4699" s="3" t="s">
        <v>222</v>
      </c>
      <c r="J4699" s="3" t="s">
        <v>4941</v>
      </c>
      <c r="K4699" s="3" t="s">
        <v>222</v>
      </c>
    </row>
    <row r="4700" ht="15.6" spans="4:11">
      <c r="D4700" s="3">
        <v>9758</v>
      </c>
      <c r="E4700" s="3" t="s">
        <v>222</v>
      </c>
      <c r="J4700" s="3" t="s">
        <v>4942</v>
      </c>
      <c r="K4700" s="3" t="s">
        <v>222</v>
      </c>
    </row>
    <row r="4701" ht="15.6" spans="4:11">
      <c r="D4701" s="3">
        <v>9759</v>
      </c>
      <c r="E4701" s="3" t="s">
        <v>222</v>
      </c>
      <c r="J4701" s="3" t="s">
        <v>4943</v>
      </c>
      <c r="K4701" s="3" t="s">
        <v>222</v>
      </c>
    </row>
    <row r="4702" ht="15.6" spans="4:11">
      <c r="D4702" s="3">
        <v>9760</v>
      </c>
      <c r="E4702" s="3" t="s">
        <v>222</v>
      </c>
      <c r="J4702" s="3" t="s">
        <v>4944</v>
      </c>
      <c r="K4702" s="3" t="s">
        <v>222</v>
      </c>
    </row>
    <row r="4703" ht="15.6" spans="4:11">
      <c r="D4703" s="3">
        <v>9761</v>
      </c>
      <c r="E4703" s="3" t="s">
        <v>222</v>
      </c>
      <c r="J4703" s="3" t="s">
        <v>4945</v>
      </c>
      <c r="K4703" s="3" t="s">
        <v>222</v>
      </c>
    </row>
    <row r="4704" ht="15.6" spans="4:11">
      <c r="D4704" s="3">
        <v>9762</v>
      </c>
      <c r="E4704" s="3" t="s">
        <v>222</v>
      </c>
      <c r="J4704" s="3" t="s">
        <v>4946</v>
      </c>
      <c r="K4704" s="3" t="s">
        <v>222</v>
      </c>
    </row>
    <row r="4705" ht="15.6" spans="4:11">
      <c r="D4705" s="3">
        <v>9763</v>
      </c>
      <c r="E4705" s="3" t="s">
        <v>222</v>
      </c>
      <c r="J4705" s="3" t="s">
        <v>4947</v>
      </c>
      <c r="K4705" s="3" t="s">
        <v>222</v>
      </c>
    </row>
    <row r="4706" ht="15.6" spans="4:11">
      <c r="D4706" s="3">
        <v>9764</v>
      </c>
      <c r="E4706" s="3" t="s">
        <v>222</v>
      </c>
      <c r="J4706" s="3" t="s">
        <v>4948</v>
      </c>
      <c r="K4706" s="3" t="s">
        <v>222</v>
      </c>
    </row>
    <row r="4707" ht="15.6" spans="4:11">
      <c r="D4707" s="3">
        <v>9765</v>
      </c>
      <c r="E4707" s="3" t="s">
        <v>222</v>
      </c>
      <c r="J4707" s="3" t="s">
        <v>4949</v>
      </c>
      <c r="K4707" s="3" t="s">
        <v>222</v>
      </c>
    </row>
    <row r="4708" ht="15.6" spans="4:11">
      <c r="D4708" s="3">
        <v>9766</v>
      </c>
      <c r="E4708" s="3" t="s">
        <v>222</v>
      </c>
      <c r="J4708" s="3" t="s">
        <v>4950</v>
      </c>
      <c r="K4708" s="3" t="s">
        <v>222</v>
      </c>
    </row>
    <row r="4709" ht="15.6" spans="4:11">
      <c r="D4709" s="3">
        <v>9767</v>
      </c>
      <c r="E4709" s="3" t="s">
        <v>222</v>
      </c>
      <c r="J4709" s="3" t="s">
        <v>4951</v>
      </c>
      <c r="K4709" s="3" t="s">
        <v>222</v>
      </c>
    </row>
    <row r="4710" ht="15.6" spans="4:11">
      <c r="D4710" s="3">
        <v>9768</v>
      </c>
      <c r="E4710" s="3" t="s">
        <v>222</v>
      </c>
      <c r="J4710" s="3" t="s">
        <v>4952</v>
      </c>
      <c r="K4710" s="3" t="s">
        <v>222</v>
      </c>
    </row>
    <row r="4711" ht="15.6" spans="4:11">
      <c r="D4711" s="3">
        <v>9769</v>
      </c>
      <c r="E4711" s="3" t="s">
        <v>222</v>
      </c>
      <c r="J4711" s="3" t="s">
        <v>4953</v>
      </c>
      <c r="K4711" s="3" t="s">
        <v>222</v>
      </c>
    </row>
    <row r="4712" ht="15.6" spans="4:11">
      <c r="D4712" s="3">
        <v>9770</v>
      </c>
      <c r="E4712" s="3" t="s">
        <v>222</v>
      </c>
      <c r="J4712" s="3" t="s">
        <v>4954</v>
      </c>
      <c r="K4712" s="3" t="s">
        <v>222</v>
      </c>
    </row>
    <row r="4713" ht="15.6" spans="4:11">
      <c r="D4713" s="3">
        <v>9771</v>
      </c>
      <c r="E4713" s="3" t="s">
        <v>222</v>
      </c>
      <c r="J4713" s="3" t="s">
        <v>4955</v>
      </c>
      <c r="K4713" s="3" t="s">
        <v>222</v>
      </c>
    </row>
    <row r="4714" ht="15.6" spans="4:11">
      <c r="D4714" s="3">
        <v>9772</v>
      </c>
      <c r="E4714" s="3" t="s">
        <v>222</v>
      </c>
      <c r="J4714" s="3" t="s">
        <v>4956</v>
      </c>
      <c r="K4714" s="3" t="s">
        <v>222</v>
      </c>
    </row>
    <row r="4715" ht="15.6" spans="4:11">
      <c r="D4715" s="3">
        <v>9773</v>
      </c>
      <c r="E4715" s="3" t="s">
        <v>222</v>
      </c>
      <c r="J4715" s="3" t="s">
        <v>4957</v>
      </c>
      <c r="K4715" s="3" t="s">
        <v>222</v>
      </c>
    </row>
    <row r="4716" ht="15.6" spans="4:11">
      <c r="D4716" s="3">
        <v>9774</v>
      </c>
      <c r="E4716" s="3" t="s">
        <v>222</v>
      </c>
      <c r="J4716" s="3" t="s">
        <v>4958</v>
      </c>
      <c r="K4716" s="3" t="s">
        <v>222</v>
      </c>
    </row>
    <row r="4717" ht="15.6" spans="4:11">
      <c r="D4717" s="3">
        <v>9775</v>
      </c>
      <c r="E4717" s="3" t="s">
        <v>222</v>
      </c>
      <c r="J4717" s="3" t="s">
        <v>4959</v>
      </c>
      <c r="K4717" s="3" t="s">
        <v>222</v>
      </c>
    </row>
    <row r="4718" ht="15.6" spans="4:11">
      <c r="D4718" s="3">
        <v>9776</v>
      </c>
      <c r="E4718" s="3" t="s">
        <v>222</v>
      </c>
      <c r="J4718" s="3" t="s">
        <v>4960</v>
      </c>
      <c r="K4718" s="3" t="s">
        <v>222</v>
      </c>
    </row>
    <row r="4719" ht="15.6" spans="4:11">
      <c r="D4719" s="3">
        <v>9777</v>
      </c>
      <c r="E4719" s="3" t="s">
        <v>222</v>
      </c>
      <c r="J4719" s="3" t="s">
        <v>4961</v>
      </c>
      <c r="K4719" s="3" t="s">
        <v>222</v>
      </c>
    </row>
    <row r="4720" ht="15.6" spans="4:11">
      <c r="D4720" s="3">
        <v>9778</v>
      </c>
      <c r="E4720" s="3" t="s">
        <v>222</v>
      </c>
      <c r="J4720" s="3" t="s">
        <v>4962</v>
      </c>
      <c r="K4720" s="3" t="s">
        <v>222</v>
      </c>
    </row>
    <row r="4721" ht="15.6" spans="4:11">
      <c r="D4721" s="3">
        <v>9779</v>
      </c>
      <c r="E4721" s="3" t="s">
        <v>222</v>
      </c>
      <c r="J4721" s="3" t="s">
        <v>4963</v>
      </c>
      <c r="K4721" s="3" t="s">
        <v>222</v>
      </c>
    </row>
    <row r="4722" ht="15.6" spans="4:11">
      <c r="D4722" s="3">
        <v>9780</v>
      </c>
      <c r="E4722" s="3" t="s">
        <v>222</v>
      </c>
      <c r="J4722" s="3" t="s">
        <v>4964</v>
      </c>
      <c r="K4722" s="3" t="s">
        <v>222</v>
      </c>
    </row>
    <row r="4723" ht="15.6" spans="4:11">
      <c r="D4723" s="3">
        <v>9781</v>
      </c>
      <c r="E4723" s="3" t="s">
        <v>222</v>
      </c>
      <c r="J4723" s="3" t="s">
        <v>4965</v>
      </c>
      <c r="K4723" s="3" t="s">
        <v>222</v>
      </c>
    </row>
    <row r="4724" ht="15.6" spans="4:11">
      <c r="D4724" s="3">
        <v>9782</v>
      </c>
      <c r="E4724" s="3" t="s">
        <v>222</v>
      </c>
      <c r="J4724" s="3" t="s">
        <v>4966</v>
      </c>
      <c r="K4724" s="3" t="s">
        <v>222</v>
      </c>
    </row>
    <row r="4725" ht="15.6" spans="4:11">
      <c r="D4725" s="3">
        <v>9783</v>
      </c>
      <c r="E4725" s="3" t="s">
        <v>222</v>
      </c>
      <c r="J4725" s="3" t="s">
        <v>4967</v>
      </c>
      <c r="K4725" s="3" t="s">
        <v>222</v>
      </c>
    </row>
    <row r="4726" ht="15.6" spans="4:11">
      <c r="D4726" s="3">
        <v>9784</v>
      </c>
      <c r="E4726" s="3" t="s">
        <v>222</v>
      </c>
      <c r="J4726" s="3" t="s">
        <v>4968</v>
      </c>
      <c r="K4726" s="3" t="s">
        <v>222</v>
      </c>
    </row>
    <row r="4727" ht="15.6" spans="4:11">
      <c r="D4727" s="3">
        <v>9785</v>
      </c>
      <c r="E4727" s="3" t="s">
        <v>222</v>
      </c>
      <c r="J4727" s="3" t="s">
        <v>4969</v>
      </c>
      <c r="K4727" s="3" t="s">
        <v>222</v>
      </c>
    </row>
    <row r="4728" ht="15.6" spans="4:11">
      <c r="D4728" s="3">
        <v>9786</v>
      </c>
      <c r="E4728" s="3" t="s">
        <v>222</v>
      </c>
      <c r="J4728" s="3" t="s">
        <v>4970</v>
      </c>
      <c r="K4728" s="3" t="s">
        <v>222</v>
      </c>
    </row>
    <row r="4729" ht="15.6" spans="4:11">
      <c r="D4729" s="3">
        <v>9787</v>
      </c>
      <c r="E4729" s="3" t="s">
        <v>222</v>
      </c>
      <c r="J4729" s="3" t="s">
        <v>4971</v>
      </c>
      <c r="K4729" s="3" t="s">
        <v>222</v>
      </c>
    </row>
    <row r="4730" ht="15.6" spans="4:11">
      <c r="D4730" s="3">
        <v>9788</v>
      </c>
      <c r="E4730" s="3" t="s">
        <v>222</v>
      </c>
      <c r="J4730" s="3" t="s">
        <v>4972</v>
      </c>
      <c r="K4730" s="3" t="s">
        <v>222</v>
      </c>
    </row>
    <row r="4731" ht="15.6" spans="4:11">
      <c r="D4731" s="3">
        <v>9789</v>
      </c>
      <c r="E4731" s="3" t="s">
        <v>222</v>
      </c>
      <c r="J4731" s="3" t="s">
        <v>4973</v>
      </c>
      <c r="K4731" s="3" t="s">
        <v>222</v>
      </c>
    </row>
    <row r="4732" ht="15.6" spans="4:11">
      <c r="D4732" s="3">
        <v>9790</v>
      </c>
      <c r="E4732" s="3" t="s">
        <v>222</v>
      </c>
      <c r="J4732" s="3" t="s">
        <v>4974</v>
      </c>
      <c r="K4732" s="3" t="s">
        <v>222</v>
      </c>
    </row>
    <row r="4733" ht="15.6" spans="4:11">
      <c r="D4733" s="3">
        <v>9791</v>
      </c>
      <c r="E4733" s="3" t="s">
        <v>222</v>
      </c>
      <c r="J4733" s="3" t="s">
        <v>4975</v>
      </c>
      <c r="K4733" s="3" t="s">
        <v>222</v>
      </c>
    </row>
    <row r="4734" ht="15.6" spans="4:11">
      <c r="D4734" s="3">
        <v>9792</v>
      </c>
      <c r="E4734" s="3" t="s">
        <v>222</v>
      </c>
      <c r="J4734" s="3" t="s">
        <v>4976</v>
      </c>
      <c r="K4734" s="3" t="s">
        <v>222</v>
      </c>
    </row>
    <row r="4735" ht="15.6" spans="4:11">
      <c r="D4735" s="3">
        <v>9793</v>
      </c>
      <c r="E4735" s="3" t="s">
        <v>222</v>
      </c>
      <c r="J4735" s="3" t="s">
        <v>4977</v>
      </c>
      <c r="K4735" s="3" t="s">
        <v>222</v>
      </c>
    </row>
    <row r="4736" ht="15.6" spans="4:11">
      <c r="D4736" s="3">
        <v>9794</v>
      </c>
      <c r="E4736" s="3" t="s">
        <v>222</v>
      </c>
      <c r="J4736" s="3" t="s">
        <v>4978</v>
      </c>
      <c r="K4736" s="3" t="s">
        <v>222</v>
      </c>
    </row>
    <row r="4737" ht="15.6" spans="4:11">
      <c r="D4737" s="3">
        <v>9795</v>
      </c>
      <c r="E4737" s="3" t="s">
        <v>222</v>
      </c>
      <c r="J4737" s="3" t="s">
        <v>4979</v>
      </c>
      <c r="K4737" s="3" t="s">
        <v>222</v>
      </c>
    </row>
    <row r="4738" ht="15.6" spans="4:11">
      <c r="D4738" s="3">
        <v>9796</v>
      </c>
      <c r="E4738" s="3" t="s">
        <v>222</v>
      </c>
      <c r="J4738" s="3" t="s">
        <v>4980</v>
      </c>
      <c r="K4738" s="3" t="s">
        <v>222</v>
      </c>
    </row>
    <row r="4739" ht="15.6" spans="4:11">
      <c r="D4739" s="3">
        <v>9797</v>
      </c>
      <c r="E4739" s="3" t="s">
        <v>222</v>
      </c>
      <c r="J4739" s="3" t="s">
        <v>4981</v>
      </c>
      <c r="K4739" s="3" t="s">
        <v>222</v>
      </c>
    </row>
    <row r="4740" ht="15.6" spans="4:11">
      <c r="D4740" s="3">
        <v>9798</v>
      </c>
      <c r="E4740" s="3" t="s">
        <v>222</v>
      </c>
      <c r="J4740" s="3" t="s">
        <v>4982</v>
      </c>
      <c r="K4740" s="3" t="s">
        <v>222</v>
      </c>
    </row>
    <row r="4741" ht="15.6" spans="4:11">
      <c r="D4741" s="3">
        <v>9799</v>
      </c>
      <c r="E4741" s="3" t="s">
        <v>222</v>
      </c>
      <c r="J4741" s="3" t="s">
        <v>4983</v>
      </c>
      <c r="K4741" s="3" t="s">
        <v>222</v>
      </c>
    </row>
    <row r="4742" ht="15.6" spans="4:11">
      <c r="D4742" s="3">
        <v>9880</v>
      </c>
      <c r="E4742" s="3" t="s">
        <v>222</v>
      </c>
      <c r="J4742" s="3" t="s">
        <v>4984</v>
      </c>
      <c r="K4742" s="3" t="s">
        <v>222</v>
      </c>
    </row>
    <row r="4743" ht="15.6" spans="4:11">
      <c r="D4743" s="3">
        <v>9881</v>
      </c>
      <c r="E4743" s="3" t="s">
        <v>222</v>
      </c>
      <c r="J4743" s="3" t="s">
        <v>4985</v>
      </c>
      <c r="K4743" s="3" t="s">
        <v>222</v>
      </c>
    </row>
    <row r="4744" ht="15.6" spans="4:11">
      <c r="D4744" s="3">
        <v>9882</v>
      </c>
      <c r="E4744" s="3" t="s">
        <v>222</v>
      </c>
      <c r="J4744" s="3" t="s">
        <v>4986</v>
      </c>
      <c r="K4744" s="3" t="s">
        <v>222</v>
      </c>
    </row>
    <row r="4745" ht="15.6" spans="4:11">
      <c r="D4745" s="3">
        <v>9883</v>
      </c>
      <c r="E4745" s="3" t="s">
        <v>222</v>
      </c>
      <c r="J4745" s="3" t="s">
        <v>4987</v>
      </c>
      <c r="K4745" s="3" t="s">
        <v>222</v>
      </c>
    </row>
    <row r="4746" ht="15.6" spans="4:11">
      <c r="D4746" s="3">
        <v>9884</v>
      </c>
      <c r="E4746" s="3" t="s">
        <v>222</v>
      </c>
      <c r="J4746" s="3" t="s">
        <v>4988</v>
      </c>
      <c r="K4746" s="3" t="s">
        <v>222</v>
      </c>
    </row>
    <row r="4747" ht="15.6" spans="4:11">
      <c r="D4747" s="3">
        <v>9885</v>
      </c>
      <c r="E4747" s="3" t="s">
        <v>222</v>
      </c>
      <c r="J4747" s="3" t="s">
        <v>4989</v>
      </c>
      <c r="K4747" s="3" t="s">
        <v>222</v>
      </c>
    </row>
    <row r="4748" ht="15.6" spans="4:11">
      <c r="D4748" s="3">
        <v>9886</v>
      </c>
      <c r="E4748" s="3" t="s">
        <v>222</v>
      </c>
      <c r="J4748" s="3" t="s">
        <v>4990</v>
      </c>
      <c r="K4748" s="3" t="s">
        <v>222</v>
      </c>
    </row>
    <row r="4749" ht="15.6" spans="4:11">
      <c r="D4749" s="3">
        <v>9887</v>
      </c>
      <c r="E4749" s="3" t="s">
        <v>222</v>
      </c>
      <c r="J4749" s="3" t="s">
        <v>4991</v>
      </c>
      <c r="K4749" s="3" t="s">
        <v>222</v>
      </c>
    </row>
    <row r="4750" ht="15.6" spans="4:11">
      <c r="D4750" s="3">
        <v>9888</v>
      </c>
      <c r="E4750" s="3" t="s">
        <v>222</v>
      </c>
      <c r="J4750" s="3" t="s">
        <v>4992</v>
      </c>
      <c r="K4750" s="3" t="s">
        <v>222</v>
      </c>
    </row>
    <row r="4751" ht="15.6" spans="4:11">
      <c r="D4751" s="3">
        <v>9889</v>
      </c>
      <c r="E4751" s="3" t="s">
        <v>222</v>
      </c>
      <c r="J4751" s="3" t="s">
        <v>4993</v>
      </c>
      <c r="K4751" s="3" t="s">
        <v>222</v>
      </c>
    </row>
    <row r="4752" ht="15.6" spans="4:11">
      <c r="D4752" s="3">
        <v>9890</v>
      </c>
      <c r="E4752" s="3" t="s">
        <v>222</v>
      </c>
      <c r="J4752" s="3" t="s">
        <v>4994</v>
      </c>
      <c r="K4752" s="3" t="s">
        <v>222</v>
      </c>
    </row>
    <row r="4753" ht="15.6" spans="4:11">
      <c r="D4753" s="3">
        <v>9891</v>
      </c>
      <c r="E4753" s="3" t="s">
        <v>222</v>
      </c>
      <c r="J4753" s="3" t="s">
        <v>4995</v>
      </c>
      <c r="K4753" s="3" t="s">
        <v>222</v>
      </c>
    </row>
    <row r="4754" ht="15.6" spans="4:11">
      <c r="D4754" s="3">
        <v>9892</v>
      </c>
      <c r="E4754" s="3" t="s">
        <v>222</v>
      </c>
      <c r="J4754" s="3" t="s">
        <v>4996</v>
      </c>
      <c r="K4754" s="3" t="s">
        <v>222</v>
      </c>
    </row>
    <row r="4755" ht="15.6" spans="4:11">
      <c r="D4755" s="3">
        <v>9893</v>
      </c>
      <c r="E4755" s="3" t="s">
        <v>222</v>
      </c>
      <c r="J4755" s="3" t="s">
        <v>4997</v>
      </c>
      <c r="K4755" s="3" t="s">
        <v>222</v>
      </c>
    </row>
    <row r="4756" ht="15.6" spans="4:11">
      <c r="D4756" s="3">
        <v>9894</v>
      </c>
      <c r="E4756" s="3" t="s">
        <v>222</v>
      </c>
      <c r="J4756" s="3" t="s">
        <v>4998</v>
      </c>
      <c r="K4756" s="3" t="s">
        <v>222</v>
      </c>
    </row>
    <row r="4757" ht="15.6" spans="4:11">
      <c r="D4757" s="3">
        <v>9895</v>
      </c>
      <c r="E4757" s="3" t="s">
        <v>222</v>
      </c>
      <c r="J4757" s="3" t="s">
        <v>4999</v>
      </c>
      <c r="K4757" s="3" t="s">
        <v>222</v>
      </c>
    </row>
    <row r="4758" ht="15.6" spans="4:11">
      <c r="D4758" s="3">
        <v>9896</v>
      </c>
      <c r="E4758" s="3" t="s">
        <v>222</v>
      </c>
      <c r="J4758" s="3" t="s">
        <v>5000</v>
      </c>
      <c r="K4758" s="3" t="s">
        <v>222</v>
      </c>
    </row>
    <row r="4759" ht="15.6" spans="4:11">
      <c r="D4759" s="3">
        <v>9897</v>
      </c>
      <c r="E4759" s="3" t="s">
        <v>222</v>
      </c>
      <c r="J4759" s="3" t="s">
        <v>5001</v>
      </c>
      <c r="K4759" s="3" t="s">
        <v>222</v>
      </c>
    </row>
    <row r="4760" ht="15.6" spans="4:11">
      <c r="D4760" s="3">
        <v>9898</v>
      </c>
      <c r="E4760" s="3" t="s">
        <v>222</v>
      </c>
      <c r="J4760" s="3" t="s">
        <v>5002</v>
      </c>
      <c r="K4760" s="3" t="s">
        <v>222</v>
      </c>
    </row>
    <row r="4761" ht="15.6" spans="4:11">
      <c r="D4761" s="3">
        <v>9899</v>
      </c>
      <c r="E4761" s="3" t="s">
        <v>222</v>
      </c>
      <c r="J4761" s="3" t="s">
        <v>5003</v>
      </c>
      <c r="K4761" s="3" t="s">
        <v>222</v>
      </c>
    </row>
    <row r="4762" ht="15.6" spans="4:11">
      <c r="D4762" s="3">
        <v>9900</v>
      </c>
      <c r="E4762" s="3" t="s">
        <v>222</v>
      </c>
      <c r="J4762" s="3" t="s">
        <v>5004</v>
      </c>
      <c r="K4762" s="3" t="s">
        <v>222</v>
      </c>
    </row>
    <row r="4763" ht="15.6" spans="4:11">
      <c r="D4763" s="3">
        <v>9901</v>
      </c>
      <c r="E4763" s="3" t="s">
        <v>222</v>
      </c>
      <c r="J4763" s="3" t="s">
        <v>5005</v>
      </c>
      <c r="K4763" s="3" t="s">
        <v>222</v>
      </c>
    </row>
    <row r="4764" ht="15.6" spans="4:11">
      <c r="D4764" s="3">
        <v>9902</v>
      </c>
      <c r="E4764" s="3" t="s">
        <v>222</v>
      </c>
      <c r="J4764" s="3" t="s">
        <v>5006</v>
      </c>
      <c r="K4764" s="3" t="s">
        <v>222</v>
      </c>
    </row>
    <row r="4765" ht="15.6" spans="4:11">
      <c r="D4765" s="3">
        <v>9903</v>
      </c>
      <c r="E4765" s="3" t="s">
        <v>222</v>
      </c>
      <c r="J4765" s="3" t="s">
        <v>5007</v>
      </c>
      <c r="K4765" s="3" t="s">
        <v>222</v>
      </c>
    </row>
    <row r="4766" ht="15.6" spans="4:11">
      <c r="D4766" s="3">
        <v>9904</v>
      </c>
      <c r="E4766" s="3" t="s">
        <v>222</v>
      </c>
      <c r="J4766" s="3" t="s">
        <v>5008</v>
      </c>
      <c r="K4766" s="3" t="s">
        <v>222</v>
      </c>
    </row>
    <row r="4767" ht="15.6" spans="4:11">
      <c r="D4767" s="3">
        <v>9905</v>
      </c>
      <c r="E4767" s="3" t="s">
        <v>222</v>
      </c>
      <c r="J4767" s="3" t="s">
        <v>5009</v>
      </c>
      <c r="K4767" s="3" t="s">
        <v>222</v>
      </c>
    </row>
    <row r="4768" ht="15.6" spans="4:11">
      <c r="D4768" s="3">
        <v>9906</v>
      </c>
      <c r="E4768" s="3" t="s">
        <v>222</v>
      </c>
      <c r="J4768" s="3" t="s">
        <v>5010</v>
      </c>
      <c r="K4768" s="3" t="s">
        <v>222</v>
      </c>
    </row>
    <row r="4769" ht="15.6" spans="4:11">
      <c r="D4769" s="3">
        <v>9907</v>
      </c>
      <c r="E4769" s="3" t="s">
        <v>222</v>
      </c>
      <c r="J4769" s="3" t="s">
        <v>5011</v>
      </c>
      <c r="K4769" s="3" t="s">
        <v>222</v>
      </c>
    </row>
    <row r="4770" ht="15.6" spans="4:11">
      <c r="D4770" s="3">
        <v>9908</v>
      </c>
      <c r="E4770" s="3" t="s">
        <v>222</v>
      </c>
      <c r="J4770" s="3" t="s">
        <v>5012</v>
      </c>
      <c r="K4770" s="3" t="s">
        <v>222</v>
      </c>
    </row>
    <row r="4771" ht="15.6" spans="4:11">
      <c r="D4771" s="3">
        <v>9909</v>
      </c>
      <c r="E4771" s="3" t="s">
        <v>222</v>
      </c>
      <c r="J4771" s="3" t="s">
        <v>5013</v>
      </c>
      <c r="K4771" s="3" t="s">
        <v>222</v>
      </c>
    </row>
    <row r="4772" ht="15.6" spans="4:11">
      <c r="D4772" s="3">
        <v>9910</v>
      </c>
      <c r="E4772" s="3" t="s">
        <v>222</v>
      </c>
      <c r="J4772" s="3" t="s">
        <v>5014</v>
      </c>
      <c r="K4772" s="3" t="s">
        <v>222</v>
      </c>
    </row>
    <row r="4773" ht="15.6" spans="4:11">
      <c r="D4773" s="3">
        <v>9911</v>
      </c>
      <c r="E4773" s="3" t="s">
        <v>222</v>
      </c>
      <c r="J4773" s="3" t="s">
        <v>5015</v>
      </c>
      <c r="K4773" s="3" t="s">
        <v>222</v>
      </c>
    </row>
    <row r="4774" ht="15.6" spans="4:11">
      <c r="D4774" s="3">
        <v>9912</v>
      </c>
      <c r="E4774" s="3" t="s">
        <v>222</v>
      </c>
      <c r="J4774" s="3" t="s">
        <v>5016</v>
      </c>
      <c r="K4774" s="3" t="s">
        <v>222</v>
      </c>
    </row>
    <row r="4775" ht="15.6" spans="4:11">
      <c r="D4775" s="3">
        <v>9913</v>
      </c>
      <c r="E4775" s="3" t="s">
        <v>222</v>
      </c>
      <c r="J4775" s="3" t="s">
        <v>5017</v>
      </c>
      <c r="K4775" s="3" t="s">
        <v>222</v>
      </c>
    </row>
    <row r="4776" ht="15.6" spans="4:11">
      <c r="D4776" s="3">
        <v>9914</v>
      </c>
      <c r="E4776" s="3" t="s">
        <v>222</v>
      </c>
      <c r="J4776" s="3" t="s">
        <v>5018</v>
      </c>
      <c r="K4776" s="3" t="s">
        <v>222</v>
      </c>
    </row>
    <row r="4777" ht="15.6" spans="4:11">
      <c r="D4777" s="3">
        <v>9915</v>
      </c>
      <c r="E4777" s="3" t="s">
        <v>222</v>
      </c>
      <c r="J4777" s="3" t="s">
        <v>5019</v>
      </c>
      <c r="K4777" s="3" t="s">
        <v>222</v>
      </c>
    </row>
    <row r="4778" ht="15.6" spans="4:11">
      <c r="D4778" s="3">
        <v>9916</v>
      </c>
      <c r="E4778" s="3" t="s">
        <v>222</v>
      </c>
      <c r="J4778" s="3" t="s">
        <v>5020</v>
      </c>
      <c r="K4778" s="3" t="s">
        <v>222</v>
      </c>
    </row>
    <row r="4779" ht="15.6" spans="4:11">
      <c r="D4779" s="3">
        <v>9917</v>
      </c>
      <c r="E4779" s="3" t="s">
        <v>222</v>
      </c>
      <c r="J4779" s="3" t="s">
        <v>5021</v>
      </c>
      <c r="K4779" s="3" t="s">
        <v>222</v>
      </c>
    </row>
    <row r="4780" ht="15.6" spans="4:11">
      <c r="D4780" s="3">
        <v>9918</v>
      </c>
      <c r="E4780" s="3" t="s">
        <v>222</v>
      </c>
      <c r="J4780" s="3" t="s">
        <v>5022</v>
      </c>
      <c r="K4780" s="3" t="s">
        <v>222</v>
      </c>
    </row>
    <row r="4781" ht="15.6" spans="4:11">
      <c r="D4781" s="3">
        <v>9919</v>
      </c>
      <c r="E4781" s="3" t="s">
        <v>222</v>
      </c>
      <c r="J4781" s="4" t="s">
        <v>5023</v>
      </c>
      <c r="K4781" s="4" t="s">
        <v>222</v>
      </c>
    </row>
    <row r="4782" ht="15.6" spans="4:11">
      <c r="D4782" s="5">
        <v>3810</v>
      </c>
      <c r="E4782" s="5" t="s">
        <v>222</v>
      </c>
      <c r="J4782" s="5">
        <v>3810</v>
      </c>
      <c r="K4782" s="5" t="s">
        <v>222</v>
      </c>
    </row>
    <row r="4783" ht="15.6" spans="4:11">
      <c r="D4783" s="5">
        <v>3429</v>
      </c>
      <c r="E4783" s="5" t="s">
        <v>222</v>
      </c>
      <c r="J4783" s="5">
        <v>3429</v>
      </c>
      <c r="K4783" s="5" t="s">
        <v>222</v>
      </c>
    </row>
    <row r="4784" ht="15.6" spans="4:11">
      <c r="D4784" s="5">
        <v>3806</v>
      </c>
      <c r="E4784" s="5" t="s">
        <v>222</v>
      </c>
      <c r="J4784" s="5">
        <v>3806</v>
      </c>
      <c r="K4784" s="5" t="s">
        <v>222</v>
      </c>
    </row>
    <row r="4785" ht="15.6" spans="4:11">
      <c r="D4785" s="5">
        <v>3805</v>
      </c>
      <c r="E4785" s="5" t="s">
        <v>222</v>
      </c>
      <c r="J4785" s="5">
        <v>3805</v>
      </c>
      <c r="K4785" s="5" t="s">
        <v>222</v>
      </c>
    </row>
    <row r="4786" ht="15.6" spans="4:11">
      <c r="D4786" s="5">
        <v>3337</v>
      </c>
      <c r="E4786" s="5" t="s">
        <v>222</v>
      </c>
      <c r="J4786" s="5">
        <v>3337</v>
      </c>
      <c r="K4786" s="5" t="s">
        <v>222</v>
      </c>
    </row>
    <row r="4787" ht="15.6" spans="4:11">
      <c r="D4787" s="5">
        <v>3338</v>
      </c>
      <c r="E4787" s="5" t="s">
        <v>222</v>
      </c>
      <c r="J4787" s="5">
        <v>3338</v>
      </c>
      <c r="K4787" s="5" t="s">
        <v>222</v>
      </c>
    </row>
    <row r="4788" ht="15.6" spans="4:11">
      <c r="D4788" s="5">
        <v>3340</v>
      </c>
      <c r="E4788" s="5" t="s">
        <v>222</v>
      </c>
      <c r="J4788" s="5">
        <v>3340</v>
      </c>
      <c r="K4788" s="5" t="s">
        <v>222</v>
      </c>
    </row>
    <row r="4789" ht="15.6" spans="4:11">
      <c r="D4789" s="5">
        <v>3809</v>
      </c>
      <c r="E4789" s="5" t="s">
        <v>222</v>
      </c>
      <c r="J4789" s="5">
        <v>3809</v>
      </c>
      <c r="K4789" s="5" t="s">
        <v>222</v>
      </c>
    </row>
    <row r="4790" ht="15.6" spans="4:11">
      <c r="D4790" s="5">
        <v>3802</v>
      </c>
      <c r="E4790" s="5" t="s">
        <v>222</v>
      </c>
      <c r="J4790" s="5">
        <v>3802</v>
      </c>
      <c r="K4790" s="5" t="s">
        <v>222</v>
      </c>
    </row>
    <row r="4791" ht="15.6" spans="4:11">
      <c r="D4791" s="5">
        <v>3976</v>
      </c>
      <c r="E4791" s="5" t="s">
        <v>222</v>
      </c>
      <c r="J4791" s="5">
        <v>3976</v>
      </c>
      <c r="K4791" s="5" t="s">
        <v>222</v>
      </c>
    </row>
    <row r="4792" ht="15.6" spans="4:11">
      <c r="D4792" s="5">
        <v>3975</v>
      </c>
      <c r="E4792" s="5" t="s">
        <v>222</v>
      </c>
      <c r="J4792" s="5">
        <v>3975</v>
      </c>
      <c r="K4792" s="5" t="s">
        <v>222</v>
      </c>
    </row>
    <row r="4793" ht="15.6" spans="4:11">
      <c r="D4793" s="5">
        <v>3803</v>
      </c>
      <c r="E4793" s="5" t="s">
        <v>222</v>
      </c>
      <c r="J4793" s="5">
        <v>3803</v>
      </c>
      <c r="K4793" s="5" t="s">
        <v>222</v>
      </c>
    </row>
    <row r="4794" ht="15.6" spans="4:11">
      <c r="D4794" s="5">
        <v>3804</v>
      </c>
      <c r="E4794" s="5" t="s">
        <v>222</v>
      </c>
      <c r="J4794" s="5">
        <v>3804</v>
      </c>
      <c r="K4794" s="5" t="s">
        <v>222</v>
      </c>
    </row>
    <row r="4795" ht="15.6" spans="4:11">
      <c r="D4795" s="5">
        <v>3977</v>
      </c>
      <c r="E4795" s="5" t="s">
        <v>222</v>
      </c>
      <c r="J4795" s="5">
        <v>3977</v>
      </c>
      <c r="K4795" s="5" t="s">
        <v>222</v>
      </c>
    </row>
    <row r="4796" ht="15.6" spans="4:11">
      <c r="D4796" s="5">
        <v>3978</v>
      </c>
      <c r="E4796" s="5" t="s">
        <v>222</v>
      </c>
      <c r="J4796" s="5">
        <v>3978</v>
      </c>
      <c r="K4796" s="5" t="s">
        <v>222</v>
      </c>
    </row>
    <row r="4797" ht="15.6" spans="4:11">
      <c r="D4797" s="5">
        <v>3910</v>
      </c>
      <c r="E4797" s="5" t="s">
        <v>222</v>
      </c>
      <c r="J4797" s="5">
        <v>3910</v>
      </c>
      <c r="K4797" s="5" t="s">
        <v>222</v>
      </c>
    </row>
    <row r="4798" ht="15.6" spans="4:11">
      <c r="D4798" s="5">
        <v>2765</v>
      </c>
      <c r="E4798" s="5" t="s">
        <v>222</v>
      </c>
      <c r="J4798" s="5">
        <v>2765</v>
      </c>
      <c r="K4798" s="5" t="s">
        <v>222</v>
      </c>
    </row>
    <row r="4799" ht="15.6" spans="4:11">
      <c r="D4799" s="5">
        <v>2230</v>
      </c>
      <c r="E4799" s="5" t="s">
        <v>222</v>
      </c>
      <c r="J4799" s="5">
        <v>2230</v>
      </c>
      <c r="K4799" s="5" t="s">
        <v>222</v>
      </c>
    </row>
    <row r="4800" ht="15.6" spans="4:11">
      <c r="D4800" s="5">
        <v>2745</v>
      </c>
      <c r="E4800" s="5" t="s">
        <v>222</v>
      </c>
      <c r="J4800" s="5">
        <v>2745</v>
      </c>
      <c r="K4800" s="5" t="s">
        <v>222</v>
      </c>
    </row>
    <row r="4801" ht="15.6" spans="4:11">
      <c r="D4801" s="5">
        <v>2173</v>
      </c>
      <c r="E4801" s="5" t="s">
        <v>222</v>
      </c>
      <c r="J4801" s="5">
        <v>2173</v>
      </c>
      <c r="K4801" s="5" t="s">
        <v>222</v>
      </c>
    </row>
    <row r="4802" ht="15.6" spans="4:11">
      <c r="D4802" s="5">
        <v>2570</v>
      </c>
      <c r="E4802" s="5" t="s">
        <v>222</v>
      </c>
      <c r="J4802" s="5">
        <v>2570</v>
      </c>
      <c r="K4802" s="5" t="s">
        <v>222</v>
      </c>
    </row>
    <row r="4803" ht="15.6" spans="4:11">
      <c r="D4803" s="5">
        <v>2560</v>
      </c>
      <c r="E4803" s="5" t="s">
        <v>222</v>
      </c>
      <c r="J4803" s="5">
        <v>2560</v>
      </c>
      <c r="K4803" s="5" t="s">
        <v>222</v>
      </c>
    </row>
    <row r="4804" ht="15.6" spans="4:11">
      <c r="D4804" s="4">
        <v>2264</v>
      </c>
      <c r="E4804" s="4" t="s">
        <v>223</v>
      </c>
      <c r="J4804" s="3" t="s">
        <v>5024</v>
      </c>
      <c r="K4804" s="3" t="s">
        <v>223</v>
      </c>
    </row>
    <row r="4805" ht="15.6" spans="4:11">
      <c r="D4805" s="4">
        <v>2265</v>
      </c>
      <c r="E4805" s="4" t="s">
        <v>223</v>
      </c>
      <c r="J4805" s="3" t="s">
        <v>5025</v>
      </c>
      <c r="K4805" s="3" t="s">
        <v>223</v>
      </c>
    </row>
    <row r="4806" ht="15.6" spans="4:11">
      <c r="D4806" s="4">
        <v>2266</v>
      </c>
      <c r="E4806" s="4" t="s">
        <v>223</v>
      </c>
      <c r="J4806" s="3" t="s">
        <v>5026</v>
      </c>
      <c r="K4806" s="3" t="s">
        <v>223</v>
      </c>
    </row>
    <row r="4807" ht="15.6" spans="4:11">
      <c r="D4807" s="4">
        <v>2267</v>
      </c>
      <c r="E4807" s="4" t="s">
        <v>223</v>
      </c>
      <c r="J4807" s="3" t="s">
        <v>5027</v>
      </c>
      <c r="K4807" s="3" t="s">
        <v>223</v>
      </c>
    </row>
    <row r="4808" ht="15.6" spans="4:11">
      <c r="D4808" s="4">
        <v>2268</v>
      </c>
      <c r="E4808" s="4" t="s">
        <v>223</v>
      </c>
      <c r="J4808" s="3" t="s">
        <v>5028</v>
      </c>
      <c r="K4808" s="3" t="s">
        <v>223</v>
      </c>
    </row>
    <row r="4809" ht="15.6" spans="4:11">
      <c r="D4809" s="4">
        <v>2269</v>
      </c>
      <c r="E4809" s="4" t="s">
        <v>223</v>
      </c>
      <c r="J4809" s="3" t="s">
        <v>5029</v>
      </c>
      <c r="K4809" s="3" t="s">
        <v>223</v>
      </c>
    </row>
    <row r="4810" ht="15.6" spans="4:11">
      <c r="D4810" s="4">
        <v>2270</v>
      </c>
      <c r="E4810" s="4" t="s">
        <v>223</v>
      </c>
      <c r="J4810" s="3" t="s">
        <v>5030</v>
      </c>
      <c r="K4810" s="3" t="s">
        <v>223</v>
      </c>
    </row>
    <row r="4811" ht="15.6" spans="4:11">
      <c r="D4811" s="4">
        <v>2271</v>
      </c>
      <c r="E4811" s="4" t="s">
        <v>223</v>
      </c>
      <c r="J4811" s="3" t="s">
        <v>5031</v>
      </c>
      <c r="K4811" s="3" t="s">
        <v>223</v>
      </c>
    </row>
    <row r="4812" ht="15.6" spans="4:11">
      <c r="D4812" s="4">
        <v>2272</v>
      </c>
      <c r="E4812" s="4" t="s">
        <v>223</v>
      </c>
      <c r="J4812" s="3" t="s">
        <v>5032</v>
      </c>
      <c r="K4812" s="3" t="s">
        <v>223</v>
      </c>
    </row>
    <row r="4813" ht="15.6" spans="4:11">
      <c r="D4813" s="4">
        <v>2273</v>
      </c>
      <c r="E4813" s="4" t="s">
        <v>223</v>
      </c>
      <c r="J4813" s="3" t="s">
        <v>5033</v>
      </c>
      <c r="K4813" s="3" t="s">
        <v>223</v>
      </c>
    </row>
    <row r="4814" ht="15.6" spans="4:11">
      <c r="D4814" s="4">
        <v>2274</v>
      </c>
      <c r="E4814" s="4" t="s">
        <v>223</v>
      </c>
      <c r="J4814" s="3" t="s">
        <v>5034</v>
      </c>
      <c r="K4814" s="3" t="s">
        <v>223</v>
      </c>
    </row>
    <row r="4815" ht="15.6" spans="4:11">
      <c r="D4815" s="4">
        <v>2275</v>
      </c>
      <c r="E4815" s="4" t="s">
        <v>223</v>
      </c>
      <c r="J4815" s="3" t="s">
        <v>5035</v>
      </c>
      <c r="K4815" s="3" t="s">
        <v>223</v>
      </c>
    </row>
    <row r="4816" ht="15.6" spans="4:11">
      <c r="D4816" s="4">
        <v>2276</v>
      </c>
      <c r="E4816" s="4" t="s">
        <v>223</v>
      </c>
      <c r="J4816" s="3" t="s">
        <v>5036</v>
      </c>
      <c r="K4816" s="3" t="s">
        <v>223</v>
      </c>
    </row>
    <row r="4817" ht="15.6" spans="4:11">
      <c r="D4817" s="4">
        <v>2277</v>
      </c>
      <c r="E4817" s="4" t="s">
        <v>223</v>
      </c>
      <c r="J4817" s="3" t="s">
        <v>5037</v>
      </c>
      <c r="K4817" s="3" t="s">
        <v>223</v>
      </c>
    </row>
    <row r="4818" ht="15.6" spans="4:11">
      <c r="D4818" s="4">
        <v>2278</v>
      </c>
      <c r="E4818" s="4" t="s">
        <v>223</v>
      </c>
      <c r="J4818" s="3" t="s">
        <v>5038</v>
      </c>
      <c r="K4818" s="3" t="s">
        <v>223</v>
      </c>
    </row>
    <row r="4819" ht="15.6" spans="4:11">
      <c r="D4819" s="4">
        <v>2279</v>
      </c>
      <c r="E4819" s="4" t="s">
        <v>223</v>
      </c>
      <c r="J4819" s="3" t="s">
        <v>5039</v>
      </c>
      <c r="K4819" s="3" t="s">
        <v>223</v>
      </c>
    </row>
    <row r="4820" ht="15.6" spans="4:11">
      <c r="D4820" s="4">
        <v>2280</v>
      </c>
      <c r="E4820" s="4" t="s">
        <v>223</v>
      </c>
      <c r="J4820" s="3" t="s">
        <v>5040</v>
      </c>
      <c r="K4820" s="3" t="s">
        <v>223</v>
      </c>
    </row>
    <row r="4821" ht="15.6" spans="4:11">
      <c r="D4821" s="4">
        <v>2281</v>
      </c>
      <c r="E4821" s="4" t="s">
        <v>223</v>
      </c>
      <c r="J4821" s="3" t="s">
        <v>5041</v>
      </c>
      <c r="K4821" s="3" t="s">
        <v>223</v>
      </c>
    </row>
    <row r="4822" ht="15.6" spans="4:11">
      <c r="D4822" s="4">
        <v>2311</v>
      </c>
      <c r="E4822" s="4" t="s">
        <v>223</v>
      </c>
      <c r="J4822" s="3" t="s">
        <v>5042</v>
      </c>
      <c r="K4822" s="3" t="s">
        <v>223</v>
      </c>
    </row>
    <row r="4823" ht="15.6" spans="4:11">
      <c r="D4823" s="4">
        <v>2312</v>
      </c>
      <c r="E4823" s="4" t="s">
        <v>223</v>
      </c>
      <c r="J4823" s="3" t="s">
        <v>5043</v>
      </c>
      <c r="K4823" s="3" t="s">
        <v>223</v>
      </c>
    </row>
    <row r="4824" ht="15.6" spans="4:11">
      <c r="D4824" s="4">
        <v>2313</v>
      </c>
      <c r="E4824" s="4" t="s">
        <v>223</v>
      </c>
      <c r="J4824" s="3" t="s">
        <v>5044</v>
      </c>
      <c r="K4824" s="3" t="s">
        <v>223</v>
      </c>
    </row>
    <row r="4825" ht="15.6" spans="4:11">
      <c r="D4825" s="4">
        <v>2314</v>
      </c>
      <c r="E4825" s="4" t="s">
        <v>223</v>
      </c>
      <c r="J4825" s="3" t="s">
        <v>5045</v>
      </c>
      <c r="K4825" s="3" t="s">
        <v>223</v>
      </c>
    </row>
    <row r="4826" ht="15.6" spans="4:11">
      <c r="D4826" s="4">
        <v>2315</v>
      </c>
      <c r="E4826" s="4" t="s">
        <v>223</v>
      </c>
      <c r="J4826" s="3" t="s">
        <v>5046</v>
      </c>
      <c r="K4826" s="3" t="s">
        <v>223</v>
      </c>
    </row>
    <row r="4827" ht="15.6" spans="4:11">
      <c r="D4827" s="4">
        <v>2316</v>
      </c>
      <c r="E4827" s="4" t="s">
        <v>223</v>
      </c>
      <c r="J4827" s="3" t="s">
        <v>5047</v>
      </c>
      <c r="K4827" s="3" t="s">
        <v>223</v>
      </c>
    </row>
    <row r="4828" ht="15.6" spans="4:11">
      <c r="D4828" s="4">
        <v>2317</v>
      </c>
      <c r="E4828" s="4" t="s">
        <v>223</v>
      </c>
      <c r="J4828" s="3" t="s">
        <v>5048</v>
      </c>
      <c r="K4828" s="3" t="s">
        <v>223</v>
      </c>
    </row>
    <row r="4829" ht="15.6" spans="4:11">
      <c r="D4829" s="4">
        <v>2318</v>
      </c>
      <c r="E4829" s="4" t="s">
        <v>223</v>
      </c>
      <c r="J4829" s="3" t="s">
        <v>5049</v>
      </c>
      <c r="K4829" s="3" t="s">
        <v>223</v>
      </c>
    </row>
    <row r="4830" ht="15.6" spans="4:11">
      <c r="D4830" s="4">
        <v>2319</v>
      </c>
      <c r="E4830" s="4" t="s">
        <v>223</v>
      </c>
      <c r="J4830" s="3" t="s">
        <v>5050</v>
      </c>
      <c r="K4830" s="3" t="s">
        <v>223</v>
      </c>
    </row>
    <row r="4831" ht="15.6" spans="4:11">
      <c r="D4831" s="4">
        <v>2320</v>
      </c>
      <c r="E4831" s="4" t="s">
        <v>223</v>
      </c>
      <c r="J4831" s="3" t="s">
        <v>5051</v>
      </c>
      <c r="K4831" s="3" t="s">
        <v>223</v>
      </c>
    </row>
    <row r="4832" ht="15.6" spans="4:11">
      <c r="D4832" s="4">
        <v>2321</v>
      </c>
      <c r="E4832" s="4" t="s">
        <v>223</v>
      </c>
      <c r="J4832" s="3" t="s">
        <v>5052</v>
      </c>
      <c r="K4832" s="3" t="s">
        <v>223</v>
      </c>
    </row>
    <row r="4833" ht="15.6" spans="4:11">
      <c r="D4833" s="4">
        <v>2322</v>
      </c>
      <c r="E4833" s="4" t="s">
        <v>223</v>
      </c>
      <c r="J4833" s="3" t="s">
        <v>5053</v>
      </c>
      <c r="K4833" s="3" t="s">
        <v>223</v>
      </c>
    </row>
    <row r="4834" ht="15.6" spans="4:11">
      <c r="D4834" s="4">
        <v>2323</v>
      </c>
      <c r="E4834" s="4" t="s">
        <v>223</v>
      </c>
      <c r="J4834" s="3" t="s">
        <v>5054</v>
      </c>
      <c r="K4834" s="3" t="s">
        <v>223</v>
      </c>
    </row>
    <row r="4835" ht="15.6" spans="4:11">
      <c r="D4835" s="4">
        <v>2324</v>
      </c>
      <c r="E4835" s="4" t="s">
        <v>223</v>
      </c>
      <c r="J4835" s="3" t="s">
        <v>5055</v>
      </c>
      <c r="K4835" s="3" t="s">
        <v>223</v>
      </c>
    </row>
    <row r="4836" ht="15.6" spans="4:11">
      <c r="D4836" s="4">
        <v>2325</v>
      </c>
      <c r="E4836" s="4" t="s">
        <v>223</v>
      </c>
      <c r="J4836" s="3" t="s">
        <v>5056</v>
      </c>
      <c r="K4836" s="3" t="s">
        <v>223</v>
      </c>
    </row>
    <row r="4837" ht="15.6" spans="4:11">
      <c r="D4837" s="4">
        <v>2326</v>
      </c>
      <c r="E4837" s="4" t="s">
        <v>223</v>
      </c>
      <c r="J4837" s="3" t="s">
        <v>5057</v>
      </c>
      <c r="K4837" s="3" t="s">
        <v>223</v>
      </c>
    </row>
    <row r="4838" ht="15.6" spans="4:11">
      <c r="D4838" s="4">
        <v>2327</v>
      </c>
      <c r="E4838" s="4" t="s">
        <v>223</v>
      </c>
      <c r="J4838" s="3" t="s">
        <v>5058</v>
      </c>
      <c r="K4838" s="3" t="s">
        <v>223</v>
      </c>
    </row>
    <row r="4839" ht="15.6" spans="4:11">
      <c r="D4839" s="4">
        <v>2328</v>
      </c>
      <c r="E4839" s="4" t="s">
        <v>223</v>
      </c>
      <c r="J4839" s="3" t="s">
        <v>5059</v>
      </c>
      <c r="K4839" s="3" t="s">
        <v>223</v>
      </c>
    </row>
    <row r="4840" ht="15.6" spans="4:11">
      <c r="D4840" s="4">
        <v>2329</v>
      </c>
      <c r="E4840" s="4" t="s">
        <v>223</v>
      </c>
      <c r="J4840" s="3" t="s">
        <v>5060</v>
      </c>
      <c r="K4840" s="3" t="s">
        <v>223</v>
      </c>
    </row>
    <row r="4841" ht="15.6" spans="4:11">
      <c r="D4841" s="4">
        <v>2330</v>
      </c>
      <c r="E4841" s="4" t="s">
        <v>223</v>
      </c>
      <c r="J4841" s="3" t="s">
        <v>5061</v>
      </c>
      <c r="K4841" s="3" t="s">
        <v>223</v>
      </c>
    </row>
    <row r="4842" ht="15.6" spans="4:11">
      <c r="D4842" s="4">
        <v>2331</v>
      </c>
      <c r="E4842" s="4" t="s">
        <v>223</v>
      </c>
      <c r="J4842" s="3" t="s">
        <v>5062</v>
      </c>
      <c r="K4842" s="3" t="s">
        <v>223</v>
      </c>
    </row>
    <row r="4843" ht="15.6" spans="4:11">
      <c r="D4843" s="4">
        <v>2332</v>
      </c>
      <c r="E4843" s="4" t="s">
        <v>223</v>
      </c>
      <c r="J4843" s="3" t="s">
        <v>5063</v>
      </c>
      <c r="K4843" s="3" t="s">
        <v>223</v>
      </c>
    </row>
    <row r="4844" ht="15.6" spans="4:11">
      <c r="D4844" s="4">
        <v>2333</v>
      </c>
      <c r="E4844" s="4" t="s">
        <v>223</v>
      </c>
      <c r="J4844" s="3" t="s">
        <v>5064</v>
      </c>
      <c r="K4844" s="3" t="s">
        <v>223</v>
      </c>
    </row>
    <row r="4845" ht="15.6" spans="4:11">
      <c r="D4845" s="4">
        <v>2334</v>
      </c>
      <c r="E4845" s="4" t="s">
        <v>223</v>
      </c>
      <c r="J4845" s="3" t="s">
        <v>5065</v>
      </c>
      <c r="K4845" s="3" t="s">
        <v>223</v>
      </c>
    </row>
    <row r="4846" ht="15.6" spans="4:11">
      <c r="D4846" s="4">
        <v>2335</v>
      </c>
      <c r="E4846" s="4" t="s">
        <v>223</v>
      </c>
      <c r="J4846" s="3" t="s">
        <v>5066</v>
      </c>
      <c r="K4846" s="3" t="s">
        <v>223</v>
      </c>
    </row>
    <row r="4847" ht="15.6" spans="4:11">
      <c r="D4847" s="4">
        <v>2336</v>
      </c>
      <c r="E4847" s="4" t="s">
        <v>223</v>
      </c>
      <c r="J4847" s="3" t="s">
        <v>5067</v>
      </c>
      <c r="K4847" s="3" t="s">
        <v>223</v>
      </c>
    </row>
    <row r="4848" ht="15.6" spans="4:11">
      <c r="D4848" s="4">
        <v>2337</v>
      </c>
      <c r="E4848" s="4" t="s">
        <v>223</v>
      </c>
      <c r="J4848" s="3" t="s">
        <v>5068</v>
      </c>
      <c r="K4848" s="3" t="s">
        <v>223</v>
      </c>
    </row>
    <row r="4849" ht="15.6" spans="4:11">
      <c r="D4849" s="4">
        <v>2338</v>
      </c>
      <c r="E4849" s="4" t="s">
        <v>223</v>
      </c>
      <c r="J4849" s="3" t="s">
        <v>5069</v>
      </c>
      <c r="K4849" s="3" t="s">
        <v>223</v>
      </c>
    </row>
    <row r="4850" ht="15.6" spans="4:11">
      <c r="D4850" s="4">
        <v>2339</v>
      </c>
      <c r="E4850" s="4" t="s">
        <v>223</v>
      </c>
      <c r="J4850" s="3" t="s">
        <v>5070</v>
      </c>
      <c r="K4850" s="3" t="s">
        <v>223</v>
      </c>
    </row>
    <row r="4851" ht="15.6" spans="4:11">
      <c r="D4851" s="4">
        <v>2340</v>
      </c>
      <c r="E4851" s="4" t="s">
        <v>223</v>
      </c>
      <c r="J4851" s="3" t="s">
        <v>5071</v>
      </c>
      <c r="K4851" s="3" t="s">
        <v>223</v>
      </c>
    </row>
    <row r="4852" ht="15.6" spans="4:11">
      <c r="D4852" s="4">
        <v>2341</v>
      </c>
      <c r="E4852" s="4" t="s">
        <v>223</v>
      </c>
      <c r="J4852" s="3" t="s">
        <v>5072</v>
      </c>
      <c r="K4852" s="3" t="s">
        <v>223</v>
      </c>
    </row>
    <row r="4853" ht="15.6" spans="4:11">
      <c r="D4853" s="4">
        <v>2342</v>
      </c>
      <c r="E4853" s="4" t="s">
        <v>223</v>
      </c>
      <c r="J4853" s="3" t="s">
        <v>5073</v>
      </c>
      <c r="K4853" s="3" t="s">
        <v>223</v>
      </c>
    </row>
    <row r="4854" ht="15.6" spans="4:11">
      <c r="D4854" s="4">
        <v>2343</v>
      </c>
      <c r="E4854" s="4" t="s">
        <v>223</v>
      </c>
      <c r="J4854" s="3" t="s">
        <v>5074</v>
      </c>
      <c r="K4854" s="3" t="s">
        <v>223</v>
      </c>
    </row>
    <row r="4855" ht="15.6" spans="4:11">
      <c r="D4855" s="4">
        <v>2344</v>
      </c>
      <c r="E4855" s="4" t="s">
        <v>223</v>
      </c>
      <c r="J4855" s="3" t="s">
        <v>5075</v>
      </c>
      <c r="K4855" s="3" t="s">
        <v>223</v>
      </c>
    </row>
    <row r="4856" ht="15.6" spans="4:11">
      <c r="D4856" s="4">
        <v>2345</v>
      </c>
      <c r="E4856" s="4" t="s">
        <v>223</v>
      </c>
      <c r="J4856" s="3" t="s">
        <v>5076</v>
      </c>
      <c r="K4856" s="3" t="s">
        <v>223</v>
      </c>
    </row>
    <row r="4857" ht="15.6" spans="4:11">
      <c r="D4857" s="4">
        <v>2346</v>
      </c>
      <c r="E4857" s="4" t="s">
        <v>223</v>
      </c>
      <c r="J4857" s="3" t="s">
        <v>5077</v>
      </c>
      <c r="K4857" s="3" t="s">
        <v>223</v>
      </c>
    </row>
    <row r="4858" ht="15.6" spans="4:11">
      <c r="D4858" s="4">
        <v>2347</v>
      </c>
      <c r="E4858" s="4" t="s">
        <v>223</v>
      </c>
      <c r="J4858" s="3" t="s">
        <v>5078</v>
      </c>
      <c r="K4858" s="3" t="s">
        <v>223</v>
      </c>
    </row>
    <row r="4859" ht="15.6" spans="4:11">
      <c r="D4859" s="4">
        <v>2348</v>
      </c>
      <c r="E4859" s="4" t="s">
        <v>223</v>
      </c>
      <c r="J4859" s="3" t="s">
        <v>5079</v>
      </c>
      <c r="K4859" s="3" t="s">
        <v>223</v>
      </c>
    </row>
    <row r="4860" ht="15.6" spans="4:11">
      <c r="D4860" s="4">
        <v>2349</v>
      </c>
      <c r="E4860" s="4" t="s">
        <v>223</v>
      </c>
      <c r="J4860" s="3" t="s">
        <v>5080</v>
      </c>
      <c r="K4860" s="3" t="s">
        <v>223</v>
      </c>
    </row>
    <row r="4861" ht="15.6" spans="4:11">
      <c r="D4861" s="4">
        <v>2350</v>
      </c>
      <c r="E4861" s="4" t="s">
        <v>223</v>
      </c>
      <c r="J4861" s="3" t="s">
        <v>5081</v>
      </c>
      <c r="K4861" s="3" t="s">
        <v>223</v>
      </c>
    </row>
    <row r="4862" ht="15.6" spans="4:11">
      <c r="D4862" s="4">
        <v>2351</v>
      </c>
      <c r="E4862" s="4" t="s">
        <v>223</v>
      </c>
      <c r="J4862" s="3" t="s">
        <v>5082</v>
      </c>
      <c r="K4862" s="3" t="s">
        <v>223</v>
      </c>
    </row>
    <row r="4863" ht="15.6" spans="4:11">
      <c r="D4863" s="4">
        <v>2352</v>
      </c>
      <c r="E4863" s="4" t="s">
        <v>223</v>
      </c>
      <c r="J4863" s="3" t="s">
        <v>5083</v>
      </c>
      <c r="K4863" s="3" t="s">
        <v>223</v>
      </c>
    </row>
    <row r="4864" ht="15.6" spans="4:11">
      <c r="D4864" s="4">
        <v>2353</v>
      </c>
      <c r="E4864" s="4" t="s">
        <v>223</v>
      </c>
      <c r="J4864" s="3" t="s">
        <v>5084</v>
      </c>
      <c r="K4864" s="3" t="s">
        <v>223</v>
      </c>
    </row>
    <row r="4865" ht="15.6" spans="4:11">
      <c r="D4865" s="4">
        <v>2354</v>
      </c>
      <c r="E4865" s="4" t="s">
        <v>223</v>
      </c>
      <c r="J4865" s="3" t="s">
        <v>5085</v>
      </c>
      <c r="K4865" s="3" t="s">
        <v>223</v>
      </c>
    </row>
    <row r="4866" ht="15.6" spans="4:11">
      <c r="D4866" s="4">
        <v>2355</v>
      </c>
      <c r="E4866" s="4" t="s">
        <v>223</v>
      </c>
      <c r="J4866" s="3" t="s">
        <v>5086</v>
      </c>
      <c r="K4866" s="3" t="s">
        <v>223</v>
      </c>
    </row>
    <row r="4867" ht="15.6" spans="4:11">
      <c r="D4867" s="4">
        <v>2356</v>
      </c>
      <c r="E4867" s="4" t="s">
        <v>223</v>
      </c>
      <c r="J4867" s="3" t="s">
        <v>5087</v>
      </c>
      <c r="K4867" s="3" t="s">
        <v>223</v>
      </c>
    </row>
    <row r="4868" ht="15.6" spans="4:11">
      <c r="D4868" s="4">
        <v>2357</v>
      </c>
      <c r="E4868" s="4" t="s">
        <v>223</v>
      </c>
      <c r="J4868" s="3" t="s">
        <v>5088</v>
      </c>
      <c r="K4868" s="3" t="s">
        <v>223</v>
      </c>
    </row>
    <row r="4869" ht="15.6" spans="4:11">
      <c r="D4869" s="4">
        <v>2358</v>
      </c>
      <c r="E4869" s="4" t="s">
        <v>223</v>
      </c>
      <c r="J4869" s="3" t="s">
        <v>5089</v>
      </c>
      <c r="K4869" s="3" t="s">
        <v>223</v>
      </c>
    </row>
    <row r="4870" ht="15.6" spans="4:11">
      <c r="D4870" s="4">
        <v>2359</v>
      </c>
      <c r="E4870" s="4" t="s">
        <v>223</v>
      </c>
      <c r="J4870" s="3" t="s">
        <v>5090</v>
      </c>
      <c r="K4870" s="3" t="s">
        <v>223</v>
      </c>
    </row>
    <row r="4871" ht="15.6" spans="4:11">
      <c r="D4871" s="4">
        <v>2360</v>
      </c>
      <c r="E4871" s="4" t="s">
        <v>223</v>
      </c>
      <c r="J4871" s="3" t="s">
        <v>5091</v>
      </c>
      <c r="K4871" s="3" t="s">
        <v>223</v>
      </c>
    </row>
    <row r="4872" ht="15.6" spans="4:11">
      <c r="D4872" s="4">
        <v>2361</v>
      </c>
      <c r="E4872" s="4" t="s">
        <v>223</v>
      </c>
      <c r="J4872" s="3" t="s">
        <v>5092</v>
      </c>
      <c r="K4872" s="3" t="s">
        <v>223</v>
      </c>
    </row>
    <row r="4873" ht="15.6" spans="4:11">
      <c r="D4873" s="4">
        <v>2362</v>
      </c>
      <c r="E4873" s="4" t="s">
        <v>223</v>
      </c>
      <c r="J4873" s="3" t="s">
        <v>5093</v>
      </c>
      <c r="K4873" s="3" t="s">
        <v>223</v>
      </c>
    </row>
    <row r="4874" ht="15.6" spans="4:11">
      <c r="D4874" s="4">
        <v>2363</v>
      </c>
      <c r="E4874" s="4" t="s">
        <v>223</v>
      </c>
      <c r="J4874" s="3" t="s">
        <v>5094</v>
      </c>
      <c r="K4874" s="3" t="s">
        <v>223</v>
      </c>
    </row>
    <row r="4875" ht="15.6" spans="4:11">
      <c r="D4875" s="4">
        <v>2364</v>
      </c>
      <c r="E4875" s="4" t="s">
        <v>223</v>
      </c>
      <c r="J4875" s="3" t="s">
        <v>5095</v>
      </c>
      <c r="K4875" s="3" t="s">
        <v>223</v>
      </c>
    </row>
    <row r="4876" ht="15.6" spans="4:11">
      <c r="D4876" s="4">
        <v>2365</v>
      </c>
      <c r="E4876" s="4" t="s">
        <v>223</v>
      </c>
      <c r="J4876" s="3" t="s">
        <v>5096</v>
      </c>
      <c r="K4876" s="3" t="s">
        <v>223</v>
      </c>
    </row>
    <row r="4877" ht="15.6" spans="4:11">
      <c r="D4877" s="4">
        <v>2366</v>
      </c>
      <c r="E4877" s="4" t="s">
        <v>223</v>
      </c>
      <c r="J4877" s="3" t="s">
        <v>5097</v>
      </c>
      <c r="K4877" s="3" t="s">
        <v>223</v>
      </c>
    </row>
    <row r="4878" ht="15.6" spans="4:11">
      <c r="D4878" s="4">
        <v>2367</v>
      </c>
      <c r="E4878" s="4" t="s">
        <v>223</v>
      </c>
      <c r="J4878" s="3" t="s">
        <v>5098</v>
      </c>
      <c r="K4878" s="3" t="s">
        <v>223</v>
      </c>
    </row>
    <row r="4879" ht="15.6" spans="4:11">
      <c r="D4879" s="4">
        <v>2368</v>
      </c>
      <c r="E4879" s="4" t="s">
        <v>223</v>
      </c>
      <c r="J4879" s="3" t="s">
        <v>5099</v>
      </c>
      <c r="K4879" s="3" t="s">
        <v>223</v>
      </c>
    </row>
    <row r="4880" ht="15.6" spans="4:11">
      <c r="D4880" s="4">
        <v>2369</v>
      </c>
      <c r="E4880" s="4" t="s">
        <v>223</v>
      </c>
      <c r="J4880" s="3" t="s">
        <v>5100</v>
      </c>
      <c r="K4880" s="3" t="s">
        <v>223</v>
      </c>
    </row>
    <row r="4881" ht="15.6" spans="4:11">
      <c r="D4881" s="4">
        <v>2370</v>
      </c>
      <c r="E4881" s="4" t="s">
        <v>223</v>
      </c>
      <c r="J4881" s="3" t="s">
        <v>5101</v>
      </c>
      <c r="K4881" s="3" t="s">
        <v>223</v>
      </c>
    </row>
    <row r="4882" ht="15.6" spans="4:11">
      <c r="D4882" s="4">
        <v>2371</v>
      </c>
      <c r="E4882" s="4" t="s">
        <v>223</v>
      </c>
      <c r="J4882" s="3" t="s">
        <v>5102</v>
      </c>
      <c r="K4882" s="3" t="s">
        <v>223</v>
      </c>
    </row>
    <row r="4883" ht="15.6" spans="4:11">
      <c r="D4883" s="4">
        <v>2372</v>
      </c>
      <c r="E4883" s="4" t="s">
        <v>223</v>
      </c>
      <c r="J4883" s="3" t="s">
        <v>5103</v>
      </c>
      <c r="K4883" s="3" t="s">
        <v>223</v>
      </c>
    </row>
    <row r="4884" ht="15.6" spans="4:11">
      <c r="D4884" s="4">
        <v>2373</v>
      </c>
      <c r="E4884" s="4" t="s">
        <v>223</v>
      </c>
      <c r="J4884" s="3" t="s">
        <v>5104</v>
      </c>
      <c r="K4884" s="3" t="s">
        <v>223</v>
      </c>
    </row>
    <row r="4885" ht="15.6" spans="4:11">
      <c r="D4885" s="4">
        <v>2374</v>
      </c>
      <c r="E4885" s="4" t="s">
        <v>223</v>
      </c>
      <c r="J4885" s="3" t="s">
        <v>5105</v>
      </c>
      <c r="K4885" s="3" t="s">
        <v>223</v>
      </c>
    </row>
    <row r="4886" ht="15.6" spans="4:11">
      <c r="D4886" s="4">
        <v>2375</v>
      </c>
      <c r="E4886" s="4" t="s">
        <v>223</v>
      </c>
      <c r="J4886" s="3" t="s">
        <v>5106</v>
      </c>
      <c r="K4886" s="3" t="s">
        <v>223</v>
      </c>
    </row>
    <row r="4887" ht="15.6" spans="4:11">
      <c r="D4887" s="4">
        <v>2376</v>
      </c>
      <c r="E4887" s="4" t="s">
        <v>223</v>
      </c>
      <c r="J4887" s="3" t="s">
        <v>5107</v>
      </c>
      <c r="K4887" s="3" t="s">
        <v>223</v>
      </c>
    </row>
    <row r="4888" ht="15.6" spans="4:11">
      <c r="D4888" s="4">
        <v>2377</v>
      </c>
      <c r="E4888" s="4" t="s">
        <v>223</v>
      </c>
      <c r="J4888" s="3" t="s">
        <v>5108</v>
      </c>
      <c r="K4888" s="3" t="s">
        <v>223</v>
      </c>
    </row>
    <row r="4889" ht="15.6" spans="4:11">
      <c r="D4889" s="4">
        <v>2378</v>
      </c>
      <c r="E4889" s="4" t="s">
        <v>223</v>
      </c>
      <c r="J4889" s="3" t="s">
        <v>5109</v>
      </c>
      <c r="K4889" s="3" t="s">
        <v>223</v>
      </c>
    </row>
    <row r="4890" ht="15.6" spans="4:11">
      <c r="D4890" s="4">
        <v>2379</v>
      </c>
      <c r="E4890" s="4" t="s">
        <v>223</v>
      </c>
      <c r="J4890" s="3" t="s">
        <v>5110</v>
      </c>
      <c r="K4890" s="3" t="s">
        <v>223</v>
      </c>
    </row>
    <row r="4891" ht="15.6" spans="4:11">
      <c r="D4891" s="4">
        <v>2380</v>
      </c>
      <c r="E4891" s="4" t="s">
        <v>223</v>
      </c>
      <c r="J4891" s="3" t="s">
        <v>5111</v>
      </c>
      <c r="K4891" s="3" t="s">
        <v>223</v>
      </c>
    </row>
    <row r="4892" ht="15.6" spans="4:11">
      <c r="D4892" s="4">
        <v>2381</v>
      </c>
      <c r="E4892" s="4" t="s">
        <v>223</v>
      </c>
      <c r="J4892" s="3" t="s">
        <v>5112</v>
      </c>
      <c r="K4892" s="3" t="s">
        <v>223</v>
      </c>
    </row>
    <row r="4893" ht="15.6" spans="4:11">
      <c r="D4893" s="4">
        <v>2382</v>
      </c>
      <c r="E4893" s="4" t="s">
        <v>223</v>
      </c>
      <c r="J4893" s="3" t="s">
        <v>5113</v>
      </c>
      <c r="K4893" s="3" t="s">
        <v>223</v>
      </c>
    </row>
    <row r="4894" ht="15.6" spans="4:11">
      <c r="D4894" s="4">
        <v>2383</v>
      </c>
      <c r="E4894" s="4" t="s">
        <v>223</v>
      </c>
      <c r="J4894" s="3" t="s">
        <v>5114</v>
      </c>
      <c r="K4894" s="3" t="s">
        <v>223</v>
      </c>
    </row>
    <row r="4895" ht="15.6" spans="4:11">
      <c r="D4895" s="4">
        <v>2384</v>
      </c>
      <c r="E4895" s="4" t="s">
        <v>223</v>
      </c>
      <c r="J4895" s="3" t="s">
        <v>5115</v>
      </c>
      <c r="K4895" s="3" t="s">
        <v>223</v>
      </c>
    </row>
    <row r="4896" ht="15.6" spans="4:11">
      <c r="D4896" s="4">
        <v>2385</v>
      </c>
      <c r="E4896" s="4" t="s">
        <v>223</v>
      </c>
      <c r="J4896" s="3" t="s">
        <v>5116</v>
      </c>
      <c r="K4896" s="3" t="s">
        <v>223</v>
      </c>
    </row>
    <row r="4897" ht="15.6" spans="4:11">
      <c r="D4897" s="4">
        <v>2386</v>
      </c>
      <c r="E4897" s="4" t="s">
        <v>223</v>
      </c>
      <c r="J4897" s="3" t="s">
        <v>5117</v>
      </c>
      <c r="K4897" s="3" t="s">
        <v>223</v>
      </c>
    </row>
    <row r="4898" ht="15.6" spans="4:11">
      <c r="D4898" s="4">
        <v>2387</v>
      </c>
      <c r="E4898" s="4" t="s">
        <v>223</v>
      </c>
      <c r="J4898" s="3" t="s">
        <v>5118</v>
      </c>
      <c r="K4898" s="3" t="s">
        <v>223</v>
      </c>
    </row>
    <row r="4899" ht="15.6" spans="4:11">
      <c r="D4899" s="4">
        <v>2388</v>
      </c>
      <c r="E4899" s="4" t="s">
        <v>223</v>
      </c>
      <c r="J4899" s="3" t="s">
        <v>5119</v>
      </c>
      <c r="K4899" s="3" t="s">
        <v>223</v>
      </c>
    </row>
    <row r="4900" ht="15.6" spans="4:11">
      <c r="D4900" s="4">
        <v>2389</v>
      </c>
      <c r="E4900" s="4" t="s">
        <v>223</v>
      </c>
      <c r="J4900" s="3" t="s">
        <v>5120</v>
      </c>
      <c r="K4900" s="3" t="s">
        <v>223</v>
      </c>
    </row>
    <row r="4901" ht="15.6" spans="4:11">
      <c r="D4901" s="4">
        <v>2390</v>
      </c>
      <c r="E4901" s="4" t="s">
        <v>223</v>
      </c>
      <c r="J4901" s="3" t="s">
        <v>5121</v>
      </c>
      <c r="K4901" s="3" t="s">
        <v>223</v>
      </c>
    </row>
    <row r="4902" ht="15.6" spans="4:11">
      <c r="D4902" s="4">
        <v>2391</v>
      </c>
      <c r="E4902" s="4" t="s">
        <v>223</v>
      </c>
      <c r="J4902" s="3" t="s">
        <v>5122</v>
      </c>
      <c r="K4902" s="3" t="s">
        <v>223</v>
      </c>
    </row>
    <row r="4903" ht="15.6" spans="4:11">
      <c r="D4903" s="4">
        <v>2392</v>
      </c>
      <c r="E4903" s="4" t="s">
        <v>223</v>
      </c>
      <c r="J4903" s="3" t="s">
        <v>5123</v>
      </c>
      <c r="K4903" s="3" t="s">
        <v>223</v>
      </c>
    </row>
    <row r="4904" ht="15.6" spans="4:11">
      <c r="D4904" s="4">
        <v>2393</v>
      </c>
      <c r="E4904" s="4" t="s">
        <v>223</v>
      </c>
      <c r="J4904" s="3" t="s">
        <v>5124</v>
      </c>
      <c r="K4904" s="3" t="s">
        <v>223</v>
      </c>
    </row>
    <row r="4905" ht="15.6" spans="4:11">
      <c r="D4905" s="4">
        <v>2394</v>
      </c>
      <c r="E4905" s="4" t="s">
        <v>223</v>
      </c>
      <c r="J4905" s="3" t="s">
        <v>5125</v>
      </c>
      <c r="K4905" s="3" t="s">
        <v>223</v>
      </c>
    </row>
    <row r="4906" ht="15.6" spans="4:11">
      <c r="D4906" s="4">
        <v>2395</v>
      </c>
      <c r="E4906" s="4" t="s">
        <v>223</v>
      </c>
      <c r="J4906" s="3" t="s">
        <v>5126</v>
      </c>
      <c r="K4906" s="3" t="s">
        <v>223</v>
      </c>
    </row>
    <row r="4907" ht="15.6" spans="4:11">
      <c r="D4907" s="4">
        <v>2396</v>
      </c>
      <c r="E4907" s="4" t="s">
        <v>223</v>
      </c>
      <c r="J4907" s="3" t="s">
        <v>5127</v>
      </c>
      <c r="K4907" s="3" t="s">
        <v>223</v>
      </c>
    </row>
    <row r="4908" ht="15.6" spans="4:11">
      <c r="D4908" s="4">
        <v>2397</v>
      </c>
      <c r="E4908" s="4" t="s">
        <v>223</v>
      </c>
      <c r="J4908" s="3" t="s">
        <v>5128</v>
      </c>
      <c r="K4908" s="3" t="s">
        <v>223</v>
      </c>
    </row>
    <row r="4909" ht="15.6" spans="4:11">
      <c r="D4909" s="4">
        <v>2398</v>
      </c>
      <c r="E4909" s="4" t="s">
        <v>223</v>
      </c>
      <c r="J4909" s="3" t="s">
        <v>5129</v>
      </c>
      <c r="K4909" s="3" t="s">
        <v>223</v>
      </c>
    </row>
    <row r="4910" ht="15.6" spans="4:11">
      <c r="D4910" s="4">
        <v>2399</v>
      </c>
      <c r="E4910" s="4" t="s">
        <v>223</v>
      </c>
      <c r="J4910" s="3" t="s">
        <v>5130</v>
      </c>
      <c r="K4910" s="3" t="s">
        <v>223</v>
      </c>
    </row>
    <row r="4911" ht="15.6" spans="4:11">
      <c r="D4911" s="4">
        <v>2400</v>
      </c>
      <c r="E4911" s="4" t="s">
        <v>223</v>
      </c>
      <c r="J4911" s="3" t="s">
        <v>5131</v>
      </c>
      <c r="K4911" s="3" t="s">
        <v>223</v>
      </c>
    </row>
    <row r="4912" ht="15.6" spans="4:11">
      <c r="D4912" s="4">
        <v>2401</v>
      </c>
      <c r="E4912" s="4" t="s">
        <v>223</v>
      </c>
      <c r="J4912" s="3" t="s">
        <v>5132</v>
      </c>
      <c r="K4912" s="3" t="s">
        <v>223</v>
      </c>
    </row>
    <row r="4913" ht="15.6" spans="4:11">
      <c r="D4913" s="4">
        <v>2402</v>
      </c>
      <c r="E4913" s="4" t="s">
        <v>223</v>
      </c>
      <c r="J4913" s="3" t="s">
        <v>5133</v>
      </c>
      <c r="K4913" s="3" t="s">
        <v>223</v>
      </c>
    </row>
    <row r="4914" ht="15.6" spans="4:11">
      <c r="D4914" s="4">
        <v>2403</v>
      </c>
      <c r="E4914" s="4" t="s">
        <v>223</v>
      </c>
      <c r="J4914" s="3" t="s">
        <v>5134</v>
      </c>
      <c r="K4914" s="3" t="s">
        <v>223</v>
      </c>
    </row>
    <row r="4915" ht="15.6" spans="4:11">
      <c r="D4915" s="4">
        <v>2404</v>
      </c>
      <c r="E4915" s="4" t="s">
        <v>223</v>
      </c>
      <c r="J4915" s="3" t="s">
        <v>5135</v>
      </c>
      <c r="K4915" s="3" t="s">
        <v>223</v>
      </c>
    </row>
    <row r="4916" ht="15.6" spans="4:11">
      <c r="D4916" s="4">
        <v>2405</v>
      </c>
      <c r="E4916" s="4" t="s">
        <v>223</v>
      </c>
      <c r="J4916" s="3" t="s">
        <v>5136</v>
      </c>
      <c r="K4916" s="3" t="s">
        <v>223</v>
      </c>
    </row>
    <row r="4917" ht="15.6" spans="4:11">
      <c r="D4917" s="4">
        <v>2406</v>
      </c>
      <c r="E4917" s="4" t="s">
        <v>223</v>
      </c>
      <c r="J4917" s="3" t="s">
        <v>5137</v>
      </c>
      <c r="K4917" s="3" t="s">
        <v>223</v>
      </c>
    </row>
    <row r="4918" ht="15.6" spans="4:11">
      <c r="D4918" s="4">
        <v>2407</v>
      </c>
      <c r="E4918" s="4" t="s">
        <v>223</v>
      </c>
      <c r="J4918" s="3" t="s">
        <v>5138</v>
      </c>
      <c r="K4918" s="3" t="s">
        <v>223</v>
      </c>
    </row>
    <row r="4919" ht="15.6" spans="4:11">
      <c r="D4919" s="4">
        <v>2408</v>
      </c>
      <c r="E4919" s="4" t="s">
        <v>223</v>
      </c>
      <c r="J4919" s="3" t="s">
        <v>5139</v>
      </c>
      <c r="K4919" s="3" t="s">
        <v>223</v>
      </c>
    </row>
    <row r="4920" ht="15.6" spans="4:11">
      <c r="D4920" s="4">
        <v>2409</v>
      </c>
      <c r="E4920" s="4" t="s">
        <v>223</v>
      </c>
      <c r="J4920" s="3" t="s">
        <v>5140</v>
      </c>
      <c r="K4920" s="3" t="s">
        <v>223</v>
      </c>
    </row>
    <row r="4921" ht="15.6" spans="4:11">
      <c r="D4921" s="4">
        <v>2410</v>
      </c>
      <c r="E4921" s="4" t="s">
        <v>223</v>
      </c>
      <c r="J4921" s="3" t="s">
        <v>5141</v>
      </c>
      <c r="K4921" s="3" t="s">
        <v>223</v>
      </c>
    </row>
    <row r="4922" ht="15.6" spans="4:11">
      <c r="D4922" s="4">
        <v>2411</v>
      </c>
      <c r="E4922" s="4" t="s">
        <v>223</v>
      </c>
      <c r="J4922" s="3" t="s">
        <v>5142</v>
      </c>
      <c r="K4922" s="3" t="s">
        <v>223</v>
      </c>
    </row>
    <row r="4923" ht="15.6" spans="4:11">
      <c r="D4923" s="4">
        <v>2412</v>
      </c>
      <c r="E4923" s="4" t="s">
        <v>223</v>
      </c>
      <c r="J4923" s="3" t="s">
        <v>5143</v>
      </c>
      <c r="K4923" s="3" t="s">
        <v>223</v>
      </c>
    </row>
    <row r="4924" ht="15.6" spans="4:11">
      <c r="D4924" s="4">
        <v>2413</v>
      </c>
      <c r="E4924" s="4" t="s">
        <v>223</v>
      </c>
      <c r="J4924" s="3" t="s">
        <v>5144</v>
      </c>
      <c r="K4924" s="3" t="s">
        <v>223</v>
      </c>
    </row>
    <row r="4925" ht="15.6" spans="4:11">
      <c r="D4925" s="4">
        <v>2414</v>
      </c>
      <c r="E4925" s="4" t="s">
        <v>223</v>
      </c>
      <c r="J4925" s="3" t="s">
        <v>5145</v>
      </c>
      <c r="K4925" s="3" t="s">
        <v>223</v>
      </c>
    </row>
    <row r="4926" ht="15.6" spans="4:11">
      <c r="D4926" s="4">
        <v>2415</v>
      </c>
      <c r="E4926" s="4" t="s">
        <v>223</v>
      </c>
      <c r="J4926" s="3" t="s">
        <v>5146</v>
      </c>
      <c r="K4926" s="3" t="s">
        <v>223</v>
      </c>
    </row>
    <row r="4927" ht="15.6" spans="4:11">
      <c r="D4927" s="4">
        <v>2416</v>
      </c>
      <c r="E4927" s="4" t="s">
        <v>223</v>
      </c>
      <c r="J4927" s="3" t="s">
        <v>5147</v>
      </c>
      <c r="K4927" s="3" t="s">
        <v>223</v>
      </c>
    </row>
    <row r="4928" ht="15.6" spans="4:11">
      <c r="D4928" s="4">
        <v>2417</v>
      </c>
      <c r="E4928" s="4" t="s">
        <v>223</v>
      </c>
      <c r="J4928" s="3" t="s">
        <v>5148</v>
      </c>
      <c r="K4928" s="3" t="s">
        <v>223</v>
      </c>
    </row>
    <row r="4929" ht="15.6" spans="4:11">
      <c r="D4929" s="4">
        <v>2418</v>
      </c>
      <c r="E4929" s="4" t="s">
        <v>223</v>
      </c>
      <c r="J4929" s="3" t="s">
        <v>5149</v>
      </c>
      <c r="K4929" s="3" t="s">
        <v>223</v>
      </c>
    </row>
    <row r="4930" ht="15.6" spans="4:11">
      <c r="D4930" s="4">
        <v>2419</v>
      </c>
      <c r="E4930" s="4" t="s">
        <v>223</v>
      </c>
      <c r="J4930" s="3" t="s">
        <v>5150</v>
      </c>
      <c r="K4930" s="3" t="s">
        <v>223</v>
      </c>
    </row>
    <row r="4931" ht="15.6" spans="4:11">
      <c r="D4931" s="4">
        <v>2420</v>
      </c>
      <c r="E4931" s="4" t="s">
        <v>223</v>
      </c>
      <c r="J4931" s="3" t="s">
        <v>5151</v>
      </c>
      <c r="K4931" s="3" t="s">
        <v>223</v>
      </c>
    </row>
    <row r="4932" ht="15.6" spans="4:11">
      <c r="D4932" s="4">
        <v>2421</v>
      </c>
      <c r="E4932" s="4" t="s">
        <v>223</v>
      </c>
      <c r="J4932" s="3" t="s">
        <v>5152</v>
      </c>
      <c r="K4932" s="3" t="s">
        <v>223</v>
      </c>
    </row>
    <row r="4933" ht="15.6" spans="4:11">
      <c r="D4933" s="4">
        <v>2422</v>
      </c>
      <c r="E4933" s="4" t="s">
        <v>223</v>
      </c>
      <c r="J4933" s="3" t="s">
        <v>5153</v>
      </c>
      <c r="K4933" s="3" t="s">
        <v>223</v>
      </c>
    </row>
    <row r="4934" ht="15.6" spans="4:11">
      <c r="D4934" s="4">
        <v>2423</v>
      </c>
      <c r="E4934" s="4" t="s">
        <v>223</v>
      </c>
      <c r="J4934" s="3" t="s">
        <v>5154</v>
      </c>
      <c r="K4934" s="3" t="s">
        <v>223</v>
      </c>
    </row>
    <row r="4935" ht="15.6" spans="4:11">
      <c r="D4935" s="4">
        <v>2424</v>
      </c>
      <c r="E4935" s="4" t="s">
        <v>223</v>
      </c>
      <c r="J4935" s="3" t="s">
        <v>5155</v>
      </c>
      <c r="K4935" s="3" t="s">
        <v>223</v>
      </c>
    </row>
    <row r="4936" ht="15.6" spans="4:11">
      <c r="D4936" s="4">
        <v>2425</v>
      </c>
      <c r="E4936" s="4" t="s">
        <v>223</v>
      </c>
      <c r="J4936" s="3" t="s">
        <v>5156</v>
      </c>
      <c r="K4936" s="3" t="s">
        <v>223</v>
      </c>
    </row>
    <row r="4937" ht="15.6" spans="4:11">
      <c r="D4937" s="4">
        <v>2426</v>
      </c>
      <c r="E4937" s="4" t="s">
        <v>223</v>
      </c>
      <c r="J4937" s="3" t="s">
        <v>5157</v>
      </c>
      <c r="K4937" s="3" t="s">
        <v>223</v>
      </c>
    </row>
    <row r="4938" ht="15.6" spans="4:11">
      <c r="D4938" s="4">
        <v>2427</v>
      </c>
      <c r="E4938" s="4" t="s">
        <v>223</v>
      </c>
      <c r="J4938" s="3" t="s">
        <v>5158</v>
      </c>
      <c r="K4938" s="3" t="s">
        <v>223</v>
      </c>
    </row>
    <row r="4939" ht="15.6" spans="4:11">
      <c r="D4939" s="4">
        <v>2428</v>
      </c>
      <c r="E4939" s="4" t="s">
        <v>223</v>
      </c>
      <c r="J4939" s="3" t="s">
        <v>5159</v>
      </c>
      <c r="K4939" s="3" t="s">
        <v>223</v>
      </c>
    </row>
    <row r="4940" ht="15.6" spans="4:11">
      <c r="D4940" s="4">
        <v>2429</v>
      </c>
      <c r="E4940" s="4" t="s">
        <v>223</v>
      </c>
      <c r="J4940" s="3" t="s">
        <v>5160</v>
      </c>
      <c r="K4940" s="3" t="s">
        <v>223</v>
      </c>
    </row>
    <row r="4941" ht="15.6" spans="4:11">
      <c r="D4941" s="4">
        <v>2430</v>
      </c>
      <c r="E4941" s="4" t="s">
        <v>223</v>
      </c>
      <c r="J4941" s="3" t="s">
        <v>5161</v>
      </c>
      <c r="K4941" s="3" t="s">
        <v>223</v>
      </c>
    </row>
    <row r="4942" ht="15.6" spans="4:11">
      <c r="D4942" s="4">
        <v>2431</v>
      </c>
      <c r="E4942" s="4" t="s">
        <v>223</v>
      </c>
      <c r="J4942" s="3" t="s">
        <v>5162</v>
      </c>
      <c r="K4942" s="3" t="s">
        <v>223</v>
      </c>
    </row>
    <row r="4943" ht="15.6" spans="4:11">
      <c r="D4943" s="4">
        <v>2432</v>
      </c>
      <c r="E4943" s="4" t="s">
        <v>223</v>
      </c>
      <c r="J4943" s="3" t="s">
        <v>5163</v>
      </c>
      <c r="K4943" s="3" t="s">
        <v>223</v>
      </c>
    </row>
    <row r="4944" ht="15.6" spans="4:11">
      <c r="D4944" s="4">
        <v>2433</v>
      </c>
      <c r="E4944" s="4" t="s">
        <v>223</v>
      </c>
      <c r="J4944" s="3" t="s">
        <v>5164</v>
      </c>
      <c r="K4944" s="3" t="s">
        <v>223</v>
      </c>
    </row>
    <row r="4945" ht="15.6" spans="4:11">
      <c r="D4945" s="4">
        <v>2434</v>
      </c>
      <c r="E4945" s="4" t="s">
        <v>223</v>
      </c>
      <c r="J4945" s="3" t="s">
        <v>5165</v>
      </c>
      <c r="K4945" s="3" t="s">
        <v>223</v>
      </c>
    </row>
    <row r="4946" ht="15.6" spans="4:11">
      <c r="D4946" s="4">
        <v>2435</v>
      </c>
      <c r="E4946" s="4" t="s">
        <v>223</v>
      </c>
      <c r="J4946" s="3" t="s">
        <v>5166</v>
      </c>
      <c r="K4946" s="3" t="s">
        <v>223</v>
      </c>
    </row>
    <row r="4947" ht="15.6" spans="4:11">
      <c r="D4947" s="4">
        <v>2436</v>
      </c>
      <c r="E4947" s="4" t="s">
        <v>223</v>
      </c>
      <c r="J4947" s="3" t="s">
        <v>5167</v>
      </c>
      <c r="K4947" s="3" t="s">
        <v>223</v>
      </c>
    </row>
    <row r="4948" ht="15.6" spans="4:11">
      <c r="D4948" s="4">
        <v>2437</v>
      </c>
      <c r="E4948" s="4" t="s">
        <v>223</v>
      </c>
      <c r="J4948" s="3" t="s">
        <v>5168</v>
      </c>
      <c r="K4948" s="3" t="s">
        <v>223</v>
      </c>
    </row>
    <row r="4949" ht="15.6" spans="4:11">
      <c r="D4949" s="4">
        <v>2438</v>
      </c>
      <c r="E4949" s="4" t="s">
        <v>223</v>
      </c>
      <c r="J4949" s="3" t="s">
        <v>5169</v>
      </c>
      <c r="K4949" s="3" t="s">
        <v>223</v>
      </c>
    </row>
    <row r="4950" ht="15.6" spans="4:11">
      <c r="D4950" s="4">
        <v>2439</v>
      </c>
      <c r="E4950" s="4" t="s">
        <v>223</v>
      </c>
      <c r="J4950" s="3" t="s">
        <v>5170</v>
      </c>
      <c r="K4950" s="3" t="s">
        <v>223</v>
      </c>
    </row>
    <row r="4951" ht="15.6" spans="4:11">
      <c r="D4951" s="4">
        <v>2440</v>
      </c>
      <c r="E4951" s="4" t="s">
        <v>223</v>
      </c>
      <c r="J4951" s="3" t="s">
        <v>5171</v>
      </c>
      <c r="K4951" s="3" t="s">
        <v>223</v>
      </c>
    </row>
    <row r="4952" ht="15.6" spans="4:11">
      <c r="D4952" s="4">
        <v>2441</v>
      </c>
      <c r="E4952" s="4" t="s">
        <v>223</v>
      </c>
      <c r="J4952" s="3" t="s">
        <v>5172</v>
      </c>
      <c r="K4952" s="3" t="s">
        <v>223</v>
      </c>
    </row>
    <row r="4953" ht="15.6" spans="4:11">
      <c r="D4953" s="4">
        <v>2442</v>
      </c>
      <c r="E4953" s="4" t="s">
        <v>223</v>
      </c>
      <c r="J4953" s="3" t="s">
        <v>5173</v>
      </c>
      <c r="K4953" s="3" t="s">
        <v>223</v>
      </c>
    </row>
    <row r="4954" ht="15.6" spans="4:11">
      <c r="D4954" s="4">
        <v>2443</v>
      </c>
      <c r="E4954" s="4" t="s">
        <v>223</v>
      </c>
      <c r="J4954" s="3" t="s">
        <v>5174</v>
      </c>
      <c r="K4954" s="3" t="s">
        <v>223</v>
      </c>
    </row>
    <row r="4955" ht="15.6" spans="4:11">
      <c r="D4955" s="4">
        <v>2444</v>
      </c>
      <c r="E4955" s="4" t="s">
        <v>223</v>
      </c>
      <c r="J4955" s="3" t="s">
        <v>5175</v>
      </c>
      <c r="K4955" s="3" t="s">
        <v>223</v>
      </c>
    </row>
    <row r="4956" ht="15.6" spans="4:11">
      <c r="D4956" s="4">
        <v>2445</v>
      </c>
      <c r="E4956" s="4" t="s">
        <v>223</v>
      </c>
      <c r="J4956" s="3" t="s">
        <v>5176</v>
      </c>
      <c r="K4956" s="3" t="s">
        <v>223</v>
      </c>
    </row>
    <row r="4957" ht="15.6" spans="4:11">
      <c r="D4957" s="4">
        <v>2446</v>
      </c>
      <c r="E4957" s="4" t="s">
        <v>223</v>
      </c>
      <c r="J4957" s="3" t="s">
        <v>5177</v>
      </c>
      <c r="K4957" s="3" t="s">
        <v>223</v>
      </c>
    </row>
    <row r="4958" ht="15.6" spans="4:11">
      <c r="D4958" s="4">
        <v>2447</v>
      </c>
      <c r="E4958" s="4" t="s">
        <v>223</v>
      </c>
      <c r="J4958" s="3" t="s">
        <v>5178</v>
      </c>
      <c r="K4958" s="3" t="s">
        <v>223</v>
      </c>
    </row>
    <row r="4959" ht="15.6" spans="4:11">
      <c r="D4959" s="4">
        <v>2448</v>
      </c>
      <c r="E4959" s="4" t="s">
        <v>223</v>
      </c>
      <c r="J4959" s="3" t="s">
        <v>5179</v>
      </c>
      <c r="K4959" s="3" t="s">
        <v>223</v>
      </c>
    </row>
    <row r="4960" ht="15.6" spans="4:11">
      <c r="D4960" s="4">
        <v>2449</v>
      </c>
      <c r="E4960" s="4" t="s">
        <v>223</v>
      </c>
      <c r="J4960" s="3" t="s">
        <v>5180</v>
      </c>
      <c r="K4960" s="3" t="s">
        <v>223</v>
      </c>
    </row>
    <row r="4961" ht="15.6" spans="4:11">
      <c r="D4961" s="4">
        <v>2450</v>
      </c>
      <c r="E4961" s="4" t="s">
        <v>223</v>
      </c>
      <c r="J4961" s="3" t="s">
        <v>5181</v>
      </c>
      <c r="K4961" s="3" t="s">
        <v>223</v>
      </c>
    </row>
    <row r="4962" ht="15.6" spans="4:11">
      <c r="D4962" s="4">
        <v>2451</v>
      </c>
      <c r="E4962" s="4" t="s">
        <v>223</v>
      </c>
      <c r="J4962" s="3" t="s">
        <v>5182</v>
      </c>
      <c r="K4962" s="3" t="s">
        <v>223</v>
      </c>
    </row>
    <row r="4963" ht="15.6" spans="4:11">
      <c r="D4963" s="4">
        <v>2452</v>
      </c>
      <c r="E4963" s="4" t="s">
        <v>223</v>
      </c>
      <c r="J4963" s="3" t="s">
        <v>5183</v>
      </c>
      <c r="K4963" s="3" t="s">
        <v>223</v>
      </c>
    </row>
    <row r="4964" ht="15.6" spans="4:11">
      <c r="D4964" s="4">
        <v>2453</v>
      </c>
      <c r="E4964" s="4" t="s">
        <v>223</v>
      </c>
      <c r="J4964" s="3" t="s">
        <v>5184</v>
      </c>
      <c r="K4964" s="3" t="s">
        <v>223</v>
      </c>
    </row>
    <row r="4965" ht="15.6" spans="4:11">
      <c r="D4965" s="4">
        <v>2454</v>
      </c>
      <c r="E4965" s="4" t="s">
        <v>223</v>
      </c>
      <c r="J4965" s="3" t="s">
        <v>5185</v>
      </c>
      <c r="K4965" s="3" t="s">
        <v>223</v>
      </c>
    </row>
    <row r="4966" ht="15.6" spans="4:11">
      <c r="D4966" s="4">
        <v>2455</v>
      </c>
      <c r="E4966" s="4" t="s">
        <v>223</v>
      </c>
      <c r="J4966" s="3" t="s">
        <v>5186</v>
      </c>
      <c r="K4966" s="3" t="s">
        <v>223</v>
      </c>
    </row>
    <row r="4967" ht="15.6" spans="4:11">
      <c r="D4967" s="4">
        <v>2456</v>
      </c>
      <c r="E4967" s="4" t="s">
        <v>223</v>
      </c>
      <c r="J4967" s="3" t="s">
        <v>5187</v>
      </c>
      <c r="K4967" s="3" t="s">
        <v>223</v>
      </c>
    </row>
    <row r="4968" ht="15.6" spans="4:11">
      <c r="D4968" s="4">
        <v>2457</v>
      </c>
      <c r="E4968" s="4" t="s">
        <v>223</v>
      </c>
      <c r="J4968" s="3" t="s">
        <v>5188</v>
      </c>
      <c r="K4968" s="3" t="s">
        <v>223</v>
      </c>
    </row>
    <row r="4969" ht="15.6" spans="4:11">
      <c r="D4969" s="4">
        <v>2458</v>
      </c>
      <c r="E4969" s="4" t="s">
        <v>223</v>
      </c>
      <c r="J4969" s="3" t="s">
        <v>5189</v>
      </c>
      <c r="K4969" s="3" t="s">
        <v>223</v>
      </c>
    </row>
    <row r="4970" ht="15.6" spans="4:11">
      <c r="D4970" s="4">
        <v>2459</v>
      </c>
      <c r="E4970" s="4" t="s">
        <v>223</v>
      </c>
      <c r="J4970" s="3" t="s">
        <v>5190</v>
      </c>
      <c r="K4970" s="3" t="s">
        <v>223</v>
      </c>
    </row>
    <row r="4971" ht="15.6" spans="4:11">
      <c r="D4971" s="4">
        <v>2460</v>
      </c>
      <c r="E4971" s="4" t="s">
        <v>223</v>
      </c>
      <c r="J4971" s="3" t="s">
        <v>5191</v>
      </c>
      <c r="K4971" s="3" t="s">
        <v>223</v>
      </c>
    </row>
    <row r="4972" ht="15.6" spans="4:11">
      <c r="D4972" s="4">
        <v>2461</v>
      </c>
      <c r="E4972" s="4" t="s">
        <v>223</v>
      </c>
      <c r="J4972" s="3" t="s">
        <v>5192</v>
      </c>
      <c r="K4972" s="3" t="s">
        <v>223</v>
      </c>
    </row>
    <row r="4973" ht="15.6" spans="4:11">
      <c r="D4973" s="4">
        <v>2462</v>
      </c>
      <c r="E4973" s="4" t="s">
        <v>223</v>
      </c>
      <c r="J4973" s="3" t="s">
        <v>5193</v>
      </c>
      <c r="K4973" s="3" t="s">
        <v>223</v>
      </c>
    </row>
    <row r="4974" ht="15.6" spans="4:11">
      <c r="D4974" s="4">
        <v>2463</v>
      </c>
      <c r="E4974" s="4" t="s">
        <v>223</v>
      </c>
      <c r="J4974" s="3" t="s">
        <v>5194</v>
      </c>
      <c r="K4974" s="3" t="s">
        <v>223</v>
      </c>
    </row>
    <row r="4975" ht="15.6" spans="4:11">
      <c r="D4975" s="4">
        <v>2464</v>
      </c>
      <c r="E4975" s="4" t="s">
        <v>223</v>
      </c>
      <c r="J4975" s="3" t="s">
        <v>5195</v>
      </c>
      <c r="K4975" s="3" t="s">
        <v>223</v>
      </c>
    </row>
    <row r="4976" ht="15.6" spans="4:11">
      <c r="D4976" s="4">
        <v>2465</v>
      </c>
      <c r="E4976" s="4" t="s">
        <v>223</v>
      </c>
      <c r="J4976" s="3" t="s">
        <v>5196</v>
      </c>
      <c r="K4976" s="3" t="s">
        <v>223</v>
      </c>
    </row>
    <row r="4977" ht="15.6" spans="4:11">
      <c r="D4977" s="4">
        <v>2466</v>
      </c>
      <c r="E4977" s="4" t="s">
        <v>223</v>
      </c>
      <c r="J4977" s="3" t="s">
        <v>5197</v>
      </c>
      <c r="K4977" s="3" t="s">
        <v>223</v>
      </c>
    </row>
    <row r="4978" ht="15.6" spans="4:11">
      <c r="D4978" s="4">
        <v>2467</v>
      </c>
      <c r="E4978" s="4" t="s">
        <v>223</v>
      </c>
      <c r="J4978" s="3" t="s">
        <v>5198</v>
      </c>
      <c r="K4978" s="3" t="s">
        <v>223</v>
      </c>
    </row>
    <row r="4979" ht="15.6" spans="4:11">
      <c r="D4979" s="4">
        <v>2468</v>
      </c>
      <c r="E4979" s="4" t="s">
        <v>223</v>
      </c>
      <c r="J4979" s="3" t="s">
        <v>5199</v>
      </c>
      <c r="K4979" s="3" t="s">
        <v>223</v>
      </c>
    </row>
    <row r="4980" ht="15.6" spans="4:11">
      <c r="D4980" s="4">
        <v>2469</v>
      </c>
      <c r="E4980" s="4" t="s">
        <v>223</v>
      </c>
      <c r="J4980" s="3" t="s">
        <v>5200</v>
      </c>
      <c r="K4980" s="3" t="s">
        <v>223</v>
      </c>
    </row>
    <row r="4981" ht="15.6" spans="4:11">
      <c r="D4981" s="4">
        <v>2470</v>
      </c>
      <c r="E4981" s="4" t="s">
        <v>223</v>
      </c>
      <c r="J4981" s="3" t="s">
        <v>5201</v>
      </c>
      <c r="K4981" s="3" t="s">
        <v>223</v>
      </c>
    </row>
    <row r="4982" ht="15.6" spans="4:11">
      <c r="D4982" s="4">
        <v>2471</v>
      </c>
      <c r="E4982" s="4" t="s">
        <v>223</v>
      </c>
      <c r="J4982" s="3" t="s">
        <v>5202</v>
      </c>
      <c r="K4982" s="3" t="s">
        <v>223</v>
      </c>
    </row>
    <row r="4983" ht="15.6" spans="4:11">
      <c r="D4983" s="4">
        <v>2472</v>
      </c>
      <c r="E4983" s="4" t="s">
        <v>223</v>
      </c>
      <c r="J4983" s="3" t="s">
        <v>5203</v>
      </c>
      <c r="K4983" s="3" t="s">
        <v>223</v>
      </c>
    </row>
    <row r="4984" ht="15.6" spans="4:11">
      <c r="D4984" s="4">
        <v>2473</v>
      </c>
      <c r="E4984" s="4" t="s">
        <v>223</v>
      </c>
      <c r="J4984" s="3" t="s">
        <v>5204</v>
      </c>
      <c r="K4984" s="3" t="s">
        <v>223</v>
      </c>
    </row>
    <row r="4985" ht="15.6" spans="4:11">
      <c r="D4985" s="4">
        <v>2474</v>
      </c>
      <c r="E4985" s="4" t="s">
        <v>223</v>
      </c>
      <c r="J4985" s="3" t="s">
        <v>5205</v>
      </c>
      <c r="K4985" s="3" t="s">
        <v>223</v>
      </c>
    </row>
    <row r="4986" ht="15.6" spans="4:11">
      <c r="D4986" s="4">
        <v>2475</v>
      </c>
      <c r="E4986" s="4" t="s">
        <v>223</v>
      </c>
      <c r="J4986" s="3" t="s">
        <v>5206</v>
      </c>
      <c r="K4986" s="3" t="s">
        <v>223</v>
      </c>
    </row>
    <row r="4987" ht="15.6" spans="4:11">
      <c r="D4987" s="4">
        <v>2476</v>
      </c>
      <c r="E4987" s="4" t="s">
        <v>223</v>
      </c>
      <c r="J4987" s="3" t="s">
        <v>5207</v>
      </c>
      <c r="K4987" s="3" t="s">
        <v>223</v>
      </c>
    </row>
    <row r="4988" ht="15.6" spans="4:11">
      <c r="D4988" s="4">
        <v>2477</v>
      </c>
      <c r="E4988" s="4" t="s">
        <v>223</v>
      </c>
      <c r="J4988" s="3" t="s">
        <v>5208</v>
      </c>
      <c r="K4988" s="3" t="s">
        <v>223</v>
      </c>
    </row>
    <row r="4989" ht="15.6" spans="4:11">
      <c r="D4989" s="4">
        <v>2478</v>
      </c>
      <c r="E4989" s="4" t="s">
        <v>223</v>
      </c>
      <c r="J4989" s="3" t="s">
        <v>5209</v>
      </c>
      <c r="K4989" s="3" t="s">
        <v>223</v>
      </c>
    </row>
    <row r="4990" ht="15.6" spans="4:11">
      <c r="D4990" s="4">
        <v>2479</v>
      </c>
      <c r="E4990" s="4" t="s">
        <v>223</v>
      </c>
      <c r="J4990" s="3" t="s">
        <v>5210</v>
      </c>
      <c r="K4990" s="3" t="s">
        <v>223</v>
      </c>
    </row>
    <row r="4991" ht="15.6" spans="4:11">
      <c r="D4991" s="4">
        <v>2480</v>
      </c>
      <c r="E4991" s="4" t="s">
        <v>223</v>
      </c>
      <c r="J4991" s="3" t="s">
        <v>5211</v>
      </c>
      <c r="K4991" s="3" t="s">
        <v>223</v>
      </c>
    </row>
    <row r="4992" ht="15.6" spans="4:11">
      <c r="D4992" s="4">
        <v>2481</v>
      </c>
      <c r="E4992" s="4" t="s">
        <v>223</v>
      </c>
      <c r="J4992" s="3" t="s">
        <v>5212</v>
      </c>
      <c r="K4992" s="3" t="s">
        <v>223</v>
      </c>
    </row>
    <row r="4993" ht="15.6" spans="4:11">
      <c r="D4993" s="4">
        <v>2482</v>
      </c>
      <c r="E4993" s="4" t="s">
        <v>223</v>
      </c>
      <c r="J4993" s="3" t="s">
        <v>5213</v>
      </c>
      <c r="K4993" s="3" t="s">
        <v>223</v>
      </c>
    </row>
    <row r="4994" ht="15.6" spans="4:11">
      <c r="D4994" s="4">
        <v>2483</v>
      </c>
      <c r="E4994" s="4" t="s">
        <v>223</v>
      </c>
      <c r="J4994" s="3" t="s">
        <v>5214</v>
      </c>
      <c r="K4994" s="3" t="s">
        <v>223</v>
      </c>
    </row>
    <row r="4995" ht="15.6" spans="4:11">
      <c r="D4995" s="4">
        <v>2484</v>
      </c>
      <c r="E4995" s="4" t="s">
        <v>223</v>
      </c>
      <c r="J4995" s="3" t="s">
        <v>5215</v>
      </c>
      <c r="K4995" s="3" t="s">
        <v>223</v>
      </c>
    </row>
    <row r="4996" ht="15.6" spans="4:11">
      <c r="D4996" s="4">
        <v>2487</v>
      </c>
      <c r="E4996" s="4" t="s">
        <v>223</v>
      </c>
      <c r="J4996" s="3" t="s">
        <v>5216</v>
      </c>
      <c r="K4996" s="3" t="s">
        <v>223</v>
      </c>
    </row>
    <row r="4997" ht="15.6" spans="4:11">
      <c r="D4997" s="4">
        <v>2488</v>
      </c>
      <c r="E4997" s="4" t="s">
        <v>223</v>
      </c>
      <c r="J4997" s="3" t="s">
        <v>5217</v>
      </c>
      <c r="K4997" s="3" t="s">
        <v>223</v>
      </c>
    </row>
    <row r="4998" ht="15.6" spans="4:11">
      <c r="D4998" s="4">
        <v>2489</v>
      </c>
      <c r="E4998" s="4" t="s">
        <v>223</v>
      </c>
      <c r="J4998" s="3" t="s">
        <v>5218</v>
      </c>
      <c r="K4998" s="3" t="s">
        <v>223</v>
      </c>
    </row>
    <row r="4999" ht="15.6" spans="4:11">
      <c r="D4999" s="4">
        <v>2490</v>
      </c>
      <c r="E4999" s="4" t="s">
        <v>223</v>
      </c>
      <c r="J4999" s="3" t="s">
        <v>5219</v>
      </c>
      <c r="K4999" s="3" t="s">
        <v>223</v>
      </c>
    </row>
    <row r="5000" ht="15.6" spans="4:11">
      <c r="D5000" s="4">
        <v>2491</v>
      </c>
      <c r="E5000" s="4" t="s">
        <v>223</v>
      </c>
      <c r="J5000" s="3" t="s">
        <v>5220</v>
      </c>
      <c r="K5000" s="3" t="s">
        <v>223</v>
      </c>
    </row>
    <row r="5001" ht="15.6" spans="4:11">
      <c r="D5001" s="4">
        <v>2492</v>
      </c>
      <c r="E5001" s="4" t="s">
        <v>223</v>
      </c>
      <c r="J5001" s="3" t="s">
        <v>5221</v>
      </c>
      <c r="K5001" s="3" t="s">
        <v>223</v>
      </c>
    </row>
    <row r="5002" ht="15.6" spans="4:11">
      <c r="D5002" s="4">
        <v>2493</v>
      </c>
      <c r="E5002" s="4" t="s">
        <v>223</v>
      </c>
      <c r="J5002" s="3" t="s">
        <v>5222</v>
      </c>
      <c r="K5002" s="3" t="s">
        <v>223</v>
      </c>
    </row>
    <row r="5003" ht="15.6" spans="4:11">
      <c r="D5003" s="4">
        <v>2494</v>
      </c>
      <c r="E5003" s="4" t="s">
        <v>223</v>
      </c>
      <c r="J5003" s="3" t="s">
        <v>5223</v>
      </c>
      <c r="K5003" s="3" t="s">
        <v>223</v>
      </c>
    </row>
    <row r="5004" ht="15.6" spans="4:11">
      <c r="D5004" s="4">
        <v>2495</v>
      </c>
      <c r="E5004" s="4" t="s">
        <v>223</v>
      </c>
      <c r="J5004" s="3" t="s">
        <v>5224</v>
      </c>
      <c r="K5004" s="3" t="s">
        <v>223</v>
      </c>
    </row>
    <row r="5005" ht="15.6" spans="4:11">
      <c r="D5005" s="4">
        <v>2496</v>
      </c>
      <c r="E5005" s="4" t="s">
        <v>223</v>
      </c>
      <c r="J5005" s="3" t="s">
        <v>5225</v>
      </c>
      <c r="K5005" s="3" t="s">
        <v>223</v>
      </c>
    </row>
    <row r="5006" ht="15.6" spans="4:11">
      <c r="D5006" s="4">
        <v>2497</v>
      </c>
      <c r="E5006" s="4" t="s">
        <v>223</v>
      </c>
      <c r="J5006" s="3" t="s">
        <v>5226</v>
      </c>
      <c r="K5006" s="3" t="s">
        <v>223</v>
      </c>
    </row>
    <row r="5007" ht="15.6" spans="4:11">
      <c r="D5007" s="4">
        <v>2498</v>
      </c>
      <c r="E5007" s="4" t="s">
        <v>223</v>
      </c>
      <c r="J5007" s="3" t="s">
        <v>5227</v>
      </c>
      <c r="K5007" s="3" t="s">
        <v>223</v>
      </c>
    </row>
    <row r="5008" ht="15.6" spans="4:11">
      <c r="D5008" s="4">
        <v>2499</v>
      </c>
      <c r="E5008" s="4" t="s">
        <v>223</v>
      </c>
      <c r="J5008" s="3" t="s">
        <v>5228</v>
      </c>
      <c r="K5008" s="3" t="s">
        <v>223</v>
      </c>
    </row>
    <row r="5009" ht="15.6" spans="4:11">
      <c r="D5009" s="4">
        <v>2533</v>
      </c>
      <c r="E5009" s="4" t="s">
        <v>223</v>
      </c>
      <c r="J5009" s="3" t="s">
        <v>5229</v>
      </c>
      <c r="K5009" s="3" t="s">
        <v>223</v>
      </c>
    </row>
    <row r="5010" ht="15.6" spans="4:11">
      <c r="D5010" s="4">
        <v>2534</v>
      </c>
      <c r="E5010" s="4" t="s">
        <v>223</v>
      </c>
      <c r="J5010" s="3" t="s">
        <v>5230</v>
      </c>
      <c r="K5010" s="3" t="s">
        <v>223</v>
      </c>
    </row>
    <row r="5011" ht="15.6" spans="4:11">
      <c r="D5011" s="4">
        <v>2535</v>
      </c>
      <c r="E5011" s="4" t="s">
        <v>223</v>
      </c>
      <c r="J5011" s="3" t="s">
        <v>5231</v>
      </c>
      <c r="K5011" s="3" t="s">
        <v>223</v>
      </c>
    </row>
    <row r="5012" ht="15.6" spans="4:11">
      <c r="D5012" s="4">
        <v>2536</v>
      </c>
      <c r="E5012" s="4" t="s">
        <v>223</v>
      </c>
      <c r="J5012" s="3" t="s">
        <v>5232</v>
      </c>
      <c r="K5012" s="3" t="s">
        <v>223</v>
      </c>
    </row>
    <row r="5013" ht="15.6" spans="4:11">
      <c r="D5013" s="4">
        <v>2537</v>
      </c>
      <c r="E5013" s="4" t="s">
        <v>223</v>
      </c>
      <c r="J5013" s="3" t="s">
        <v>5233</v>
      </c>
      <c r="K5013" s="3" t="s">
        <v>223</v>
      </c>
    </row>
    <row r="5014" ht="15.6" spans="4:11">
      <c r="D5014" s="4">
        <v>2538</v>
      </c>
      <c r="E5014" s="4" t="s">
        <v>223</v>
      </c>
      <c r="J5014" s="3" t="s">
        <v>5234</v>
      </c>
      <c r="K5014" s="3" t="s">
        <v>223</v>
      </c>
    </row>
    <row r="5015" ht="15.6" spans="4:11">
      <c r="D5015" s="4">
        <v>2539</v>
      </c>
      <c r="E5015" s="4" t="s">
        <v>223</v>
      </c>
      <c r="J5015" s="3" t="s">
        <v>5235</v>
      </c>
      <c r="K5015" s="3" t="s">
        <v>223</v>
      </c>
    </row>
    <row r="5016" ht="15.6" spans="4:11">
      <c r="D5016" s="4">
        <v>2540</v>
      </c>
      <c r="E5016" s="4" t="s">
        <v>223</v>
      </c>
      <c r="J5016" s="3" t="s">
        <v>5236</v>
      </c>
      <c r="K5016" s="3" t="s">
        <v>223</v>
      </c>
    </row>
    <row r="5017" ht="15.6" spans="4:11">
      <c r="D5017" s="4">
        <v>2541</v>
      </c>
      <c r="E5017" s="4" t="s">
        <v>223</v>
      </c>
      <c r="J5017" s="3" t="s">
        <v>5237</v>
      </c>
      <c r="K5017" s="3" t="s">
        <v>223</v>
      </c>
    </row>
    <row r="5018" ht="15.6" spans="4:11">
      <c r="D5018" s="4">
        <v>2542</v>
      </c>
      <c r="E5018" s="4" t="s">
        <v>223</v>
      </c>
      <c r="J5018" s="3" t="s">
        <v>5238</v>
      </c>
      <c r="K5018" s="3" t="s">
        <v>223</v>
      </c>
    </row>
    <row r="5019" ht="15.6" spans="4:11">
      <c r="D5019" s="4">
        <v>2543</v>
      </c>
      <c r="E5019" s="4" t="s">
        <v>223</v>
      </c>
      <c r="J5019" s="3" t="s">
        <v>5239</v>
      </c>
      <c r="K5019" s="3" t="s">
        <v>223</v>
      </c>
    </row>
    <row r="5020" ht="15.6" spans="4:11">
      <c r="D5020" s="4">
        <v>2544</v>
      </c>
      <c r="E5020" s="4" t="s">
        <v>223</v>
      </c>
      <c r="J5020" s="3" t="s">
        <v>5240</v>
      </c>
      <c r="K5020" s="3" t="s">
        <v>223</v>
      </c>
    </row>
    <row r="5021" ht="15.6" spans="4:11">
      <c r="D5021" s="4">
        <v>2545</v>
      </c>
      <c r="E5021" s="4" t="s">
        <v>223</v>
      </c>
      <c r="J5021" s="3" t="s">
        <v>5241</v>
      </c>
      <c r="K5021" s="3" t="s">
        <v>223</v>
      </c>
    </row>
    <row r="5022" ht="15.6" spans="4:11">
      <c r="D5022" s="4">
        <v>2546</v>
      </c>
      <c r="E5022" s="4" t="s">
        <v>223</v>
      </c>
      <c r="J5022" s="3" t="s">
        <v>5242</v>
      </c>
      <c r="K5022" s="3" t="s">
        <v>223</v>
      </c>
    </row>
    <row r="5023" ht="15.6" spans="4:11">
      <c r="D5023" s="4">
        <v>2547</v>
      </c>
      <c r="E5023" s="4" t="s">
        <v>223</v>
      </c>
      <c r="J5023" s="3" t="s">
        <v>5243</v>
      </c>
      <c r="K5023" s="3" t="s">
        <v>223</v>
      </c>
    </row>
    <row r="5024" ht="15.6" spans="4:11">
      <c r="D5024" s="4">
        <v>2548</v>
      </c>
      <c r="E5024" s="4" t="s">
        <v>223</v>
      </c>
      <c r="J5024" s="3" t="s">
        <v>5244</v>
      </c>
      <c r="K5024" s="3" t="s">
        <v>223</v>
      </c>
    </row>
    <row r="5025" ht="15.6" spans="4:11">
      <c r="D5025" s="4">
        <v>2549</v>
      </c>
      <c r="E5025" s="4" t="s">
        <v>223</v>
      </c>
      <c r="J5025" s="3" t="s">
        <v>5245</v>
      </c>
      <c r="K5025" s="3" t="s">
        <v>223</v>
      </c>
    </row>
    <row r="5026" ht="15.6" spans="4:11">
      <c r="D5026" s="4">
        <v>2550</v>
      </c>
      <c r="E5026" s="4" t="s">
        <v>223</v>
      </c>
      <c r="J5026" s="3" t="s">
        <v>5246</v>
      </c>
      <c r="K5026" s="3" t="s">
        <v>223</v>
      </c>
    </row>
    <row r="5027" ht="15.6" spans="4:11">
      <c r="D5027" s="4">
        <v>2551</v>
      </c>
      <c r="E5027" s="4" t="s">
        <v>223</v>
      </c>
      <c r="J5027" s="3" t="s">
        <v>5247</v>
      </c>
      <c r="K5027" s="3" t="s">
        <v>223</v>
      </c>
    </row>
    <row r="5028" ht="15.6" spans="4:11">
      <c r="D5028" s="4">
        <v>2552</v>
      </c>
      <c r="E5028" s="4" t="s">
        <v>223</v>
      </c>
      <c r="J5028" s="3" t="s">
        <v>5248</v>
      </c>
      <c r="K5028" s="3" t="s">
        <v>223</v>
      </c>
    </row>
    <row r="5029" ht="15.6" spans="4:11">
      <c r="D5029" s="4">
        <v>2553</v>
      </c>
      <c r="E5029" s="4" t="s">
        <v>223</v>
      </c>
      <c r="J5029" s="3" t="s">
        <v>5249</v>
      </c>
      <c r="K5029" s="3" t="s">
        <v>223</v>
      </c>
    </row>
    <row r="5030" ht="15.6" spans="4:11">
      <c r="D5030" s="4">
        <v>2554</v>
      </c>
      <c r="E5030" s="4" t="s">
        <v>223</v>
      </c>
      <c r="J5030" s="3" t="s">
        <v>5250</v>
      </c>
      <c r="K5030" s="3" t="s">
        <v>223</v>
      </c>
    </row>
    <row r="5031" ht="15.6" spans="4:11">
      <c r="D5031" s="4">
        <v>2575</v>
      </c>
      <c r="E5031" s="4" t="s">
        <v>223</v>
      </c>
      <c r="J5031" s="3" t="s">
        <v>5251</v>
      </c>
      <c r="K5031" s="3" t="s">
        <v>223</v>
      </c>
    </row>
    <row r="5032" ht="15.6" spans="4:11">
      <c r="D5032" s="4">
        <v>2576</v>
      </c>
      <c r="E5032" s="4" t="s">
        <v>223</v>
      </c>
      <c r="J5032" s="3" t="s">
        <v>5252</v>
      </c>
      <c r="K5032" s="3" t="s">
        <v>223</v>
      </c>
    </row>
    <row r="5033" ht="15.6" spans="4:11">
      <c r="D5033" s="4">
        <v>2577</v>
      </c>
      <c r="E5033" s="4" t="s">
        <v>223</v>
      </c>
      <c r="J5033" s="3" t="s">
        <v>5253</v>
      </c>
      <c r="K5033" s="3" t="s">
        <v>223</v>
      </c>
    </row>
    <row r="5034" ht="15.6" spans="4:11">
      <c r="D5034" s="4">
        <v>2578</v>
      </c>
      <c r="E5034" s="4" t="s">
        <v>223</v>
      </c>
      <c r="J5034" s="3" t="s">
        <v>5254</v>
      </c>
      <c r="K5034" s="3" t="s">
        <v>223</v>
      </c>
    </row>
    <row r="5035" ht="15.6" spans="4:11">
      <c r="D5035" s="4">
        <v>2579</v>
      </c>
      <c r="E5035" s="4" t="s">
        <v>223</v>
      </c>
      <c r="J5035" s="3" t="s">
        <v>5255</v>
      </c>
      <c r="K5035" s="3" t="s">
        <v>223</v>
      </c>
    </row>
    <row r="5036" ht="15.6" spans="4:11">
      <c r="D5036" s="4">
        <v>2580</v>
      </c>
      <c r="E5036" s="4" t="s">
        <v>223</v>
      </c>
      <c r="J5036" s="3" t="s">
        <v>5256</v>
      </c>
      <c r="K5036" s="3" t="s">
        <v>223</v>
      </c>
    </row>
    <row r="5037" ht="15.6" spans="4:11">
      <c r="D5037" s="4">
        <v>2581</v>
      </c>
      <c r="E5037" s="4" t="s">
        <v>223</v>
      </c>
      <c r="J5037" s="3" t="s">
        <v>5257</v>
      </c>
      <c r="K5037" s="3" t="s">
        <v>223</v>
      </c>
    </row>
    <row r="5038" ht="15.6" spans="4:11">
      <c r="D5038" s="4">
        <v>2582</v>
      </c>
      <c r="E5038" s="4" t="s">
        <v>223</v>
      </c>
      <c r="J5038" s="3" t="s">
        <v>5258</v>
      </c>
      <c r="K5038" s="3" t="s">
        <v>223</v>
      </c>
    </row>
    <row r="5039" ht="15.6" spans="4:11">
      <c r="D5039" s="4">
        <v>2583</v>
      </c>
      <c r="E5039" s="4" t="s">
        <v>223</v>
      </c>
      <c r="J5039" s="3" t="s">
        <v>5259</v>
      </c>
      <c r="K5039" s="3" t="s">
        <v>223</v>
      </c>
    </row>
    <row r="5040" ht="15.6" spans="4:11">
      <c r="D5040" s="4">
        <v>2584</v>
      </c>
      <c r="E5040" s="4" t="s">
        <v>223</v>
      </c>
      <c r="J5040" s="3" t="s">
        <v>5260</v>
      </c>
      <c r="K5040" s="3" t="s">
        <v>223</v>
      </c>
    </row>
    <row r="5041" ht="15.6" spans="4:11">
      <c r="D5041" s="4">
        <v>2585</v>
      </c>
      <c r="E5041" s="4" t="s">
        <v>223</v>
      </c>
      <c r="J5041" s="3" t="s">
        <v>5261</v>
      </c>
      <c r="K5041" s="3" t="s">
        <v>223</v>
      </c>
    </row>
    <row r="5042" ht="15.6" spans="4:11">
      <c r="D5042" s="4">
        <v>2586</v>
      </c>
      <c r="E5042" s="4" t="s">
        <v>223</v>
      </c>
      <c r="J5042" s="3" t="s">
        <v>5262</v>
      </c>
      <c r="K5042" s="3" t="s">
        <v>223</v>
      </c>
    </row>
    <row r="5043" ht="15.6" spans="4:11">
      <c r="D5043" s="4">
        <v>2587</v>
      </c>
      <c r="E5043" s="4" t="s">
        <v>223</v>
      </c>
      <c r="J5043" s="3" t="s">
        <v>5263</v>
      </c>
      <c r="K5043" s="3" t="s">
        <v>223</v>
      </c>
    </row>
    <row r="5044" ht="15.6" spans="4:11">
      <c r="D5044" s="4">
        <v>2588</v>
      </c>
      <c r="E5044" s="4" t="s">
        <v>223</v>
      </c>
      <c r="J5044" s="3" t="s">
        <v>5264</v>
      </c>
      <c r="K5044" s="3" t="s">
        <v>223</v>
      </c>
    </row>
    <row r="5045" ht="15.6" spans="4:11">
      <c r="D5045" s="4">
        <v>2589</v>
      </c>
      <c r="E5045" s="4" t="s">
        <v>223</v>
      </c>
      <c r="J5045" s="3" t="s">
        <v>5265</v>
      </c>
      <c r="K5045" s="3" t="s">
        <v>223</v>
      </c>
    </row>
    <row r="5046" ht="15.6" spans="4:11">
      <c r="D5046" s="4">
        <v>2590</v>
      </c>
      <c r="E5046" s="4" t="s">
        <v>223</v>
      </c>
      <c r="J5046" s="3" t="s">
        <v>5266</v>
      </c>
      <c r="K5046" s="3" t="s">
        <v>223</v>
      </c>
    </row>
    <row r="5047" ht="15.6" spans="4:11">
      <c r="D5047" s="4">
        <v>2591</v>
      </c>
      <c r="E5047" s="4" t="s">
        <v>223</v>
      </c>
      <c r="J5047" s="3" t="s">
        <v>5267</v>
      </c>
      <c r="K5047" s="3" t="s">
        <v>223</v>
      </c>
    </row>
    <row r="5048" ht="15.6" spans="4:11">
      <c r="D5048" s="4">
        <v>2592</v>
      </c>
      <c r="E5048" s="4" t="s">
        <v>223</v>
      </c>
      <c r="J5048" s="3" t="s">
        <v>5268</v>
      </c>
      <c r="K5048" s="3" t="s">
        <v>223</v>
      </c>
    </row>
    <row r="5049" ht="15.6" spans="4:11">
      <c r="D5049" s="4">
        <v>2593</v>
      </c>
      <c r="E5049" s="4" t="s">
        <v>223</v>
      </c>
      <c r="J5049" s="3" t="s">
        <v>5269</v>
      </c>
      <c r="K5049" s="3" t="s">
        <v>223</v>
      </c>
    </row>
    <row r="5050" ht="15.6" spans="4:11">
      <c r="D5050" s="4">
        <v>2594</v>
      </c>
      <c r="E5050" s="4" t="s">
        <v>223</v>
      </c>
      <c r="J5050" s="3" t="s">
        <v>5270</v>
      </c>
      <c r="K5050" s="3" t="s">
        <v>223</v>
      </c>
    </row>
    <row r="5051" ht="15.6" spans="4:11">
      <c r="D5051" s="4">
        <v>2595</v>
      </c>
      <c r="E5051" s="4" t="s">
        <v>223</v>
      </c>
      <c r="J5051" s="3" t="s">
        <v>5271</v>
      </c>
      <c r="K5051" s="3" t="s">
        <v>223</v>
      </c>
    </row>
    <row r="5052" ht="15.6" spans="4:11">
      <c r="D5052" s="4">
        <v>2596</v>
      </c>
      <c r="E5052" s="4" t="s">
        <v>223</v>
      </c>
      <c r="J5052" s="3" t="s">
        <v>5272</v>
      </c>
      <c r="K5052" s="3" t="s">
        <v>223</v>
      </c>
    </row>
    <row r="5053" ht="15.6" spans="4:11">
      <c r="D5053" s="4">
        <v>2597</v>
      </c>
      <c r="E5053" s="4" t="s">
        <v>223</v>
      </c>
      <c r="J5053" s="3" t="s">
        <v>5273</v>
      </c>
      <c r="K5053" s="3" t="s">
        <v>223</v>
      </c>
    </row>
    <row r="5054" ht="15.6" spans="4:11">
      <c r="D5054" s="4">
        <v>2598</v>
      </c>
      <c r="E5054" s="4" t="s">
        <v>223</v>
      </c>
      <c r="J5054" s="3" t="s">
        <v>5274</v>
      </c>
      <c r="K5054" s="3" t="s">
        <v>223</v>
      </c>
    </row>
    <row r="5055" ht="15.6" spans="4:11">
      <c r="D5055" s="4">
        <v>2599</v>
      </c>
      <c r="E5055" s="4" t="s">
        <v>223</v>
      </c>
      <c r="J5055" s="3" t="s">
        <v>5275</v>
      </c>
      <c r="K5055" s="3" t="s">
        <v>223</v>
      </c>
    </row>
    <row r="5056" ht="15.6" spans="4:11">
      <c r="D5056" s="4">
        <v>2621</v>
      </c>
      <c r="E5056" s="4" t="s">
        <v>223</v>
      </c>
      <c r="J5056" s="3" t="s">
        <v>5276</v>
      </c>
      <c r="K5056" s="3" t="s">
        <v>223</v>
      </c>
    </row>
    <row r="5057" ht="15.6" spans="4:11">
      <c r="D5057" s="4">
        <v>2622</v>
      </c>
      <c r="E5057" s="4" t="s">
        <v>223</v>
      </c>
      <c r="J5057" s="3" t="s">
        <v>5277</v>
      </c>
      <c r="K5057" s="3" t="s">
        <v>223</v>
      </c>
    </row>
    <row r="5058" ht="15.6" spans="4:11">
      <c r="D5058" s="4">
        <v>2623</v>
      </c>
      <c r="E5058" s="4" t="s">
        <v>223</v>
      </c>
      <c r="J5058" s="3" t="s">
        <v>5278</v>
      </c>
      <c r="K5058" s="3" t="s">
        <v>223</v>
      </c>
    </row>
    <row r="5059" ht="15.6" spans="4:11">
      <c r="D5059" s="4">
        <v>2624</v>
      </c>
      <c r="E5059" s="4" t="s">
        <v>223</v>
      </c>
      <c r="J5059" s="3" t="s">
        <v>5279</v>
      </c>
      <c r="K5059" s="3" t="s">
        <v>223</v>
      </c>
    </row>
    <row r="5060" ht="15.6" spans="4:11">
      <c r="D5060" s="4">
        <v>2625</v>
      </c>
      <c r="E5060" s="4" t="s">
        <v>223</v>
      </c>
      <c r="J5060" s="3" t="s">
        <v>5280</v>
      </c>
      <c r="K5060" s="3" t="s">
        <v>223</v>
      </c>
    </row>
    <row r="5061" ht="15.6" spans="4:11">
      <c r="D5061" s="4">
        <v>2626</v>
      </c>
      <c r="E5061" s="4" t="s">
        <v>223</v>
      </c>
      <c r="J5061" s="3" t="s">
        <v>5281</v>
      </c>
      <c r="K5061" s="3" t="s">
        <v>223</v>
      </c>
    </row>
    <row r="5062" ht="15.6" spans="4:11">
      <c r="D5062" s="4">
        <v>2627</v>
      </c>
      <c r="E5062" s="4" t="s">
        <v>223</v>
      </c>
      <c r="J5062" s="3" t="s">
        <v>5282</v>
      </c>
      <c r="K5062" s="3" t="s">
        <v>223</v>
      </c>
    </row>
    <row r="5063" ht="15.6" spans="4:11">
      <c r="D5063" s="4">
        <v>2628</v>
      </c>
      <c r="E5063" s="4" t="s">
        <v>223</v>
      </c>
      <c r="J5063" s="3" t="s">
        <v>5283</v>
      </c>
      <c r="K5063" s="3" t="s">
        <v>223</v>
      </c>
    </row>
    <row r="5064" ht="15.6" spans="4:11">
      <c r="D5064" s="4">
        <v>2629</v>
      </c>
      <c r="E5064" s="4" t="s">
        <v>223</v>
      </c>
      <c r="J5064" s="3" t="s">
        <v>5284</v>
      </c>
      <c r="K5064" s="3" t="s">
        <v>223</v>
      </c>
    </row>
    <row r="5065" ht="15.6" spans="4:11">
      <c r="D5065" s="4">
        <v>2630</v>
      </c>
      <c r="E5065" s="4" t="s">
        <v>223</v>
      </c>
      <c r="J5065" s="3" t="s">
        <v>5285</v>
      </c>
      <c r="K5065" s="3" t="s">
        <v>223</v>
      </c>
    </row>
    <row r="5066" ht="15.6" spans="4:11">
      <c r="D5066" s="4">
        <v>2631</v>
      </c>
      <c r="E5066" s="4" t="s">
        <v>223</v>
      </c>
      <c r="J5066" s="3" t="s">
        <v>5286</v>
      </c>
      <c r="K5066" s="3" t="s">
        <v>223</v>
      </c>
    </row>
    <row r="5067" ht="15.6" spans="4:11">
      <c r="D5067" s="4">
        <v>2632</v>
      </c>
      <c r="E5067" s="4" t="s">
        <v>223</v>
      </c>
      <c r="J5067" s="3" t="s">
        <v>5287</v>
      </c>
      <c r="K5067" s="3" t="s">
        <v>223</v>
      </c>
    </row>
    <row r="5068" ht="15.6" spans="4:11">
      <c r="D5068" s="4">
        <v>2633</v>
      </c>
      <c r="E5068" s="4" t="s">
        <v>223</v>
      </c>
      <c r="J5068" s="3" t="s">
        <v>5288</v>
      </c>
      <c r="K5068" s="3" t="s">
        <v>223</v>
      </c>
    </row>
    <row r="5069" ht="15.6" spans="4:11">
      <c r="D5069" s="4">
        <v>2634</v>
      </c>
      <c r="E5069" s="4" t="s">
        <v>223</v>
      </c>
      <c r="J5069" s="3" t="s">
        <v>5289</v>
      </c>
      <c r="K5069" s="3" t="s">
        <v>223</v>
      </c>
    </row>
    <row r="5070" ht="15.6" spans="4:11">
      <c r="D5070" s="4">
        <v>2635</v>
      </c>
      <c r="E5070" s="4" t="s">
        <v>223</v>
      </c>
      <c r="J5070" s="3" t="s">
        <v>5290</v>
      </c>
      <c r="K5070" s="3" t="s">
        <v>223</v>
      </c>
    </row>
    <row r="5071" ht="15.6" spans="4:11">
      <c r="D5071" s="4">
        <v>2636</v>
      </c>
      <c r="E5071" s="4" t="s">
        <v>223</v>
      </c>
      <c r="J5071" s="3" t="s">
        <v>5291</v>
      </c>
      <c r="K5071" s="3" t="s">
        <v>223</v>
      </c>
    </row>
    <row r="5072" ht="15.6" spans="4:11">
      <c r="D5072" s="4">
        <v>2637</v>
      </c>
      <c r="E5072" s="4" t="s">
        <v>223</v>
      </c>
      <c r="J5072" s="3" t="s">
        <v>5292</v>
      </c>
      <c r="K5072" s="3" t="s">
        <v>223</v>
      </c>
    </row>
    <row r="5073" ht="15.6" spans="4:11">
      <c r="D5073" s="4">
        <v>2638</v>
      </c>
      <c r="E5073" s="4" t="s">
        <v>223</v>
      </c>
      <c r="J5073" s="3" t="s">
        <v>5293</v>
      </c>
      <c r="K5073" s="3" t="s">
        <v>223</v>
      </c>
    </row>
    <row r="5074" ht="15.6" spans="4:11">
      <c r="D5074" s="4">
        <v>2639</v>
      </c>
      <c r="E5074" s="4" t="s">
        <v>223</v>
      </c>
      <c r="J5074" s="3" t="s">
        <v>5294</v>
      </c>
      <c r="K5074" s="3" t="s">
        <v>223</v>
      </c>
    </row>
    <row r="5075" ht="15.6" spans="4:11">
      <c r="D5075" s="4">
        <v>2642</v>
      </c>
      <c r="E5075" s="4" t="s">
        <v>223</v>
      </c>
      <c r="J5075" s="3" t="s">
        <v>5295</v>
      </c>
      <c r="K5075" s="3" t="s">
        <v>223</v>
      </c>
    </row>
    <row r="5076" ht="15.6" spans="4:11">
      <c r="D5076" s="4">
        <v>2643</v>
      </c>
      <c r="E5076" s="4" t="s">
        <v>223</v>
      </c>
      <c r="J5076" s="3" t="s">
        <v>5296</v>
      </c>
      <c r="K5076" s="3" t="s">
        <v>223</v>
      </c>
    </row>
    <row r="5077" ht="15.6" spans="4:11">
      <c r="D5077" s="4">
        <v>2644</v>
      </c>
      <c r="E5077" s="4" t="s">
        <v>223</v>
      </c>
      <c r="J5077" s="3" t="s">
        <v>5297</v>
      </c>
      <c r="K5077" s="3" t="s">
        <v>223</v>
      </c>
    </row>
    <row r="5078" ht="15.6" spans="4:11">
      <c r="D5078" s="4">
        <v>2645</v>
      </c>
      <c r="E5078" s="4" t="s">
        <v>223</v>
      </c>
      <c r="J5078" s="3" t="s">
        <v>5298</v>
      </c>
      <c r="K5078" s="3" t="s">
        <v>223</v>
      </c>
    </row>
    <row r="5079" ht="15.6" spans="4:11">
      <c r="D5079" s="4">
        <v>2646</v>
      </c>
      <c r="E5079" s="4" t="s">
        <v>223</v>
      </c>
      <c r="J5079" s="3" t="s">
        <v>5299</v>
      </c>
      <c r="K5079" s="3" t="s">
        <v>223</v>
      </c>
    </row>
    <row r="5080" ht="15.6" spans="4:11">
      <c r="D5080" s="4">
        <v>2647</v>
      </c>
      <c r="E5080" s="4" t="s">
        <v>223</v>
      </c>
      <c r="J5080" s="3" t="s">
        <v>5300</v>
      </c>
      <c r="K5080" s="3" t="s">
        <v>223</v>
      </c>
    </row>
    <row r="5081" ht="15.6" spans="4:11">
      <c r="D5081" s="4">
        <v>2648</v>
      </c>
      <c r="E5081" s="4" t="s">
        <v>223</v>
      </c>
      <c r="J5081" s="3" t="s">
        <v>5301</v>
      </c>
      <c r="K5081" s="3" t="s">
        <v>223</v>
      </c>
    </row>
    <row r="5082" ht="15.6" spans="4:11">
      <c r="D5082" s="4">
        <v>2649</v>
      </c>
      <c r="E5082" s="4" t="s">
        <v>223</v>
      </c>
      <c r="J5082" s="3" t="s">
        <v>5302</v>
      </c>
      <c r="K5082" s="3" t="s">
        <v>223</v>
      </c>
    </row>
    <row r="5083" ht="15.6" spans="4:11">
      <c r="D5083" s="4">
        <v>2650</v>
      </c>
      <c r="E5083" s="4" t="s">
        <v>223</v>
      </c>
      <c r="J5083" s="3" t="s">
        <v>5303</v>
      </c>
      <c r="K5083" s="3" t="s">
        <v>223</v>
      </c>
    </row>
    <row r="5084" ht="15.6" spans="4:11">
      <c r="D5084" s="4">
        <v>2651</v>
      </c>
      <c r="E5084" s="4" t="s">
        <v>223</v>
      </c>
      <c r="J5084" s="3" t="s">
        <v>5304</v>
      </c>
      <c r="K5084" s="3" t="s">
        <v>223</v>
      </c>
    </row>
    <row r="5085" ht="15.6" spans="4:11">
      <c r="D5085" s="4">
        <v>2652</v>
      </c>
      <c r="E5085" s="4" t="s">
        <v>223</v>
      </c>
      <c r="J5085" s="3" t="s">
        <v>5305</v>
      </c>
      <c r="K5085" s="3" t="s">
        <v>223</v>
      </c>
    </row>
    <row r="5086" ht="15.6" spans="4:11">
      <c r="D5086" s="4">
        <v>2653</v>
      </c>
      <c r="E5086" s="4" t="s">
        <v>223</v>
      </c>
      <c r="J5086" s="3" t="s">
        <v>5306</v>
      </c>
      <c r="K5086" s="3" t="s">
        <v>223</v>
      </c>
    </row>
    <row r="5087" ht="15.6" spans="4:11">
      <c r="D5087" s="4">
        <v>2654</v>
      </c>
      <c r="E5087" s="4" t="s">
        <v>223</v>
      </c>
      <c r="J5087" s="3" t="s">
        <v>5307</v>
      </c>
      <c r="K5087" s="3" t="s">
        <v>223</v>
      </c>
    </row>
    <row r="5088" ht="15.6" spans="4:11">
      <c r="D5088" s="4">
        <v>2655</v>
      </c>
      <c r="E5088" s="4" t="s">
        <v>223</v>
      </c>
      <c r="J5088" s="3" t="s">
        <v>5308</v>
      </c>
      <c r="K5088" s="3" t="s">
        <v>223</v>
      </c>
    </row>
    <row r="5089" ht="15.6" spans="4:11">
      <c r="D5089" s="4">
        <v>2656</v>
      </c>
      <c r="E5089" s="4" t="s">
        <v>223</v>
      </c>
      <c r="J5089" s="3" t="s">
        <v>5309</v>
      </c>
      <c r="K5089" s="3" t="s">
        <v>223</v>
      </c>
    </row>
    <row r="5090" ht="15.6" spans="4:11">
      <c r="D5090" s="4">
        <v>2657</v>
      </c>
      <c r="E5090" s="4" t="s">
        <v>223</v>
      </c>
      <c r="J5090" s="3" t="s">
        <v>5310</v>
      </c>
      <c r="K5090" s="3" t="s">
        <v>223</v>
      </c>
    </row>
    <row r="5091" ht="15.6" spans="4:11">
      <c r="D5091" s="4">
        <v>2658</v>
      </c>
      <c r="E5091" s="4" t="s">
        <v>223</v>
      </c>
      <c r="J5091" s="3" t="s">
        <v>5311</v>
      </c>
      <c r="K5091" s="3" t="s">
        <v>223</v>
      </c>
    </row>
    <row r="5092" ht="15.6" spans="4:11">
      <c r="D5092" s="4">
        <v>2659</v>
      </c>
      <c r="E5092" s="4" t="s">
        <v>223</v>
      </c>
      <c r="J5092" s="3" t="s">
        <v>5312</v>
      </c>
      <c r="K5092" s="3" t="s">
        <v>223</v>
      </c>
    </row>
    <row r="5093" ht="15.6" spans="4:11">
      <c r="D5093" s="4">
        <v>2660</v>
      </c>
      <c r="E5093" s="4" t="s">
        <v>223</v>
      </c>
      <c r="J5093" s="3" t="s">
        <v>5313</v>
      </c>
      <c r="K5093" s="3" t="s">
        <v>223</v>
      </c>
    </row>
    <row r="5094" ht="15.6" spans="4:11">
      <c r="D5094" s="4">
        <v>2661</v>
      </c>
      <c r="E5094" s="4" t="s">
        <v>223</v>
      </c>
      <c r="J5094" s="3" t="s">
        <v>5314</v>
      </c>
      <c r="K5094" s="3" t="s">
        <v>223</v>
      </c>
    </row>
    <row r="5095" ht="15.6" spans="4:11">
      <c r="D5095" s="4">
        <v>2662</v>
      </c>
      <c r="E5095" s="4" t="s">
        <v>223</v>
      </c>
      <c r="J5095" s="3" t="s">
        <v>5315</v>
      </c>
      <c r="K5095" s="3" t="s">
        <v>223</v>
      </c>
    </row>
    <row r="5096" ht="15.6" spans="4:11">
      <c r="D5096" s="4">
        <v>2663</v>
      </c>
      <c r="E5096" s="4" t="s">
        <v>223</v>
      </c>
      <c r="J5096" s="3" t="s">
        <v>5316</v>
      </c>
      <c r="K5096" s="3" t="s">
        <v>223</v>
      </c>
    </row>
    <row r="5097" ht="15.6" spans="4:11">
      <c r="D5097" s="4">
        <v>2664</v>
      </c>
      <c r="E5097" s="4" t="s">
        <v>223</v>
      </c>
      <c r="J5097" s="3" t="s">
        <v>5317</v>
      </c>
      <c r="K5097" s="3" t="s">
        <v>223</v>
      </c>
    </row>
    <row r="5098" ht="15.6" spans="4:11">
      <c r="D5098" s="4">
        <v>2665</v>
      </c>
      <c r="E5098" s="4" t="s">
        <v>223</v>
      </c>
      <c r="J5098" s="3" t="s">
        <v>5318</v>
      </c>
      <c r="K5098" s="3" t="s">
        <v>223</v>
      </c>
    </row>
    <row r="5099" ht="15.6" spans="4:11">
      <c r="D5099" s="4">
        <v>2666</v>
      </c>
      <c r="E5099" s="4" t="s">
        <v>223</v>
      </c>
      <c r="J5099" s="3" t="s">
        <v>5319</v>
      </c>
      <c r="K5099" s="3" t="s">
        <v>223</v>
      </c>
    </row>
    <row r="5100" ht="15.6" spans="4:11">
      <c r="D5100" s="4">
        <v>2667</v>
      </c>
      <c r="E5100" s="4" t="s">
        <v>223</v>
      </c>
      <c r="J5100" s="3" t="s">
        <v>5320</v>
      </c>
      <c r="K5100" s="3" t="s">
        <v>223</v>
      </c>
    </row>
    <row r="5101" ht="15.6" spans="4:11">
      <c r="D5101" s="4">
        <v>2668</v>
      </c>
      <c r="E5101" s="4" t="s">
        <v>223</v>
      </c>
      <c r="J5101" s="3" t="s">
        <v>5321</v>
      </c>
      <c r="K5101" s="3" t="s">
        <v>223</v>
      </c>
    </row>
    <row r="5102" ht="15.6" spans="4:11">
      <c r="D5102" s="4">
        <v>2669</v>
      </c>
      <c r="E5102" s="4" t="s">
        <v>223</v>
      </c>
      <c r="J5102" s="3" t="s">
        <v>5322</v>
      </c>
      <c r="K5102" s="3" t="s">
        <v>223</v>
      </c>
    </row>
    <row r="5103" ht="15.6" spans="4:11">
      <c r="D5103" s="4">
        <v>2670</v>
      </c>
      <c r="E5103" s="4" t="s">
        <v>223</v>
      </c>
      <c r="J5103" s="3" t="s">
        <v>5323</v>
      </c>
      <c r="K5103" s="3" t="s">
        <v>223</v>
      </c>
    </row>
    <row r="5104" ht="15.6" spans="4:11">
      <c r="D5104" s="4">
        <v>2671</v>
      </c>
      <c r="E5104" s="4" t="s">
        <v>223</v>
      </c>
      <c r="J5104" s="3" t="s">
        <v>5324</v>
      </c>
      <c r="K5104" s="3" t="s">
        <v>223</v>
      </c>
    </row>
    <row r="5105" ht="15.6" spans="4:11">
      <c r="D5105" s="4">
        <v>2672</v>
      </c>
      <c r="E5105" s="4" t="s">
        <v>223</v>
      </c>
      <c r="J5105" s="3" t="s">
        <v>5325</v>
      </c>
      <c r="K5105" s="3" t="s">
        <v>223</v>
      </c>
    </row>
    <row r="5106" ht="15.6" spans="4:11">
      <c r="D5106" s="4">
        <v>2673</v>
      </c>
      <c r="E5106" s="4" t="s">
        <v>223</v>
      </c>
      <c r="J5106" s="3" t="s">
        <v>5326</v>
      </c>
      <c r="K5106" s="3" t="s">
        <v>223</v>
      </c>
    </row>
    <row r="5107" ht="15.6" spans="4:11">
      <c r="D5107" s="4">
        <v>2674</v>
      </c>
      <c r="E5107" s="4" t="s">
        <v>223</v>
      </c>
      <c r="J5107" s="3" t="s">
        <v>5327</v>
      </c>
      <c r="K5107" s="3" t="s">
        <v>223</v>
      </c>
    </row>
    <row r="5108" ht="15.6" spans="4:11">
      <c r="D5108" s="4">
        <v>2675</v>
      </c>
      <c r="E5108" s="4" t="s">
        <v>223</v>
      </c>
      <c r="J5108" s="3" t="s">
        <v>5328</v>
      </c>
      <c r="K5108" s="3" t="s">
        <v>223</v>
      </c>
    </row>
    <row r="5109" ht="15.6" spans="4:11">
      <c r="D5109" s="4">
        <v>2676</v>
      </c>
      <c r="E5109" s="4" t="s">
        <v>223</v>
      </c>
      <c r="J5109" s="3" t="s">
        <v>5329</v>
      </c>
      <c r="K5109" s="3" t="s">
        <v>223</v>
      </c>
    </row>
    <row r="5110" ht="15.6" spans="4:11">
      <c r="D5110" s="4">
        <v>2677</v>
      </c>
      <c r="E5110" s="4" t="s">
        <v>223</v>
      </c>
      <c r="J5110" s="3" t="s">
        <v>5330</v>
      </c>
      <c r="K5110" s="3" t="s">
        <v>223</v>
      </c>
    </row>
    <row r="5111" ht="15.6" spans="4:11">
      <c r="D5111" s="4">
        <v>2678</v>
      </c>
      <c r="E5111" s="4" t="s">
        <v>223</v>
      </c>
      <c r="J5111" s="3" t="s">
        <v>5331</v>
      </c>
      <c r="K5111" s="3" t="s">
        <v>223</v>
      </c>
    </row>
    <row r="5112" ht="15.6" spans="4:11">
      <c r="D5112" s="4">
        <v>2679</v>
      </c>
      <c r="E5112" s="4" t="s">
        <v>223</v>
      </c>
      <c r="J5112" s="3" t="s">
        <v>5332</v>
      </c>
      <c r="K5112" s="3" t="s">
        <v>223</v>
      </c>
    </row>
    <row r="5113" ht="15.6" spans="4:11">
      <c r="D5113" s="4">
        <v>2680</v>
      </c>
      <c r="E5113" s="4" t="s">
        <v>223</v>
      </c>
      <c r="J5113" s="3" t="s">
        <v>5333</v>
      </c>
      <c r="K5113" s="3" t="s">
        <v>223</v>
      </c>
    </row>
    <row r="5114" ht="15.6" spans="4:11">
      <c r="D5114" s="4">
        <v>2681</v>
      </c>
      <c r="E5114" s="4" t="s">
        <v>223</v>
      </c>
      <c r="J5114" s="3" t="s">
        <v>5334</v>
      </c>
      <c r="K5114" s="3" t="s">
        <v>223</v>
      </c>
    </row>
    <row r="5115" ht="15.6" spans="4:11">
      <c r="D5115" s="4">
        <v>2682</v>
      </c>
      <c r="E5115" s="4" t="s">
        <v>223</v>
      </c>
      <c r="J5115" s="3" t="s">
        <v>5335</v>
      </c>
      <c r="K5115" s="3" t="s">
        <v>223</v>
      </c>
    </row>
    <row r="5116" ht="15.6" spans="4:11">
      <c r="D5116" s="4">
        <v>2683</v>
      </c>
      <c r="E5116" s="4" t="s">
        <v>223</v>
      </c>
      <c r="J5116" s="3" t="s">
        <v>5336</v>
      </c>
      <c r="K5116" s="3" t="s">
        <v>223</v>
      </c>
    </row>
    <row r="5117" ht="15.6" spans="4:11">
      <c r="D5117" s="4">
        <v>2684</v>
      </c>
      <c r="E5117" s="4" t="s">
        <v>223</v>
      </c>
      <c r="J5117" s="3" t="s">
        <v>5337</v>
      </c>
      <c r="K5117" s="3" t="s">
        <v>223</v>
      </c>
    </row>
    <row r="5118" ht="15.6" spans="4:11">
      <c r="D5118" s="4">
        <v>2685</v>
      </c>
      <c r="E5118" s="4" t="s">
        <v>223</v>
      </c>
      <c r="J5118" s="3" t="s">
        <v>5338</v>
      </c>
      <c r="K5118" s="3" t="s">
        <v>223</v>
      </c>
    </row>
    <row r="5119" ht="15.6" spans="4:11">
      <c r="D5119" s="4">
        <v>2686</v>
      </c>
      <c r="E5119" s="4" t="s">
        <v>223</v>
      </c>
      <c r="J5119" s="3" t="s">
        <v>5339</v>
      </c>
      <c r="K5119" s="3" t="s">
        <v>223</v>
      </c>
    </row>
    <row r="5120" ht="15.6" spans="4:11">
      <c r="D5120" s="4">
        <v>2687</v>
      </c>
      <c r="E5120" s="4" t="s">
        <v>223</v>
      </c>
      <c r="J5120" s="3" t="s">
        <v>5340</v>
      </c>
      <c r="K5120" s="3" t="s">
        <v>223</v>
      </c>
    </row>
    <row r="5121" ht="15.6" spans="4:11">
      <c r="D5121" s="4">
        <v>2688</v>
      </c>
      <c r="E5121" s="4" t="s">
        <v>223</v>
      </c>
      <c r="J5121" s="3" t="s">
        <v>5341</v>
      </c>
      <c r="K5121" s="3" t="s">
        <v>223</v>
      </c>
    </row>
    <row r="5122" ht="15.6" spans="4:11">
      <c r="D5122" s="4">
        <v>2689</v>
      </c>
      <c r="E5122" s="4" t="s">
        <v>223</v>
      </c>
      <c r="J5122" s="3" t="s">
        <v>5342</v>
      </c>
      <c r="K5122" s="3" t="s">
        <v>223</v>
      </c>
    </row>
    <row r="5123" ht="15.6" spans="4:11">
      <c r="D5123" s="4">
        <v>2690</v>
      </c>
      <c r="E5123" s="4" t="s">
        <v>223</v>
      </c>
      <c r="J5123" s="3" t="s">
        <v>5343</v>
      </c>
      <c r="K5123" s="3" t="s">
        <v>223</v>
      </c>
    </row>
    <row r="5124" ht="15.6" spans="4:11">
      <c r="D5124" s="4">
        <v>2691</v>
      </c>
      <c r="E5124" s="4" t="s">
        <v>223</v>
      </c>
      <c r="J5124" s="3" t="s">
        <v>5344</v>
      </c>
      <c r="K5124" s="3" t="s">
        <v>223</v>
      </c>
    </row>
    <row r="5125" ht="15.6" spans="4:11">
      <c r="D5125" s="4">
        <v>2692</v>
      </c>
      <c r="E5125" s="4" t="s">
        <v>223</v>
      </c>
      <c r="J5125" s="3" t="s">
        <v>5345</v>
      </c>
      <c r="K5125" s="3" t="s">
        <v>223</v>
      </c>
    </row>
    <row r="5126" ht="15.6" spans="4:11">
      <c r="D5126" s="4">
        <v>2693</v>
      </c>
      <c r="E5126" s="4" t="s">
        <v>223</v>
      </c>
      <c r="J5126" s="3" t="s">
        <v>5346</v>
      </c>
      <c r="K5126" s="3" t="s">
        <v>223</v>
      </c>
    </row>
    <row r="5127" ht="15.6" spans="4:11">
      <c r="D5127" s="4">
        <v>2694</v>
      </c>
      <c r="E5127" s="4" t="s">
        <v>223</v>
      </c>
      <c r="J5127" s="3" t="s">
        <v>5347</v>
      </c>
      <c r="K5127" s="3" t="s">
        <v>223</v>
      </c>
    </row>
    <row r="5128" ht="15.6" spans="4:11">
      <c r="D5128" s="4">
        <v>2695</v>
      </c>
      <c r="E5128" s="4" t="s">
        <v>223</v>
      </c>
      <c r="J5128" s="3" t="s">
        <v>5348</v>
      </c>
      <c r="K5128" s="3" t="s">
        <v>223</v>
      </c>
    </row>
    <row r="5129" ht="15.6" spans="4:11">
      <c r="D5129" s="4">
        <v>2696</v>
      </c>
      <c r="E5129" s="4" t="s">
        <v>223</v>
      </c>
      <c r="J5129" s="3" t="s">
        <v>5349</v>
      </c>
      <c r="K5129" s="3" t="s">
        <v>223</v>
      </c>
    </row>
    <row r="5130" ht="15.6" spans="4:11">
      <c r="D5130" s="4">
        <v>2697</v>
      </c>
      <c r="E5130" s="4" t="s">
        <v>223</v>
      </c>
      <c r="J5130" s="3" t="s">
        <v>5350</v>
      </c>
      <c r="K5130" s="3" t="s">
        <v>223</v>
      </c>
    </row>
    <row r="5131" ht="15.6" spans="4:11">
      <c r="D5131" s="4">
        <v>2698</v>
      </c>
      <c r="E5131" s="4" t="s">
        <v>223</v>
      </c>
      <c r="J5131" s="3" t="s">
        <v>5351</v>
      </c>
      <c r="K5131" s="3" t="s">
        <v>223</v>
      </c>
    </row>
    <row r="5132" ht="15.6" spans="4:11">
      <c r="D5132" s="4">
        <v>2699</v>
      </c>
      <c r="E5132" s="4" t="s">
        <v>223</v>
      </c>
      <c r="J5132" s="3" t="s">
        <v>5352</v>
      </c>
      <c r="K5132" s="3" t="s">
        <v>223</v>
      </c>
    </row>
    <row r="5133" ht="15.6" spans="4:11">
      <c r="D5133" s="4">
        <v>2700</v>
      </c>
      <c r="E5133" s="4" t="s">
        <v>223</v>
      </c>
      <c r="J5133" s="3" t="s">
        <v>5353</v>
      </c>
      <c r="K5133" s="3" t="s">
        <v>223</v>
      </c>
    </row>
    <row r="5134" ht="15.6" spans="4:11">
      <c r="D5134" s="4">
        <v>2701</v>
      </c>
      <c r="E5134" s="4" t="s">
        <v>223</v>
      </c>
      <c r="J5134" s="3" t="s">
        <v>5354</v>
      </c>
      <c r="K5134" s="3" t="s">
        <v>223</v>
      </c>
    </row>
    <row r="5135" ht="15.6" spans="4:11">
      <c r="D5135" s="4">
        <v>2702</v>
      </c>
      <c r="E5135" s="4" t="s">
        <v>223</v>
      </c>
      <c r="J5135" s="3" t="s">
        <v>5355</v>
      </c>
      <c r="K5135" s="3" t="s">
        <v>223</v>
      </c>
    </row>
    <row r="5136" ht="15.6" spans="4:11">
      <c r="D5136" s="4">
        <v>2703</v>
      </c>
      <c r="E5136" s="4" t="s">
        <v>223</v>
      </c>
      <c r="J5136" s="3" t="s">
        <v>5356</v>
      </c>
      <c r="K5136" s="3" t="s">
        <v>223</v>
      </c>
    </row>
    <row r="5137" ht="15.6" spans="4:11">
      <c r="D5137" s="4">
        <v>2704</v>
      </c>
      <c r="E5137" s="4" t="s">
        <v>223</v>
      </c>
      <c r="J5137" s="3" t="s">
        <v>5357</v>
      </c>
      <c r="K5137" s="3" t="s">
        <v>223</v>
      </c>
    </row>
    <row r="5138" ht="15.6" spans="4:11">
      <c r="D5138" s="4">
        <v>2705</v>
      </c>
      <c r="E5138" s="4" t="s">
        <v>223</v>
      </c>
      <c r="J5138" s="3" t="s">
        <v>5358</v>
      </c>
      <c r="K5138" s="3" t="s">
        <v>223</v>
      </c>
    </row>
    <row r="5139" ht="15.6" spans="4:11">
      <c r="D5139" s="4">
        <v>2706</v>
      </c>
      <c r="E5139" s="4" t="s">
        <v>223</v>
      </c>
      <c r="J5139" s="3" t="s">
        <v>5359</v>
      </c>
      <c r="K5139" s="3" t="s">
        <v>223</v>
      </c>
    </row>
    <row r="5140" ht="15.6" spans="4:11">
      <c r="D5140" s="4">
        <v>2707</v>
      </c>
      <c r="E5140" s="4" t="s">
        <v>223</v>
      </c>
      <c r="J5140" s="3" t="s">
        <v>5360</v>
      </c>
      <c r="K5140" s="3" t="s">
        <v>223</v>
      </c>
    </row>
    <row r="5141" ht="15.6" spans="4:11">
      <c r="D5141" s="4">
        <v>2710</v>
      </c>
      <c r="E5141" s="4" t="s">
        <v>223</v>
      </c>
      <c r="J5141" s="3" t="s">
        <v>5361</v>
      </c>
      <c r="K5141" s="3" t="s">
        <v>223</v>
      </c>
    </row>
    <row r="5142" ht="15.6" spans="4:11">
      <c r="D5142" s="4">
        <v>2711</v>
      </c>
      <c r="E5142" s="4" t="s">
        <v>223</v>
      </c>
      <c r="J5142" s="3" t="s">
        <v>5362</v>
      </c>
      <c r="K5142" s="3" t="s">
        <v>223</v>
      </c>
    </row>
    <row r="5143" ht="15.6" spans="4:11">
      <c r="D5143" s="4">
        <v>2712</v>
      </c>
      <c r="E5143" s="4" t="s">
        <v>223</v>
      </c>
      <c r="J5143" s="3" t="s">
        <v>5363</v>
      </c>
      <c r="K5143" s="3" t="s">
        <v>223</v>
      </c>
    </row>
    <row r="5144" ht="15.6" spans="4:11">
      <c r="D5144" s="4">
        <v>2713</v>
      </c>
      <c r="E5144" s="4" t="s">
        <v>223</v>
      </c>
      <c r="J5144" s="3" t="s">
        <v>5364</v>
      </c>
      <c r="K5144" s="3" t="s">
        <v>223</v>
      </c>
    </row>
    <row r="5145" ht="15.6" spans="4:11">
      <c r="D5145" s="4">
        <v>2714</v>
      </c>
      <c r="E5145" s="4" t="s">
        <v>223</v>
      </c>
      <c r="J5145" s="3" t="s">
        <v>5365</v>
      </c>
      <c r="K5145" s="3" t="s">
        <v>223</v>
      </c>
    </row>
    <row r="5146" ht="15.6" spans="4:11">
      <c r="D5146" s="4">
        <v>2715</v>
      </c>
      <c r="E5146" s="4" t="s">
        <v>223</v>
      </c>
      <c r="J5146" s="3" t="s">
        <v>5366</v>
      </c>
      <c r="K5146" s="3" t="s">
        <v>223</v>
      </c>
    </row>
    <row r="5147" ht="15.6" spans="4:11">
      <c r="D5147" s="4">
        <v>2716</v>
      </c>
      <c r="E5147" s="4" t="s">
        <v>223</v>
      </c>
      <c r="J5147" s="3" t="s">
        <v>5367</v>
      </c>
      <c r="K5147" s="3" t="s">
        <v>223</v>
      </c>
    </row>
    <row r="5148" ht="15.6" spans="4:11">
      <c r="D5148" s="4">
        <v>2717</v>
      </c>
      <c r="E5148" s="4" t="s">
        <v>223</v>
      </c>
      <c r="J5148" s="3" t="s">
        <v>5368</v>
      </c>
      <c r="K5148" s="3" t="s">
        <v>223</v>
      </c>
    </row>
    <row r="5149" ht="15.6" spans="4:11">
      <c r="D5149" s="4">
        <v>2718</v>
      </c>
      <c r="E5149" s="4" t="s">
        <v>223</v>
      </c>
      <c r="J5149" s="3" t="s">
        <v>5369</v>
      </c>
      <c r="K5149" s="3" t="s">
        <v>223</v>
      </c>
    </row>
    <row r="5150" ht="15.6" spans="4:11">
      <c r="D5150" s="4">
        <v>2719</v>
      </c>
      <c r="E5150" s="4" t="s">
        <v>223</v>
      </c>
      <c r="J5150" s="3" t="s">
        <v>5370</v>
      </c>
      <c r="K5150" s="3" t="s">
        <v>223</v>
      </c>
    </row>
    <row r="5151" ht="15.6" spans="4:11">
      <c r="D5151" s="4">
        <v>2720</v>
      </c>
      <c r="E5151" s="4" t="s">
        <v>223</v>
      </c>
      <c r="J5151" s="3" t="s">
        <v>5371</v>
      </c>
      <c r="K5151" s="3" t="s">
        <v>223</v>
      </c>
    </row>
    <row r="5152" ht="15.6" spans="4:11">
      <c r="D5152" s="4">
        <v>2721</v>
      </c>
      <c r="E5152" s="4" t="s">
        <v>223</v>
      </c>
      <c r="J5152" s="3" t="s">
        <v>5372</v>
      </c>
      <c r="K5152" s="3" t="s">
        <v>223</v>
      </c>
    </row>
    <row r="5153" ht="15.6" spans="4:11">
      <c r="D5153" s="4">
        <v>2722</v>
      </c>
      <c r="E5153" s="4" t="s">
        <v>223</v>
      </c>
      <c r="J5153" s="3" t="s">
        <v>5373</v>
      </c>
      <c r="K5153" s="3" t="s">
        <v>223</v>
      </c>
    </row>
    <row r="5154" ht="15.6" spans="4:11">
      <c r="D5154" s="4">
        <v>2723</v>
      </c>
      <c r="E5154" s="4" t="s">
        <v>223</v>
      </c>
      <c r="J5154" s="3" t="s">
        <v>5374</v>
      </c>
      <c r="K5154" s="3" t="s">
        <v>223</v>
      </c>
    </row>
    <row r="5155" ht="15.6" spans="4:11">
      <c r="D5155" s="4">
        <v>2724</v>
      </c>
      <c r="E5155" s="4" t="s">
        <v>223</v>
      </c>
      <c r="J5155" s="3" t="s">
        <v>5375</v>
      </c>
      <c r="K5155" s="3" t="s">
        <v>223</v>
      </c>
    </row>
    <row r="5156" ht="15.6" spans="4:11">
      <c r="D5156" s="4">
        <v>2725</v>
      </c>
      <c r="E5156" s="4" t="s">
        <v>223</v>
      </c>
      <c r="J5156" s="3" t="s">
        <v>5376</v>
      </c>
      <c r="K5156" s="3" t="s">
        <v>223</v>
      </c>
    </row>
    <row r="5157" ht="15.6" spans="4:11">
      <c r="D5157" s="4">
        <v>2726</v>
      </c>
      <c r="E5157" s="4" t="s">
        <v>223</v>
      </c>
      <c r="J5157" s="3" t="s">
        <v>5377</v>
      </c>
      <c r="K5157" s="3" t="s">
        <v>223</v>
      </c>
    </row>
    <row r="5158" ht="15.6" spans="4:11">
      <c r="D5158" s="4">
        <v>2727</v>
      </c>
      <c r="E5158" s="4" t="s">
        <v>223</v>
      </c>
      <c r="J5158" s="3" t="s">
        <v>5378</v>
      </c>
      <c r="K5158" s="3" t="s">
        <v>223</v>
      </c>
    </row>
    <row r="5159" ht="15.6" spans="4:11">
      <c r="D5159" s="4">
        <v>2728</v>
      </c>
      <c r="E5159" s="4" t="s">
        <v>223</v>
      </c>
      <c r="J5159" s="3" t="s">
        <v>5379</v>
      </c>
      <c r="K5159" s="3" t="s">
        <v>223</v>
      </c>
    </row>
    <row r="5160" ht="15.6" spans="4:11">
      <c r="D5160" s="4">
        <v>2729</v>
      </c>
      <c r="E5160" s="4" t="s">
        <v>223</v>
      </c>
      <c r="J5160" s="3" t="s">
        <v>5380</v>
      </c>
      <c r="K5160" s="3" t="s">
        <v>223</v>
      </c>
    </row>
    <row r="5161" ht="15.6" spans="4:11">
      <c r="D5161" s="4">
        <v>2730</v>
      </c>
      <c r="E5161" s="4" t="s">
        <v>223</v>
      </c>
      <c r="J5161" s="3" t="s">
        <v>5381</v>
      </c>
      <c r="K5161" s="3" t="s">
        <v>223</v>
      </c>
    </row>
    <row r="5162" ht="15.6" spans="4:11">
      <c r="D5162" s="4">
        <v>2731</v>
      </c>
      <c r="E5162" s="4" t="s">
        <v>223</v>
      </c>
      <c r="J5162" s="3" t="s">
        <v>5382</v>
      </c>
      <c r="K5162" s="3" t="s">
        <v>223</v>
      </c>
    </row>
    <row r="5163" ht="15.6" spans="4:11">
      <c r="D5163" s="4">
        <v>2732</v>
      </c>
      <c r="E5163" s="4" t="s">
        <v>223</v>
      </c>
      <c r="J5163" s="3" t="s">
        <v>5383</v>
      </c>
      <c r="K5163" s="3" t="s">
        <v>223</v>
      </c>
    </row>
    <row r="5164" ht="15.6" spans="4:11">
      <c r="D5164" s="4">
        <v>2733</v>
      </c>
      <c r="E5164" s="4" t="s">
        <v>223</v>
      </c>
      <c r="J5164" s="3" t="s">
        <v>5384</v>
      </c>
      <c r="K5164" s="3" t="s">
        <v>223</v>
      </c>
    </row>
    <row r="5165" ht="15.6" spans="4:11">
      <c r="D5165" s="4">
        <v>2734</v>
      </c>
      <c r="E5165" s="4" t="s">
        <v>223</v>
      </c>
      <c r="J5165" s="3" t="s">
        <v>5385</v>
      </c>
      <c r="K5165" s="3" t="s">
        <v>223</v>
      </c>
    </row>
    <row r="5166" ht="15.6" spans="4:11">
      <c r="D5166" s="4">
        <v>2735</v>
      </c>
      <c r="E5166" s="4" t="s">
        <v>223</v>
      </c>
      <c r="J5166" s="3" t="s">
        <v>5386</v>
      </c>
      <c r="K5166" s="3" t="s">
        <v>223</v>
      </c>
    </row>
    <row r="5167" ht="15.6" spans="4:11">
      <c r="D5167" s="4">
        <v>2736</v>
      </c>
      <c r="E5167" s="4" t="s">
        <v>223</v>
      </c>
      <c r="J5167" s="3" t="s">
        <v>5387</v>
      </c>
      <c r="K5167" s="3" t="s">
        <v>223</v>
      </c>
    </row>
    <row r="5168" ht="15.6" spans="4:11">
      <c r="D5168" s="4">
        <v>2737</v>
      </c>
      <c r="E5168" s="4" t="s">
        <v>223</v>
      </c>
      <c r="J5168" s="3" t="s">
        <v>5388</v>
      </c>
      <c r="K5168" s="3" t="s">
        <v>223</v>
      </c>
    </row>
    <row r="5169" ht="15.6" spans="4:11">
      <c r="D5169" s="4">
        <v>2738</v>
      </c>
      <c r="E5169" s="4" t="s">
        <v>223</v>
      </c>
      <c r="J5169" s="3" t="s">
        <v>5389</v>
      </c>
      <c r="K5169" s="3" t="s">
        <v>223</v>
      </c>
    </row>
    <row r="5170" ht="15.6" spans="4:11">
      <c r="D5170" s="4">
        <v>2739</v>
      </c>
      <c r="E5170" s="4" t="s">
        <v>223</v>
      </c>
      <c r="J5170" s="3" t="s">
        <v>5390</v>
      </c>
      <c r="K5170" s="3" t="s">
        <v>223</v>
      </c>
    </row>
    <row r="5171" ht="15.6" spans="4:11">
      <c r="D5171" s="4">
        <v>2787</v>
      </c>
      <c r="E5171" s="4" t="s">
        <v>223</v>
      </c>
      <c r="J5171" s="3" t="s">
        <v>5391</v>
      </c>
      <c r="K5171" s="3" t="s">
        <v>223</v>
      </c>
    </row>
    <row r="5172" ht="15.6" spans="4:11">
      <c r="D5172" s="4">
        <v>2788</v>
      </c>
      <c r="E5172" s="4" t="s">
        <v>223</v>
      </c>
      <c r="J5172" s="3" t="s">
        <v>5392</v>
      </c>
      <c r="K5172" s="3" t="s">
        <v>223</v>
      </c>
    </row>
    <row r="5173" ht="15.6" spans="4:11">
      <c r="D5173" s="4">
        <v>2789</v>
      </c>
      <c r="E5173" s="4" t="s">
        <v>223</v>
      </c>
      <c r="J5173" s="3" t="s">
        <v>5393</v>
      </c>
      <c r="K5173" s="3" t="s">
        <v>223</v>
      </c>
    </row>
    <row r="5174" ht="15.6" spans="4:11">
      <c r="D5174" s="4">
        <v>2790</v>
      </c>
      <c r="E5174" s="4" t="s">
        <v>223</v>
      </c>
      <c r="J5174" s="3" t="s">
        <v>5394</v>
      </c>
      <c r="K5174" s="3" t="s">
        <v>223</v>
      </c>
    </row>
    <row r="5175" ht="15.6" spans="4:11">
      <c r="D5175" s="4">
        <v>2791</v>
      </c>
      <c r="E5175" s="4" t="s">
        <v>223</v>
      </c>
      <c r="J5175" s="3" t="s">
        <v>5395</v>
      </c>
      <c r="K5175" s="3" t="s">
        <v>223</v>
      </c>
    </row>
    <row r="5176" ht="15.6" spans="4:11">
      <c r="D5176" s="4">
        <v>2792</v>
      </c>
      <c r="E5176" s="4" t="s">
        <v>223</v>
      </c>
      <c r="J5176" s="3" t="s">
        <v>5396</v>
      </c>
      <c r="K5176" s="3" t="s">
        <v>223</v>
      </c>
    </row>
    <row r="5177" ht="15.6" spans="4:11">
      <c r="D5177" s="4">
        <v>2793</v>
      </c>
      <c r="E5177" s="4" t="s">
        <v>223</v>
      </c>
      <c r="J5177" s="3" t="s">
        <v>5397</v>
      </c>
      <c r="K5177" s="3" t="s">
        <v>223</v>
      </c>
    </row>
    <row r="5178" ht="15.6" spans="4:11">
      <c r="D5178" s="4">
        <v>2794</v>
      </c>
      <c r="E5178" s="4" t="s">
        <v>223</v>
      </c>
      <c r="J5178" s="3" t="s">
        <v>5398</v>
      </c>
      <c r="K5178" s="3" t="s">
        <v>223</v>
      </c>
    </row>
    <row r="5179" ht="15.6" spans="4:11">
      <c r="D5179" s="4">
        <v>2795</v>
      </c>
      <c r="E5179" s="4" t="s">
        <v>223</v>
      </c>
      <c r="J5179" s="3" t="s">
        <v>5399</v>
      </c>
      <c r="K5179" s="3" t="s">
        <v>223</v>
      </c>
    </row>
    <row r="5180" ht="15.6" spans="4:11">
      <c r="D5180" s="4">
        <v>2796</v>
      </c>
      <c r="E5180" s="4" t="s">
        <v>223</v>
      </c>
      <c r="J5180" s="3" t="s">
        <v>5400</v>
      </c>
      <c r="K5180" s="3" t="s">
        <v>223</v>
      </c>
    </row>
    <row r="5181" ht="15.6" spans="4:11">
      <c r="D5181" s="4">
        <v>2797</v>
      </c>
      <c r="E5181" s="4" t="s">
        <v>223</v>
      </c>
      <c r="J5181" s="3" t="s">
        <v>5401</v>
      </c>
      <c r="K5181" s="3" t="s">
        <v>223</v>
      </c>
    </row>
    <row r="5182" ht="15.6" spans="4:11">
      <c r="D5182" s="4">
        <v>2798</v>
      </c>
      <c r="E5182" s="4" t="s">
        <v>223</v>
      </c>
      <c r="J5182" s="3" t="s">
        <v>5402</v>
      </c>
      <c r="K5182" s="3" t="s">
        <v>223</v>
      </c>
    </row>
    <row r="5183" ht="15.6" spans="4:11">
      <c r="D5183" s="4">
        <v>2799</v>
      </c>
      <c r="E5183" s="4" t="s">
        <v>223</v>
      </c>
      <c r="J5183" s="3" t="s">
        <v>5403</v>
      </c>
      <c r="K5183" s="3" t="s">
        <v>223</v>
      </c>
    </row>
    <row r="5184" ht="15.6" spans="4:11">
      <c r="D5184" s="4">
        <v>2800</v>
      </c>
      <c r="E5184" s="4" t="s">
        <v>223</v>
      </c>
      <c r="J5184" s="3" t="s">
        <v>5404</v>
      </c>
      <c r="K5184" s="3" t="s">
        <v>223</v>
      </c>
    </row>
    <row r="5185" ht="15.6" spans="4:11">
      <c r="D5185" s="4">
        <v>2801</v>
      </c>
      <c r="E5185" s="4" t="s">
        <v>223</v>
      </c>
      <c r="J5185" s="3" t="s">
        <v>5405</v>
      </c>
      <c r="K5185" s="3" t="s">
        <v>223</v>
      </c>
    </row>
    <row r="5186" ht="15.6" spans="4:11">
      <c r="D5186" s="4">
        <v>2802</v>
      </c>
      <c r="E5186" s="4" t="s">
        <v>223</v>
      </c>
      <c r="J5186" s="3" t="s">
        <v>5406</v>
      </c>
      <c r="K5186" s="3" t="s">
        <v>223</v>
      </c>
    </row>
    <row r="5187" ht="15.6" spans="4:11">
      <c r="D5187" s="4">
        <v>2803</v>
      </c>
      <c r="E5187" s="4" t="s">
        <v>223</v>
      </c>
      <c r="J5187" s="3" t="s">
        <v>5407</v>
      </c>
      <c r="K5187" s="3" t="s">
        <v>223</v>
      </c>
    </row>
    <row r="5188" ht="15.6" spans="4:11">
      <c r="D5188" s="4">
        <v>2804</v>
      </c>
      <c r="E5188" s="4" t="s">
        <v>223</v>
      </c>
      <c r="J5188" s="3" t="s">
        <v>5408</v>
      </c>
      <c r="K5188" s="3" t="s">
        <v>223</v>
      </c>
    </row>
    <row r="5189" ht="15.6" spans="4:11">
      <c r="D5189" s="4">
        <v>2805</v>
      </c>
      <c r="E5189" s="4" t="s">
        <v>223</v>
      </c>
      <c r="J5189" s="3" t="s">
        <v>5409</v>
      </c>
      <c r="K5189" s="3" t="s">
        <v>223</v>
      </c>
    </row>
    <row r="5190" ht="15.6" spans="4:11">
      <c r="D5190" s="4">
        <v>2806</v>
      </c>
      <c r="E5190" s="4" t="s">
        <v>223</v>
      </c>
      <c r="J5190" s="3" t="s">
        <v>5410</v>
      </c>
      <c r="K5190" s="3" t="s">
        <v>223</v>
      </c>
    </row>
    <row r="5191" ht="15.6" spans="4:11">
      <c r="D5191" s="4">
        <v>2807</v>
      </c>
      <c r="E5191" s="4" t="s">
        <v>223</v>
      </c>
      <c r="J5191" s="3" t="s">
        <v>5411</v>
      </c>
      <c r="K5191" s="3" t="s">
        <v>223</v>
      </c>
    </row>
    <row r="5192" ht="15.6" spans="4:11">
      <c r="D5192" s="4">
        <v>2808</v>
      </c>
      <c r="E5192" s="4" t="s">
        <v>223</v>
      </c>
      <c r="J5192" s="3" t="s">
        <v>5412</v>
      </c>
      <c r="K5192" s="3" t="s">
        <v>223</v>
      </c>
    </row>
    <row r="5193" ht="15.6" spans="4:11">
      <c r="D5193" s="4">
        <v>2809</v>
      </c>
      <c r="E5193" s="4" t="s">
        <v>223</v>
      </c>
      <c r="J5193" s="3" t="s">
        <v>5413</v>
      </c>
      <c r="K5193" s="3" t="s">
        <v>223</v>
      </c>
    </row>
    <row r="5194" ht="15.6" spans="4:11">
      <c r="D5194" s="4">
        <v>2810</v>
      </c>
      <c r="E5194" s="4" t="s">
        <v>223</v>
      </c>
      <c r="J5194" s="3" t="s">
        <v>5414</v>
      </c>
      <c r="K5194" s="3" t="s">
        <v>223</v>
      </c>
    </row>
    <row r="5195" ht="15.6" spans="4:11">
      <c r="D5195" s="4">
        <v>2811</v>
      </c>
      <c r="E5195" s="4" t="s">
        <v>223</v>
      </c>
      <c r="J5195" s="3" t="s">
        <v>5415</v>
      </c>
      <c r="K5195" s="3" t="s">
        <v>223</v>
      </c>
    </row>
    <row r="5196" ht="15.6" spans="4:11">
      <c r="D5196" s="4">
        <v>2812</v>
      </c>
      <c r="E5196" s="4" t="s">
        <v>223</v>
      </c>
      <c r="J5196" s="3" t="s">
        <v>5416</v>
      </c>
      <c r="K5196" s="3" t="s">
        <v>223</v>
      </c>
    </row>
    <row r="5197" ht="15.6" spans="4:11">
      <c r="D5197" s="4">
        <v>2813</v>
      </c>
      <c r="E5197" s="4" t="s">
        <v>223</v>
      </c>
      <c r="J5197" s="3" t="s">
        <v>5417</v>
      </c>
      <c r="K5197" s="3" t="s">
        <v>223</v>
      </c>
    </row>
    <row r="5198" ht="15.6" spans="4:11">
      <c r="D5198" s="4">
        <v>2814</v>
      </c>
      <c r="E5198" s="4" t="s">
        <v>223</v>
      </c>
      <c r="J5198" s="3" t="s">
        <v>5418</v>
      </c>
      <c r="K5198" s="3" t="s">
        <v>223</v>
      </c>
    </row>
    <row r="5199" ht="15.6" spans="4:11">
      <c r="D5199" s="4">
        <v>2815</v>
      </c>
      <c r="E5199" s="4" t="s">
        <v>223</v>
      </c>
      <c r="J5199" s="3" t="s">
        <v>5419</v>
      </c>
      <c r="K5199" s="3" t="s">
        <v>223</v>
      </c>
    </row>
    <row r="5200" ht="15.6" spans="4:11">
      <c r="D5200" s="4">
        <v>2816</v>
      </c>
      <c r="E5200" s="4" t="s">
        <v>223</v>
      </c>
      <c r="J5200" s="3" t="s">
        <v>5420</v>
      </c>
      <c r="K5200" s="3" t="s">
        <v>223</v>
      </c>
    </row>
    <row r="5201" ht="15.6" spans="4:11">
      <c r="D5201" s="4">
        <v>2817</v>
      </c>
      <c r="E5201" s="4" t="s">
        <v>223</v>
      </c>
      <c r="J5201" s="3" t="s">
        <v>5421</v>
      </c>
      <c r="K5201" s="3" t="s">
        <v>223</v>
      </c>
    </row>
    <row r="5202" ht="15.6" spans="4:11">
      <c r="D5202" s="4">
        <v>2818</v>
      </c>
      <c r="E5202" s="4" t="s">
        <v>223</v>
      </c>
      <c r="J5202" s="3" t="s">
        <v>5422</v>
      </c>
      <c r="K5202" s="3" t="s">
        <v>223</v>
      </c>
    </row>
    <row r="5203" ht="15.6" spans="4:11">
      <c r="D5203" s="4">
        <v>2819</v>
      </c>
      <c r="E5203" s="4" t="s">
        <v>223</v>
      </c>
      <c r="J5203" s="3" t="s">
        <v>5423</v>
      </c>
      <c r="K5203" s="3" t="s">
        <v>223</v>
      </c>
    </row>
    <row r="5204" ht="15.6" spans="4:11">
      <c r="D5204" s="4">
        <v>2820</v>
      </c>
      <c r="E5204" s="4" t="s">
        <v>223</v>
      </c>
      <c r="J5204" s="3" t="s">
        <v>5424</v>
      </c>
      <c r="K5204" s="3" t="s">
        <v>223</v>
      </c>
    </row>
    <row r="5205" ht="15.6" spans="4:11">
      <c r="D5205" s="4">
        <v>2821</v>
      </c>
      <c r="E5205" s="4" t="s">
        <v>223</v>
      </c>
      <c r="J5205" s="3" t="s">
        <v>5425</v>
      </c>
      <c r="K5205" s="3" t="s">
        <v>223</v>
      </c>
    </row>
    <row r="5206" ht="15.6" spans="4:11">
      <c r="D5206" s="4">
        <v>2822</v>
      </c>
      <c r="E5206" s="4" t="s">
        <v>223</v>
      </c>
      <c r="J5206" s="3" t="s">
        <v>5426</v>
      </c>
      <c r="K5206" s="3" t="s">
        <v>223</v>
      </c>
    </row>
    <row r="5207" ht="15.6" spans="4:11">
      <c r="D5207" s="4">
        <v>2823</v>
      </c>
      <c r="E5207" s="4" t="s">
        <v>223</v>
      </c>
      <c r="J5207" s="3" t="s">
        <v>5427</v>
      </c>
      <c r="K5207" s="3" t="s">
        <v>223</v>
      </c>
    </row>
    <row r="5208" ht="15.6" spans="4:11">
      <c r="D5208" s="4">
        <v>2824</v>
      </c>
      <c r="E5208" s="4" t="s">
        <v>223</v>
      </c>
      <c r="J5208" s="3" t="s">
        <v>5428</v>
      </c>
      <c r="K5208" s="3" t="s">
        <v>223</v>
      </c>
    </row>
    <row r="5209" ht="15.6" spans="4:11">
      <c r="D5209" s="4">
        <v>2825</v>
      </c>
      <c r="E5209" s="4" t="s">
        <v>223</v>
      </c>
      <c r="J5209" s="3" t="s">
        <v>5429</v>
      </c>
      <c r="K5209" s="3" t="s">
        <v>223</v>
      </c>
    </row>
    <row r="5210" ht="15.6" spans="4:11">
      <c r="D5210" s="4">
        <v>2826</v>
      </c>
      <c r="E5210" s="4" t="s">
        <v>223</v>
      </c>
      <c r="J5210" s="3" t="s">
        <v>5430</v>
      </c>
      <c r="K5210" s="3" t="s">
        <v>223</v>
      </c>
    </row>
    <row r="5211" ht="15.6" spans="4:11">
      <c r="D5211" s="4">
        <v>2827</v>
      </c>
      <c r="E5211" s="4" t="s">
        <v>223</v>
      </c>
      <c r="J5211" s="3" t="s">
        <v>5431</v>
      </c>
      <c r="K5211" s="3" t="s">
        <v>223</v>
      </c>
    </row>
    <row r="5212" ht="15.6" spans="4:11">
      <c r="D5212" s="4">
        <v>2828</v>
      </c>
      <c r="E5212" s="4" t="s">
        <v>223</v>
      </c>
      <c r="J5212" s="3" t="s">
        <v>5432</v>
      </c>
      <c r="K5212" s="3" t="s">
        <v>223</v>
      </c>
    </row>
    <row r="5213" ht="15.6" spans="4:11">
      <c r="D5213" s="4">
        <v>2829</v>
      </c>
      <c r="E5213" s="4" t="s">
        <v>223</v>
      </c>
      <c r="J5213" s="3" t="s">
        <v>5433</v>
      </c>
      <c r="K5213" s="3" t="s">
        <v>223</v>
      </c>
    </row>
    <row r="5214" ht="15.6" spans="4:11">
      <c r="D5214" s="4">
        <v>2830</v>
      </c>
      <c r="E5214" s="4" t="s">
        <v>223</v>
      </c>
      <c r="J5214" s="3" t="s">
        <v>5434</v>
      </c>
      <c r="K5214" s="3" t="s">
        <v>223</v>
      </c>
    </row>
    <row r="5215" ht="15.6" spans="4:11">
      <c r="D5215" s="4">
        <v>2831</v>
      </c>
      <c r="E5215" s="4" t="s">
        <v>223</v>
      </c>
      <c r="J5215" s="3" t="s">
        <v>5435</v>
      </c>
      <c r="K5215" s="3" t="s">
        <v>223</v>
      </c>
    </row>
    <row r="5216" ht="15.6" spans="4:11">
      <c r="D5216" s="4">
        <v>2832</v>
      </c>
      <c r="E5216" s="4" t="s">
        <v>223</v>
      </c>
      <c r="J5216" s="3" t="s">
        <v>5436</v>
      </c>
      <c r="K5216" s="3" t="s">
        <v>223</v>
      </c>
    </row>
    <row r="5217" ht="15.6" spans="4:11">
      <c r="D5217" s="4">
        <v>2833</v>
      </c>
      <c r="E5217" s="4" t="s">
        <v>223</v>
      </c>
      <c r="J5217" s="3" t="s">
        <v>5437</v>
      </c>
      <c r="K5217" s="3" t="s">
        <v>223</v>
      </c>
    </row>
    <row r="5218" ht="15.6" spans="4:11">
      <c r="D5218" s="4">
        <v>2834</v>
      </c>
      <c r="E5218" s="4" t="s">
        <v>223</v>
      </c>
      <c r="J5218" s="3" t="s">
        <v>5438</v>
      </c>
      <c r="K5218" s="3" t="s">
        <v>223</v>
      </c>
    </row>
    <row r="5219" ht="15.6" spans="4:11">
      <c r="D5219" s="4">
        <v>2835</v>
      </c>
      <c r="E5219" s="4" t="s">
        <v>223</v>
      </c>
      <c r="J5219" s="3" t="s">
        <v>5439</v>
      </c>
      <c r="K5219" s="3" t="s">
        <v>223</v>
      </c>
    </row>
    <row r="5220" ht="15.6" spans="4:11">
      <c r="D5220" s="4">
        <v>2836</v>
      </c>
      <c r="E5220" s="4" t="s">
        <v>223</v>
      </c>
      <c r="J5220" s="3" t="s">
        <v>5440</v>
      </c>
      <c r="K5220" s="3" t="s">
        <v>223</v>
      </c>
    </row>
    <row r="5221" ht="15.6" spans="4:11">
      <c r="D5221" s="4">
        <v>2837</v>
      </c>
      <c r="E5221" s="4" t="s">
        <v>223</v>
      </c>
      <c r="J5221" s="3" t="s">
        <v>5441</v>
      </c>
      <c r="K5221" s="3" t="s">
        <v>223</v>
      </c>
    </row>
    <row r="5222" ht="15.6" spans="4:11">
      <c r="D5222" s="4">
        <v>2838</v>
      </c>
      <c r="E5222" s="4" t="s">
        <v>223</v>
      </c>
      <c r="J5222" s="3" t="s">
        <v>5442</v>
      </c>
      <c r="K5222" s="3" t="s">
        <v>223</v>
      </c>
    </row>
    <row r="5223" ht="15.6" spans="4:11">
      <c r="D5223" s="4">
        <v>2839</v>
      </c>
      <c r="E5223" s="4" t="s">
        <v>223</v>
      </c>
      <c r="J5223" s="3" t="s">
        <v>5443</v>
      </c>
      <c r="K5223" s="3" t="s">
        <v>223</v>
      </c>
    </row>
    <row r="5224" ht="15.6" spans="4:11">
      <c r="D5224" s="4">
        <v>2840</v>
      </c>
      <c r="E5224" s="4" t="s">
        <v>223</v>
      </c>
      <c r="J5224" s="3" t="s">
        <v>5444</v>
      </c>
      <c r="K5224" s="3" t="s">
        <v>223</v>
      </c>
    </row>
    <row r="5225" ht="15.6" spans="4:11">
      <c r="D5225" s="4">
        <v>2841</v>
      </c>
      <c r="E5225" s="4" t="s">
        <v>223</v>
      </c>
      <c r="J5225" s="3" t="s">
        <v>5445</v>
      </c>
      <c r="K5225" s="3" t="s">
        <v>223</v>
      </c>
    </row>
    <row r="5226" ht="15.6" spans="4:11">
      <c r="D5226" s="4">
        <v>2842</v>
      </c>
      <c r="E5226" s="4" t="s">
        <v>223</v>
      </c>
      <c r="J5226" s="3" t="s">
        <v>5446</v>
      </c>
      <c r="K5226" s="3" t="s">
        <v>223</v>
      </c>
    </row>
    <row r="5227" ht="15.6" spans="4:11">
      <c r="D5227" s="4">
        <v>2843</v>
      </c>
      <c r="E5227" s="4" t="s">
        <v>223</v>
      </c>
      <c r="J5227" s="3" t="s">
        <v>5447</v>
      </c>
      <c r="K5227" s="3" t="s">
        <v>223</v>
      </c>
    </row>
    <row r="5228" ht="15.6" spans="4:11">
      <c r="D5228" s="4">
        <v>2844</v>
      </c>
      <c r="E5228" s="4" t="s">
        <v>223</v>
      </c>
      <c r="J5228" s="3" t="s">
        <v>5448</v>
      </c>
      <c r="K5228" s="3" t="s">
        <v>223</v>
      </c>
    </row>
    <row r="5229" ht="15.6" spans="4:11">
      <c r="D5229" s="4">
        <v>2845</v>
      </c>
      <c r="E5229" s="4" t="s">
        <v>223</v>
      </c>
      <c r="J5229" s="3" t="s">
        <v>5449</v>
      </c>
      <c r="K5229" s="3" t="s">
        <v>223</v>
      </c>
    </row>
    <row r="5230" ht="15.6" spans="4:11">
      <c r="D5230" s="4">
        <v>2846</v>
      </c>
      <c r="E5230" s="4" t="s">
        <v>223</v>
      </c>
      <c r="J5230" s="3" t="s">
        <v>5450</v>
      </c>
      <c r="K5230" s="3" t="s">
        <v>223</v>
      </c>
    </row>
    <row r="5231" ht="15.6" spans="4:11">
      <c r="D5231" s="4">
        <v>2847</v>
      </c>
      <c r="E5231" s="4" t="s">
        <v>223</v>
      </c>
      <c r="J5231" s="3" t="s">
        <v>5451</v>
      </c>
      <c r="K5231" s="3" t="s">
        <v>223</v>
      </c>
    </row>
    <row r="5232" ht="15.6" spans="4:11">
      <c r="D5232" s="4">
        <v>2848</v>
      </c>
      <c r="E5232" s="4" t="s">
        <v>223</v>
      </c>
      <c r="J5232" s="3" t="s">
        <v>5452</v>
      </c>
      <c r="K5232" s="3" t="s">
        <v>223</v>
      </c>
    </row>
    <row r="5233" ht="15.6" spans="4:11">
      <c r="D5233" s="4">
        <v>2849</v>
      </c>
      <c r="E5233" s="4" t="s">
        <v>223</v>
      </c>
      <c r="J5233" s="3" t="s">
        <v>5453</v>
      </c>
      <c r="K5233" s="3" t="s">
        <v>223</v>
      </c>
    </row>
    <row r="5234" ht="15.6" spans="4:11">
      <c r="D5234" s="4">
        <v>2850</v>
      </c>
      <c r="E5234" s="4" t="s">
        <v>223</v>
      </c>
      <c r="J5234" s="3" t="s">
        <v>5454</v>
      </c>
      <c r="K5234" s="3" t="s">
        <v>223</v>
      </c>
    </row>
    <row r="5235" ht="15.6" spans="4:11">
      <c r="D5235" s="4">
        <v>2851</v>
      </c>
      <c r="E5235" s="4" t="s">
        <v>223</v>
      </c>
      <c r="J5235" s="3" t="s">
        <v>5455</v>
      </c>
      <c r="K5235" s="3" t="s">
        <v>223</v>
      </c>
    </row>
    <row r="5236" ht="15.6" spans="4:11">
      <c r="D5236" s="4">
        <v>2852</v>
      </c>
      <c r="E5236" s="4" t="s">
        <v>223</v>
      </c>
      <c r="J5236" s="3" t="s">
        <v>5456</v>
      </c>
      <c r="K5236" s="3" t="s">
        <v>223</v>
      </c>
    </row>
    <row r="5237" ht="15.6" spans="4:11">
      <c r="D5237" s="4">
        <v>2853</v>
      </c>
      <c r="E5237" s="4" t="s">
        <v>223</v>
      </c>
      <c r="J5237" s="3" t="s">
        <v>5457</v>
      </c>
      <c r="K5237" s="3" t="s">
        <v>223</v>
      </c>
    </row>
    <row r="5238" ht="15.6" spans="4:11">
      <c r="D5238" s="4">
        <v>2854</v>
      </c>
      <c r="E5238" s="4" t="s">
        <v>223</v>
      </c>
      <c r="J5238" s="3" t="s">
        <v>5458</v>
      </c>
      <c r="K5238" s="3" t="s">
        <v>223</v>
      </c>
    </row>
    <row r="5239" ht="15.6" spans="4:11">
      <c r="D5239" s="4">
        <v>2855</v>
      </c>
      <c r="E5239" s="4" t="s">
        <v>223</v>
      </c>
      <c r="J5239" s="3" t="s">
        <v>5459</v>
      </c>
      <c r="K5239" s="3" t="s">
        <v>223</v>
      </c>
    </row>
    <row r="5240" ht="15.6" spans="4:11">
      <c r="D5240" s="4">
        <v>2856</v>
      </c>
      <c r="E5240" s="4" t="s">
        <v>223</v>
      </c>
      <c r="J5240" s="3" t="s">
        <v>5460</v>
      </c>
      <c r="K5240" s="3" t="s">
        <v>223</v>
      </c>
    </row>
    <row r="5241" ht="15.6" spans="4:11">
      <c r="D5241" s="4">
        <v>2857</v>
      </c>
      <c r="E5241" s="4" t="s">
        <v>223</v>
      </c>
      <c r="J5241" s="3" t="s">
        <v>5461</v>
      </c>
      <c r="K5241" s="3" t="s">
        <v>223</v>
      </c>
    </row>
    <row r="5242" ht="15.6" spans="4:11">
      <c r="D5242" s="4">
        <v>2858</v>
      </c>
      <c r="E5242" s="4" t="s">
        <v>223</v>
      </c>
      <c r="J5242" s="3" t="s">
        <v>5462</v>
      </c>
      <c r="K5242" s="3" t="s">
        <v>223</v>
      </c>
    </row>
    <row r="5243" ht="15.6" spans="4:11">
      <c r="D5243" s="4">
        <v>2859</v>
      </c>
      <c r="E5243" s="4" t="s">
        <v>223</v>
      </c>
      <c r="J5243" s="3" t="s">
        <v>5463</v>
      </c>
      <c r="K5243" s="3" t="s">
        <v>223</v>
      </c>
    </row>
    <row r="5244" ht="15.6" spans="4:11">
      <c r="D5244" s="4">
        <v>2860</v>
      </c>
      <c r="E5244" s="4" t="s">
        <v>223</v>
      </c>
      <c r="J5244" s="3" t="s">
        <v>5464</v>
      </c>
      <c r="K5244" s="3" t="s">
        <v>223</v>
      </c>
    </row>
    <row r="5245" ht="15.6" spans="4:11">
      <c r="D5245" s="4">
        <v>2861</v>
      </c>
      <c r="E5245" s="4" t="s">
        <v>223</v>
      </c>
      <c r="J5245" s="3" t="s">
        <v>5465</v>
      </c>
      <c r="K5245" s="3" t="s">
        <v>223</v>
      </c>
    </row>
    <row r="5246" ht="15.6" spans="4:11">
      <c r="D5246" s="4">
        <v>2862</v>
      </c>
      <c r="E5246" s="4" t="s">
        <v>223</v>
      </c>
      <c r="J5246" s="3" t="s">
        <v>5466</v>
      </c>
      <c r="K5246" s="3" t="s">
        <v>223</v>
      </c>
    </row>
    <row r="5247" ht="15.6" spans="4:11">
      <c r="D5247" s="4">
        <v>2863</v>
      </c>
      <c r="E5247" s="4" t="s">
        <v>223</v>
      </c>
      <c r="J5247" s="3" t="s">
        <v>5467</v>
      </c>
      <c r="K5247" s="3" t="s">
        <v>223</v>
      </c>
    </row>
    <row r="5248" ht="15.6" spans="4:11">
      <c r="D5248" s="4">
        <v>2864</v>
      </c>
      <c r="E5248" s="4" t="s">
        <v>223</v>
      </c>
      <c r="J5248" s="3" t="s">
        <v>5468</v>
      </c>
      <c r="K5248" s="3" t="s">
        <v>223</v>
      </c>
    </row>
    <row r="5249" ht="15.6" spans="4:11">
      <c r="D5249" s="4">
        <v>2865</v>
      </c>
      <c r="E5249" s="4" t="s">
        <v>223</v>
      </c>
      <c r="J5249" s="3" t="s">
        <v>5469</v>
      </c>
      <c r="K5249" s="3" t="s">
        <v>223</v>
      </c>
    </row>
    <row r="5250" ht="15.6" spans="4:11">
      <c r="D5250" s="4">
        <v>2866</v>
      </c>
      <c r="E5250" s="4" t="s">
        <v>223</v>
      </c>
      <c r="J5250" s="3" t="s">
        <v>5470</v>
      </c>
      <c r="K5250" s="3" t="s">
        <v>223</v>
      </c>
    </row>
    <row r="5251" ht="15.6" spans="4:11">
      <c r="D5251" s="4">
        <v>2867</v>
      </c>
      <c r="E5251" s="4" t="s">
        <v>223</v>
      </c>
      <c r="J5251" s="3" t="s">
        <v>5471</v>
      </c>
      <c r="K5251" s="3" t="s">
        <v>223</v>
      </c>
    </row>
    <row r="5252" ht="15.6" spans="4:11">
      <c r="D5252" s="4">
        <v>2868</v>
      </c>
      <c r="E5252" s="4" t="s">
        <v>223</v>
      </c>
      <c r="J5252" s="3" t="s">
        <v>5472</v>
      </c>
      <c r="K5252" s="3" t="s">
        <v>223</v>
      </c>
    </row>
    <row r="5253" ht="15.6" spans="4:11">
      <c r="D5253" s="4">
        <v>2869</v>
      </c>
      <c r="E5253" s="4" t="s">
        <v>223</v>
      </c>
      <c r="J5253" s="3" t="s">
        <v>5473</v>
      </c>
      <c r="K5253" s="3" t="s">
        <v>223</v>
      </c>
    </row>
    <row r="5254" ht="15.6" spans="4:11">
      <c r="D5254" s="4">
        <v>2870</v>
      </c>
      <c r="E5254" s="4" t="s">
        <v>223</v>
      </c>
      <c r="J5254" s="3" t="s">
        <v>5474</v>
      </c>
      <c r="K5254" s="3" t="s">
        <v>223</v>
      </c>
    </row>
    <row r="5255" ht="15.6" spans="4:11">
      <c r="D5255" s="4">
        <v>2871</v>
      </c>
      <c r="E5255" s="4" t="s">
        <v>223</v>
      </c>
      <c r="J5255" s="3" t="s">
        <v>5475</v>
      </c>
      <c r="K5255" s="3" t="s">
        <v>223</v>
      </c>
    </row>
    <row r="5256" ht="15.6" spans="4:11">
      <c r="D5256" s="4">
        <v>2872</v>
      </c>
      <c r="E5256" s="4" t="s">
        <v>223</v>
      </c>
      <c r="J5256" s="3" t="s">
        <v>5476</v>
      </c>
      <c r="K5256" s="3" t="s">
        <v>223</v>
      </c>
    </row>
    <row r="5257" ht="15.6" spans="4:11">
      <c r="D5257" s="4">
        <v>2873</v>
      </c>
      <c r="E5257" s="4" t="s">
        <v>223</v>
      </c>
      <c r="J5257" s="3" t="s">
        <v>5477</v>
      </c>
      <c r="K5257" s="3" t="s">
        <v>223</v>
      </c>
    </row>
    <row r="5258" ht="15.6" spans="4:11">
      <c r="D5258" s="4">
        <v>2874</v>
      </c>
      <c r="E5258" s="4" t="s">
        <v>223</v>
      </c>
      <c r="J5258" s="3" t="s">
        <v>5478</v>
      </c>
      <c r="K5258" s="3" t="s">
        <v>223</v>
      </c>
    </row>
    <row r="5259" ht="15.6" spans="4:11">
      <c r="D5259" s="4">
        <v>2875</v>
      </c>
      <c r="E5259" s="4" t="s">
        <v>223</v>
      </c>
      <c r="J5259" s="3" t="s">
        <v>5479</v>
      </c>
      <c r="K5259" s="3" t="s">
        <v>223</v>
      </c>
    </row>
    <row r="5260" ht="15.6" spans="4:11">
      <c r="D5260" s="4">
        <v>2876</v>
      </c>
      <c r="E5260" s="4" t="s">
        <v>223</v>
      </c>
      <c r="J5260" s="3" t="s">
        <v>5480</v>
      </c>
      <c r="K5260" s="3" t="s">
        <v>223</v>
      </c>
    </row>
    <row r="5261" ht="15.6" spans="4:11">
      <c r="D5261" s="4">
        <v>2877</v>
      </c>
      <c r="E5261" s="4" t="s">
        <v>223</v>
      </c>
      <c r="J5261" s="3" t="s">
        <v>5481</v>
      </c>
      <c r="K5261" s="3" t="s">
        <v>223</v>
      </c>
    </row>
    <row r="5262" ht="15.6" spans="4:11">
      <c r="D5262" s="4">
        <v>2878</v>
      </c>
      <c r="E5262" s="4" t="s">
        <v>223</v>
      </c>
      <c r="J5262" s="3" t="s">
        <v>5482</v>
      </c>
      <c r="K5262" s="3" t="s">
        <v>223</v>
      </c>
    </row>
    <row r="5263" ht="15.6" spans="4:11">
      <c r="D5263" s="4">
        <v>2879</v>
      </c>
      <c r="E5263" s="4" t="s">
        <v>223</v>
      </c>
      <c r="J5263" s="3" t="s">
        <v>5483</v>
      </c>
      <c r="K5263" s="3" t="s">
        <v>223</v>
      </c>
    </row>
    <row r="5264" ht="15.6" spans="4:11">
      <c r="D5264" s="4">
        <v>2880</v>
      </c>
      <c r="E5264" s="4" t="s">
        <v>223</v>
      </c>
      <c r="J5264" s="3" t="s">
        <v>5484</v>
      </c>
      <c r="K5264" s="3" t="s">
        <v>223</v>
      </c>
    </row>
    <row r="5265" ht="15.6" spans="4:11">
      <c r="D5265" s="4">
        <v>2881</v>
      </c>
      <c r="E5265" s="4" t="s">
        <v>223</v>
      </c>
      <c r="J5265" s="3" t="s">
        <v>5485</v>
      </c>
      <c r="K5265" s="3" t="s">
        <v>223</v>
      </c>
    </row>
    <row r="5266" ht="15.6" spans="4:11">
      <c r="D5266" s="4">
        <v>2882</v>
      </c>
      <c r="E5266" s="4" t="s">
        <v>223</v>
      </c>
      <c r="J5266" s="3" t="s">
        <v>5486</v>
      </c>
      <c r="K5266" s="3" t="s">
        <v>223</v>
      </c>
    </row>
    <row r="5267" ht="15.6" spans="4:11">
      <c r="D5267" s="4">
        <v>2883</v>
      </c>
      <c r="E5267" s="4" t="s">
        <v>223</v>
      </c>
      <c r="J5267" s="3" t="s">
        <v>5487</v>
      </c>
      <c r="K5267" s="3" t="s">
        <v>223</v>
      </c>
    </row>
    <row r="5268" ht="15.6" spans="4:11">
      <c r="D5268" s="4">
        <v>2884</v>
      </c>
      <c r="E5268" s="4" t="s">
        <v>223</v>
      </c>
      <c r="J5268" s="3" t="s">
        <v>5488</v>
      </c>
      <c r="K5268" s="3" t="s">
        <v>223</v>
      </c>
    </row>
    <row r="5269" ht="15.6" spans="4:11">
      <c r="D5269" s="4">
        <v>2885</v>
      </c>
      <c r="E5269" s="4" t="s">
        <v>223</v>
      </c>
      <c r="J5269" s="3" t="s">
        <v>5489</v>
      </c>
      <c r="K5269" s="3" t="s">
        <v>223</v>
      </c>
    </row>
    <row r="5270" ht="15.6" spans="4:11">
      <c r="D5270" s="4">
        <v>2886</v>
      </c>
      <c r="E5270" s="4" t="s">
        <v>223</v>
      </c>
      <c r="J5270" s="3" t="s">
        <v>5490</v>
      </c>
      <c r="K5270" s="3" t="s">
        <v>223</v>
      </c>
    </row>
    <row r="5271" ht="15.6" spans="4:11">
      <c r="D5271" s="4">
        <v>2887</v>
      </c>
      <c r="E5271" s="4" t="s">
        <v>223</v>
      </c>
      <c r="J5271" s="3" t="s">
        <v>5491</v>
      </c>
      <c r="K5271" s="3" t="s">
        <v>223</v>
      </c>
    </row>
    <row r="5272" ht="15.6" spans="4:11">
      <c r="D5272" s="4">
        <v>2888</v>
      </c>
      <c r="E5272" s="4" t="s">
        <v>223</v>
      </c>
      <c r="J5272" s="3" t="s">
        <v>5492</v>
      </c>
      <c r="K5272" s="3" t="s">
        <v>223</v>
      </c>
    </row>
    <row r="5273" ht="15.6" spans="4:11">
      <c r="D5273" s="4">
        <v>2889</v>
      </c>
      <c r="E5273" s="4" t="s">
        <v>223</v>
      </c>
      <c r="J5273" s="3" t="s">
        <v>5493</v>
      </c>
      <c r="K5273" s="3" t="s">
        <v>223</v>
      </c>
    </row>
    <row r="5274" ht="15.6" spans="4:11">
      <c r="D5274" s="4">
        <v>3221</v>
      </c>
      <c r="E5274" s="4" t="s">
        <v>223</v>
      </c>
      <c r="J5274" s="3" t="s">
        <v>5494</v>
      </c>
      <c r="K5274" s="3" t="s">
        <v>223</v>
      </c>
    </row>
    <row r="5275" ht="15.6" spans="4:11">
      <c r="D5275" s="4">
        <v>3222</v>
      </c>
      <c r="E5275" s="4" t="s">
        <v>223</v>
      </c>
      <c r="J5275" s="3" t="s">
        <v>5495</v>
      </c>
      <c r="K5275" s="3" t="s">
        <v>223</v>
      </c>
    </row>
    <row r="5276" ht="15.6" spans="4:11">
      <c r="D5276" s="4">
        <v>3223</v>
      </c>
      <c r="E5276" s="4" t="s">
        <v>223</v>
      </c>
      <c r="J5276" s="3" t="s">
        <v>5496</v>
      </c>
      <c r="K5276" s="3" t="s">
        <v>223</v>
      </c>
    </row>
    <row r="5277" ht="15.6" spans="4:11">
      <c r="D5277" s="4">
        <v>3224</v>
      </c>
      <c r="E5277" s="4" t="s">
        <v>223</v>
      </c>
      <c r="J5277" s="3" t="s">
        <v>5497</v>
      </c>
      <c r="K5277" s="3" t="s">
        <v>223</v>
      </c>
    </row>
    <row r="5278" ht="15.6" spans="4:11">
      <c r="D5278" s="4">
        <v>3225</v>
      </c>
      <c r="E5278" s="4" t="s">
        <v>223</v>
      </c>
      <c r="J5278" s="3" t="s">
        <v>5498</v>
      </c>
      <c r="K5278" s="3" t="s">
        <v>223</v>
      </c>
    </row>
    <row r="5279" ht="15.6" spans="4:11">
      <c r="D5279" s="4">
        <v>3226</v>
      </c>
      <c r="E5279" s="4" t="s">
        <v>223</v>
      </c>
      <c r="J5279" s="3" t="s">
        <v>5499</v>
      </c>
      <c r="K5279" s="3" t="s">
        <v>223</v>
      </c>
    </row>
    <row r="5280" ht="15.6" spans="4:11">
      <c r="D5280" s="4">
        <v>3227</v>
      </c>
      <c r="E5280" s="4" t="s">
        <v>223</v>
      </c>
      <c r="J5280" s="3" t="s">
        <v>5500</v>
      </c>
      <c r="K5280" s="3" t="s">
        <v>223</v>
      </c>
    </row>
    <row r="5281" ht="15.6" spans="4:11">
      <c r="D5281" s="4">
        <v>3228</v>
      </c>
      <c r="E5281" s="4" t="s">
        <v>223</v>
      </c>
      <c r="J5281" s="3" t="s">
        <v>5501</v>
      </c>
      <c r="K5281" s="3" t="s">
        <v>223</v>
      </c>
    </row>
    <row r="5282" ht="15.6" spans="4:11">
      <c r="D5282" s="4">
        <v>3229</v>
      </c>
      <c r="E5282" s="4" t="s">
        <v>223</v>
      </c>
      <c r="J5282" s="3" t="s">
        <v>5502</v>
      </c>
      <c r="K5282" s="3" t="s">
        <v>223</v>
      </c>
    </row>
    <row r="5283" ht="15.6" spans="4:11">
      <c r="D5283" s="4">
        <v>3230</v>
      </c>
      <c r="E5283" s="4" t="s">
        <v>223</v>
      </c>
      <c r="J5283" s="3" t="s">
        <v>5503</v>
      </c>
      <c r="K5283" s="3" t="s">
        <v>223</v>
      </c>
    </row>
    <row r="5284" ht="15.6" spans="4:11">
      <c r="D5284" s="4">
        <v>3231</v>
      </c>
      <c r="E5284" s="4" t="s">
        <v>223</v>
      </c>
      <c r="J5284" s="3" t="s">
        <v>5504</v>
      </c>
      <c r="K5284" s="3" t="s">
        <v>223</v>
      </c>
    </row>
    <row r="5285" ht="15.6" spans="4:11">
      <c r="D5285" s="4">
        <v>3232</v>
      </c>
      <c r="E5285" s="4" t="s">
        <v>223</v>
      </c>
      <c r="J5285" s="3" t="s">
        <v>5505</v>
      </c>
      <c r="K5285" s="3" t="s">
        <v>223</v>
      </c>
    </row>
    <row r="5286" ht="15.6" spans="4:11">
      <c r="D5286" s="4">
        <v>3233</v>
      </c>
      <c r="E5286" s="4" t="s">
        <v>223</v>
      </c>
      <c r="J5286" s="3" t="s">
        <v>5506</v>
      </c>
      <c r="K5286" s="3" t="s">
        <v>223</v>
      </c>
    </row>
    <row r="5287" ht="15.6" spans="4:11">
      <c r="D5287" s="4">
        <v>3234</v>
      </c>
      <c r="E5287" s="4" t="s">
        <v>223</v>
      </c>
      <c r="J5287" s="3" t="s">
        <v>5507</v>
      </c>
      <c r="K5287" s="3" t="s">
        <v>223</v>
      </c>
    </row>
    <row r="5288" ht="15.6" spans="4:11">
      <c r="D5288" s="4">
        <v>3235</v>
      </c>
      <c r="E5288" s="4" t="s">
        <v>223</v>
      </c>
      <c r="J5288" s="3" t="s">
        <v>5508</v>
      </c>
      <c r="K5288" s="3" t="s">
        <v>223</v>
      </c>
    </row>
    <row r="5289" ht="15.6" spans="4:11">
      <c r="D5289" s="4">
        <v>3236</v>
      </c>
      <c r="E5289" s="4" t="s">
        <v>223</v>
      </c>
      <c r="J5289" s="3" t="s">
        <v>5509</v>
      </c>
      <c r="K5289" s="3" t="s">
        <v>223</v>
      </c>
    </row>
    <row r="5290" ht="15.6" spans="4:11">
      <c r="D5290" s="4">
        <v>3237</v>
      </c>
      <c r="E5290" s="4" t="s">
        <v>223</v>
      </c>
      <c r="J5290" s="3" t="s">
        <v>5510</v>
      </c>
      <c r="K5290" s="3" t="s">
        <v>223</v>
      </c>
    </row>
    <row r="5291" ht="15.6" spans="4:11">
      <c r="D5291" s="4">
        <v>3238</v>
      </c>
      <c r="E5291" s="4" t="s">
        <v>223</v>
      </c>
      <c r="J5291" s="3" t="s">
        <v>5511</v>
      </c>
      <c r="K5291" s="3" t="s">
        <v>223</v>
      </c>
    </row>
    <row r="5292" ht="15.6" spans="4:11">
      <c r="D5292" s="4">
        <v>3239</v>
      </c>
      <c r="E5292" s="4" t="s">
        <v>223</v>
      </c>
      <c r="J5292" s="3" t="s">
        <v>5512</v>
      </c>
      <c r="K5292" s="3" t="s">
        <v>223</v>
      </c>
    </row>
    <row r="5293" ht="15.6" spans="4:11">
      <c r="D5293" s="4">
        <v>3240</v>
      </c>
      <c r="E5293" s="4" t="s">
        <v>223</v>
      </c>
      <c r="J5293" s="3" t="s">
        <v>5513</v>
      </c>
      <c r="K5293" s="3" t="s">
        <v>223</v>
      </c>
    </row>
    <row r="5294" ht="15.6" spans="4:11">
      <c r="D5294" s="4">
        <v>3241</v>
      </c>
      <c r="E5294" s="4" t="s">
        <v>223</v>
      </c>
      <c r="J5294" s="3" t="s">
        <v>5514</v>
      </c>
      <c r="K5294" s="3" t="s">
        <v>223</v>
      </c>
    </row>
    <row r="5295" ht="15.6" spans="4:11">
      <c r="D5295" s="4">
        <v>3242</v>
      </c>
      <c r="E5295" s="4" t="s">
        <v>223</v>
      </c>
      <c r="J5295" s="3" t="s">
        <v>5515</v>
      </c>
      <c r="K5295" s="3" t="s">
        <v>223</v>
      </c>
    </row>
    <row r="5296" ht="15.6" spans="4:11">
      <c r="D5296" s="4">
        <v>3243</v>
      </c>
      <c r="E5296" s="4" t="s">
        <v>223</v>
      </c>
      <c r="J5296" s="3" t="s">
        <v>5516</v>
      </c>
      <c r="K5296" s="3" t="s">
        <v>223</v>
      </c>
    </row>
    <row r="5297" ht="15.6" spans="4:11">
      <c r="D5297" s="4">
        <v>3244</v>
      </c>
      <c r="E5297" s="4" t="s">
        <v>223</v>
      </c>
      <c r="J5297" s="3" t="s">
        <v>5517</v>
      </c>
      <c r="K5297" s="3" t="s">
        <v>223</v>
      </c>
    </row>
    <row r="5298" ht="15.6" spans="4:11">
      <c r="D5298" s="4">
        <v>3245</v>
      </c>
      <c r="E5298" s="4" t="s">
        <v>223</v>
      </c>
      <c r="J5298" s="3" t="s">
        <v>5518</v>
      </c>
      <c r="K5298" s="3" t="s">
        <v>223</v>
      </c>
    </row>
    <row r="5299" ht="15.6" spans="4:11">
      <c r="D5299" s="4">
        <v>3246</v>
      </c>
      <c r="E5299" s="4" t="s">
        <v>223</v>
      </c>
      <c r="J5299" s="3" t="s">
        <v>5519</v>
      </c>
      <c r="K5299" s="3" t="s">
        <v>223</v>
      </c>
    </row>
    <row r="5300" ht="15.6" spans="4:11">
      <c r="D5300" s="4">
        <v>3247</v>
      </c>
      <c r="E5300" s="4" t="s">
        <v>223</v>
      </c>
      <c r="J5300" s="3" t="s">
        <v>5520</v>
      </c>
      <c r="K5300" s="3" t="s">
        <v>223</v>
      </c>
    </row>
    <row r="5301" ht="15.6" spans="4:11">
      <c r="D5301" s="4">
        <v>3248</v>
      </c>
      <c r="E5301" s="4" t="s">
        <v>223</v>
      </c>
      <c r="J5301" s="3" t="s">
        <v>5521</v>
      </c>
      <c r="K5301" s="3" t="s">
        <v>223</v>
      </c>
    </row>
    <row r="5302" ht="15.6" spans="4:11">
      <c r="D5302" s="4">
        <v>3249</v>
      </c>
      <c r="E5302" s="4" t="s">
        <v>223</v>
      </c>
      <c r="J5302" s="3" t="s">
        <v>5522</v>
      </c>
      <c r="K5302" s="3" t="s">
        <v>223</v>
      </c>
    </row>
    <row r="5303" ht="15.6" spans="4:11">
      <c r="D5303" s="4">
        <v>3250</v>
      </c>
      <c r="E5303" s="4" t="s">
        <v>223</v>
      </c>
      <c r="J5303" s="3" t="s">
        <v>5523</v>
      </c>
      <c r="K5303" s="3" t="s">
        <v>223</v>
      </c>
    </row>
    <row r="5304" ht="15.6" spans="4:11">
      <c r="D5304" s="4">
        <v>3251</v>
      </c>
      <c r="E5304" s="4" t="s">
        <v>223</v>
      </c>
      <c r="J5304" s="3" t="s">
        <v>5524</v>
      </c>
      <c r="K5304" s="3" t="s">
        <v>223</v>
      </c>
    </row>
    <row r="5305" ht="15.6" spans="4:11">
      <c r="D5305" s="4">
        <v>3252</v>
      </c>
      <c r="E5305" s="4" t="s">
        <v>223</v>
      </c>
      <c r="J5305" s="3" t="s">
        <v>5525</v>
      </c>
      <c r="K5305" s="3" t="s">
        <v>223</v>
      </c>
    </row>
    <row r="5306" ht="15.6" spans="4:11">
      <c r="D5306" s="4">
        <v>3253</v>
      </c>
      <c r="E5306" s="4" t="s">
        <v>223</v>
      </c>
      <c r="J5306" s="3" t="s">
        <v>5526</v>
      </c>
      <c r="K5306" s="3" t="s">
        <v>223</v>
      </c>
    </row>
    <row r="5307" ht="15.6" spans="4:11">
      <c r="D5307" s="4">
        <v>3254</v>
      </c>
      <c r="E5307" s="4" t="s">
        <v>223</v>
      </c>
      <c r="J5307" s="3" t="s">
        <v>5527</v>
      </c>
      <c r="K5307" s="3" t="s">
        <v>223</v>
      </c>
    </row>
    <row r="5308" ht="15.6" spans="4:11">
      <c r="D5308" s="4">
        <v>3255</v>
      </c>
      <c r="E5308" s="4" t="s">
        <v>223</v>
      </c>
      <c r="J5308" s="3" t="s">
        <v>5528</v>
      </c>
      <c r="K5308" s="3" t="s">
        <v>223</v>
      </c>
    </row>
    <row r="5309" ht="15.6" spans="4:11">
      <c r="D5309" s="4">
        <v>3256</v>
      </c>
      <c r="E5309" s="4" t="s">
        <v>223</v>
      </c>
      <c r="J5309" s="3" t="s">
        <v>5529</v>
      </c>
      <c r="K5309" s="3" t="s">
        <v>223</v>
      </c>
    </row>
    <row r="5310" ht="15.6" spans="4:11">
      <c r="D5310" s="4">
        <v>3257</v>
      </c>
      <c r="E5310" s="4" t="s">
        <v>223</v>
      </c>
      <c r="J5310" s="3" t="s">
        <v>5530</v>
      </c>
      <c r="K5310" s="3" t="s">
        <v>223</v>
      </c>
    </row>
    <row r="5311" ht="15.6" spans="4:11">
      <c r="D5311" s="4">
        <v>3258</v>
      </c>
      <c r="E5311" s="4" t="s">
        <v>223</v>
      </c>
      <c r="J5311" s="3" t="s">
        <v>5531</v>
      </c>
      <c r="K5311" s="3" t="s">
        <v>223</v>
      </c>
    </row>
    <row r="5312" ht="15.6" spans="4:11">
      <c r="D5312" s="4">
        <v>3259</v>
      </c>
      <c r="E5312" s="4" t="s">
        <v>223</v>
      </c>
      <c r="J5312" s="3" t="s">
        <v>5532</v>
      </c>
      <c r="K5312" s="3" t="s">
        <v>223</v>
      </c>
    </row>
    <row r="5313" ht="15.6" spans="4:11">
      <c r="D5313" s="4">
        <v>3260</v>
      </c>
      <c r="E5313" s="4" t="s">
        <v>223</v>
      </c>
      <c r="J5313" s="3" t="s">
        <v>5533</v>
      </c>
      <c r="K5313" s="3" t="s">
        <v>223</v>
      </c>
    </row>
    <row r="5314" ht="15.6" spans="4:11">
      <c r="D5314" s="4">
        <v>3261</v>
      </c>
      <c r="E5314" s="4" t="s">
        <v>223</v>
      </c>
      <c r="J5314" s="3" t="s">
        <v>5534</v>
      </c>
      <c r="K5314" s="3" t="s">
        <v>223</v>
      </c>
    </row>
    <row r="5315" ht="15.6" spans="4:11">
      <c r="D5315" s="4">
        <v>3262</v>
      </c>
      <c r="E5315" s="4" t="s">
        <v>223</v>
      </c>
      <c r="J5315" s="3" t="s">
        <v>5535</v>
      </c>
      <c r="K5315" s="3" t="s">
        <v>223</v>
      </c>
    </row>
    <row r="5316" ht="15.6" spans="4:11">
      <c r="D5316" s="4">
        <v>3263</v>
      </c>
      <c r="E5316" s="4" t="s">
        <v>223</v>
      </c>
      <c r="J5316" s="3" t="s">
        <v>5536</v>
      </c>
      <c r="K5316" s="3" t="s">
        <v>223</v>
      </c>
    </row>
    <row r="5317" ht="15.6" spans="4:11">
      <c r="D5317" s="4">
        <v>3264</v>
      </c>
      <c r="E5317" s="4" t="s">
        <v>223</v>
      </c>
      <c r="J5317" s="3" t="s">
        <v>5537</v>
      </c>
      <c r="K5317" s="3" t="s">
        <v>223</v>
      </c>
    </row>
    <row r="5318" ht="15.6" spans="4:11">
      <c r="D5318" s="4">
        <v>3265</v>
      </c>
      <c r="E5318" s="4" t="s">
        <v>223</v>
      </c>
      <c r="J5318" s="3" t="s">
        <v>5538</v>
      </c>
      <c r="K5318" s="3" t="s">
        <v>223</v>
      </c>
    </row>
    <row r="5319" ht="15.6" spans="4:11">
      <c r="D5319" s="4">
        <v>3266</v>
      </c>
      <c r="E5319" s="4" t="s">
        <v>223</v>
      </c>
      <c r="J5319" s="3" t="s">
        <v>5539</v>
      </c>
      <c r="K5319" s="3" t="s">
        <v>223</v>
      </c>
    </row>
    <row r="5320" ht="15.6" spans="4:11">
      <c r="D5320" s="4">
        <v>3267</v>
      </c>
      <c r="E5320" s="4" t="s">
        <v>223</v>
      </c>
      <c r="J5320" s="3" t="s">
        <v>5540</v>
      </c>
      <c r="K5320" s="3" t="s">
        <v>223</v>
      </c>
    </row>
    <row r="5321" ht="15.6" spans="4:11">
      <c r="D5321" s="4">
        <v>3268</v>
      </c>
      <c r="E5321" s="4" t="s">
        <v>223</v>
      </c>
      <c r="J5321" s="3" t="s">
        <v>5541</v>
      </c>
      <c r="K5321" s="3" t="s">
        <v>223</v>
      </c>
    </row>
    <row r="5322" ht="15.6" spans="4:11">
      <c r="D5322" s="4">
        <v>3269</v>
      </c>
      <c r="E5322" s="4" t="s">
        <v>223</v>
      </c>
      <c r="J5322" s="3" t="s">
        <v>5542</v>
      </c>
      <c r="K5322" s="3" t="s">
        <v>223</v>
      </c>
    </row>
    <row r="5323" ht="15.6" spans="4:11">
      <c r="D5323" s="4">
        <v>3270</v>
      </c>
      <c r="E5323" s="4" t="s">
        <v>223</v>
      </c>
      <c r="J5323" s="3" t="s">
        <v>5543</v>
      </c>
      <c r="K5323" s="3" t="s">
        <v>223</v>
      </c>
    </row>
    <row r="5324" ht="15.6" spans="4:11">
      <c r="D5324" s="4">
        <v>3271</v>
      </c>
      <c r="E5324" s="4" t="s">
        <v>223</v>
      </c>
      <c r="J5324" s="3" t="s">
        <v>5544</v>
      </c>
      <c r="K5324" s="3" t="s">
        <v>223</v>
      </c>
    </row>
    <row r="5325" ht="15.6" spans="4:11">
      <c r="D5325" s="4">
        <v>3272</v>
      </c>
      <c r="E5325" s="4" t="s">
        <v>223</v>
      </c>
      <c r="J5325" s="3" t="s">
        <v>5545</v>
      </c>
      <c r="K5325" s="3" t="s">
        <v>223</v>
      </c>
    </row>
    <row r="5326" ht="15.6" spans="4:11">
      <c r="D5326" s="4">
        <v>3273</v>
      </c>
      <c r="E5326" s="4" t="s">
        <v>223</v>
      </c>
      <c r="J5326" s="3" t="s">
        <v>5546</v>
      </c>
      <c r="K5326" s="3" t="s">
        <v>223</v>
      </c>
    </row>
    <row r="5327" ht="15.6" spans="4:11">
      <c r="D5327" s="4">
        <v>3274</v>
      </c>
      <c r="E5327" s="4" t="s">
        <v>223</v>
      </c>
      <c r="J5327" s="3" t="s">
        <v>5547</v>
      </c>
      <c r="K5327" s="3" t="s">
        <v>223</v>
      </c>
    </row>
    <row r="5328" ht="15.6" spans="4:11">
      <c r="D5328" s="4">
        <v>3275</v>
      </c>
      <c r="E5328" s="4" t="s">
        <v>223</v>
      </c>
      <c r="J5328" s="3" t="s">
        <v>5548</v>
      </c>
      <c r="K5328" s="3" t="s">
        <v>223</v>
      </c>
    </row>
    <row r="5329" ht="15.6" spans="4:11">
      <c r="D5329" s="4">
        <v>3276</v>
      </c>
      <c r="E5329" s="4" t="s">
        <v>223</v>
      </c>
      <c r="J5329" s="3" t="s">
        <v>5549</v>
      </c>
      <c r="K5329" s="3" t="s">
        <v>223</v>
      </c>
    </row>
    <row r="5330" ht="15.6" spans="4:11">
      <c r="D5330" s="4">
        <v>3277</v>
      </c>
      <c r="E5330" s="4" t="s">
        <v>223</v>
      </c>
      <c r="J5330" s="3" t="s">
        <v>5550</v>
      </c>
      <c r="K5330" s="3" t="s">
        <v>223</v>
      </c>
    </row>
    <row r="5331" ht="15.6" spans="4:11">
      <c r="D5331" s="4">
        <v>3278</v>
      </c>
      <c r="E5331" s="4" t="s">
        <v>223</v>
      </c>
      <c r="J5331" s="3" t="s">
        <v>5551</v>
      </c>
      <c r="K5331" s="3" t="s">
        <v>223</v>
      </c>
    </row>
    <row r="5332" ht="15.6" spans="4:11">
      <c r="D5332" s="4">
        <v>3279</v>
      </c>
      <c r="E5332" s="4" t="s">
        <v>223</v>
      </c>
      <c r="J5332" s="3" t="s">
        <v>5552</v>
      </c>
      <c r="K5332" s="3" t="s">
        <v>223</v>
      </c>
    </row>
    <row r="5333" ht="15.6" spans="4:11">
      <c r="D5333" s="4">
        <v>3280</v>
      </c>
      <c r="E5333" s="4" t="s">
        <v>223</v>
      </c>
      <c r="J5333" s="3" t="s">
        <v>5553</v>
      </c>
      <c r="K5333" s="3" t="s">
        <v>223</v>
      </c>
    </row>
    <row r="5334" ht="15.6" spans="4:11">
      <c r="D5334" s="4">
        <v>3281</v>
      </c>
      <c r="E5334" s="4" t="s">
        <v>223</v>
      </c>
      <c r="J5334" s="3" t="s">
        <v>5554</v>
      </c>
      <c r="K5334" s="3" t="s">
        <v>223</v>
      </c>
    </row>
    <row r="5335" ht="15.6" spans="4:11">
      <c r="D5335" s="4">
        <v>3282</v>
      </c>
      <c r="E5335" s="4" t="s">
        <v>223</v>
      </c>
      <c r="J5335" s="3" t="s">
        <v>5555</v>
      </c>
      <c r="K5335" s="3" t="s">
        <v>223</v>
      </c>
    </row>
    <row r="5336" ht="15.6" spans="4:11">
      <c r="D5336" s="4">
        <v>3283</v>
      </c>
      <c r="E5336" s="4" t="s">
        <v>223</v>
      </c>
      <c r="J5336" s="3" t="s">
        <v>5556</v>
      </c>
      <c r="K5336" s="3" t="s">
        <v>223</v>
      </c>
    </row>
    <row r="5337" ht="15.6" spans="4:11">
      <c r="D5337" s="4">
        <v>3284</v>
      </c>
      <c r="E5337" s="4" t="s">
        <v>223</v>
      </c>
      <c r="J5337" s="3" t="s">
        <v>5557</v>
      </c>
      <c r="K5337" s="3" t="s">
        <v>223</v>
      </c>
    </row>
    <row r="5338" ht="15.6" spans="4:11">
      <c r="D5338" s="4">
        <v>3285</v>
      </c>
      <c r="E5338" s="4" t="s">
        <v>223</v>
      </c>
      <c r="J5338" s="3" t="s">
        <v>5558</v>
      </c>
      <c r="K5338" s="3" t="s">
        <v>223</v>
      </c>
    </row>
    <row r="5339" ht="15.6" spans="4:11">
      <c r="D5339" s="4">
        <v>3286</v>
      </c>
      <c r="E5339" s="4" t="s">
        <v>223</v>
      </c>
      <c r="J5339" s="3" t="s">
        <v>5559</v>
      </c>
      <c r="K5339" s="3" t="s">
        <v>223</v>
      </c>
    </row>
    <row r="5340" ht="15.6" spans="4:11">
      <c r="D5340" s="4">
        <v>3287</v>
      </c>
      <c r="E5340" s="4" t="s">
        <v>223</v>
      </c>
      <c r="J5340" s="3" t="s">
        <v>5560</v>
      </c>
      <c r="K5340" s="3" t="s">
        <v>223</v>
      </c>
    </row>
    <row r="5341" ht="15.6" spans="4:11">
      <c r="D5341" s="4">
        <v>3288</v>
      </c>
      <c r="E5341" s="4" t="s">
        <v>223</v>
      </c>
      <c r="J5341" s="3" t="s">
        <v>5561</v>
      </c>
      <c r="K5341" s="3" t="s">
        <v>223</v>
      </c>
    </row>
    <row r="5342" ht="15.6" spans="4:11">
      <c r="D5342" s="4">
        <v>3289</v>
      </c>
      <c r="E5342" s="4" t="s">
        <v>223</v>
      </c>
      <c r="J5342" s="3" t="s">
        <v>5562</v>
      </c>
      <c r="K5342" s="3" t="s">
        <v>223</v>
      </c>
    </row>
    <row r="5343" ht="15.6" spans="4:11">
      <c r="D5343" s="4">
        <v>3290</v>
      </c>
      <c r="E5343" s="4" t="s">
        <v>223</v>
      </c>
      <c r="J5343" s="3" t="s">
        <v>5563</v>
      </c>
      <c r="K5343" s="3" t="s">
        <v>223</v>
      </c>
    </row>
    <row r="5344" ht="15.6" spans="4:11">
      <c r="D5344" s="4">
        <v>3291</v>
      </c>
      <c r="E5344" s="4" t="s">
        <v>223</v>
      </c>
      <c r="J5344" s="3" t="s">
        <v>5564</v>
      </c>
      <c r="K5344" s="3" t="s">
        <v>223</v>
      </c>
    </row>
    <row r="5345" ht="15.6" spans="4:11">
      <c r="D5345" s="4">
        <v>3292</v>
      </c>
      <c r="E5345" s="4" t="s">
        <v>223</v>
      </c>
      <c r="J5345" s="3" t="s">
        <v>5565</v>
      </c>
      <c r="K5345" s="3" t="s">
        <v>223</v>
      </c>
    </row>
    <row r="5346" ht="15.6" spans="4:11">
      <c r="D5346" s="4">
        <v>3293</v>
      </c>
      <c r="E5346" s="4" t="s">
        <v>223</v>
      </c>
      <c r="J5346" s="3" t="s">
        <v>5566</v>
      </c>
      <c r="K5346" s="3" t="s">
        <v>223</v>
      </c>
    </row>
    <row r="5347" ht="15.6" spans="4:11">
      <c r="D5347" s="4">
        <v>3294</v>
      </c>
      <c r="E5347" s="4" t="s">
        <v>223</v>
      </c>
      <c r="J5347" s="3" t="s">
        <v>5567</v>
      </c>
      <c r="K5347" s="3" t="s">
        <v>223</v>
      </c>
    </row>
    <row r="5348" ht="15.6" spans="4:11">
      <c r="D5348" s="4">
        <v>3295</v>
      </c>
      <c r="E5348" s="4" t="s">
        <v>223</v>
      </c>
      <c r="J5348" s="3" t="s">
        <v>5568</v>
      </c>
      <c r="K5348" s="3" t="s">
        <v>223</v>
      </c>
    </row>
    <row r="5349" ht="15.6" spans="4:11">
      <c r="D5349" s="4">
        <v>3296</v>
      </c>
      <c r="E5349" s="4" t="s">
        <v>223</v>
      </c>
      <c r="J5349" s="3" t="s">
        <v>5569</v>
      </c>
      <c r="K5349" s="3" t="s">
        <v>223</v>
      </c>
    </row>
    <row r="5350" ht="15.6" spans="4:11">
      <c r="D5350" s="4">
        <v>3297</v>
      </c>
      <c r="E5350" s="4" t="s">
        <v>223</v>
      </c>
      <c r="J5350" s="3" t="s">
        <v>5570</v>
      </c>
      <c r="K5350" s="3" t="s">
        <v>223</v>
      </c>
    </row>
    <row r="5351" ht="15.6" spans="4:11">
      <c r="D5351" s="4">
        <v>3298</v>
      </c>
      <c r="E5351" s="4" t="s">
        <v>223</v>
      </c>
      <c r="J5351" s="3" t="s">
        <v>5571</v>
      </c>
      <c r="K5351" s="3" t="s">
        <v>223</v>
      </c>
    </row>
    <row r="5352" ht="15.6" spans="4:11">
      <c r="D5352" s="4">
        <v>3299</v>
      </c>
      <c r="E5352" s="4" t="s">
        <v>223</v>
      </c>
      <c r="J5352" s="3" t="s">
        <v>5572</v>
      </c>
      <c r="K5352" s="3" t="s">
        <v>223</v>
      </c>
    </row>
    <row r="5353" ht="15.6" spans="4:11">
      <c r="D5353" s="4">
        <v>3300</v>
      </c>
      <c r="E5353" s="4" t="s">
        <v>223</v>
      </c>
      <c r="J5353" s="3" t="s">
        <v>5573</v>
      </c>
      <c r="K5353" s="3" t="s">
        <v>223</v>
      </c>
    </row>
    <row r="5354" ht="15.6" spans="4:11">
      <c r="D5354" s="4">
        <v>3301</v>
      </c>
      <c r="E5354" s="4" t="s">
        <v>223</v>
      </c>
      <c r="J5354" s="3" t="s">
        <v>5574</v>
      </c>
      <c r="K5354" s="3" t="s">
        <v>223</v>
      </c>
    </row>
    <row r="5355" ht="15.6" spans="4:11">
      <c r="D5355" s="4">
        <v>3302</v>
      </c>
      <c r="E5355" s="4" t="s">
        <v>223</v>
      </c>
      <c r="J5355" s="3" t="s">
        <v>5575</v>
      </c>
      <c r="K5355" s="3" t="s">
        <v>223</v>
      </c>
    </row>
    <row r="5356" ht="15.6" spans="4:11">
      <c r="D5356" s="4">
        <v>3303</v>
      </c>
      <c r="E5356" s="4" t="s">
        <v>223</v>
      </c>
      <c r="J5356" s="3" t="s">
        <v>5576</v>
      </c>
      <c r="K5356" s="3" t="s">
        <v>223</v>
      </c>
    </row>
    <row r="5357" ht="15.6" spans="4:11">
      <c r="D5357" s="4">
        <v>3304</v>
      </c>
      <c r="E5357" s="4" t="s">
        <v>223</v>
      </c>
      <c r="J5357" s="3" t="s">
        <v>5577</v>
      </c>
      <c r="K5357" s="3" t="s">
        <v>223</v>
      </c>
    </row>
    <row r="5358" ht="15.6" spans="4:11">
      <c r="D5358" s="4">
        <v>3305</v>
      </c>
      <c r="E5358" s="4" t="s">
        <v>223</v>
      </c>
      <c r="J5358" s="3" t="s">
        <v>5578</v>
      </c>
      <c r="K5358" s="3" t="s">
        <v>223</v>
      </c>
    </row>
    <row r="5359" ht="15.6" spans="4:11">
      <c r="D5359" s="4">
        <v>3306</v>
      </c>
      <c r="E5359" s="4" t="s">
        <v>223</v>
      </c>
      <c r="J5359" s="3" t="s">
        <v>5579</v>
      </c>
      <c r="K5359" s="3" t="s">
        <v>223</v>
      </c>
    </row>
    <row r="5360" ht="15.6" spans="4:11">
      <c r="D5360" s="4">
        <v>3307</v>
      </c>
      <c r="E5360" s="4" t="s">
        <v>223</v>
      </c>
      <c r="J5360" s="3" t="s">
        <v>5580</v>
      </c>
      <c r="K5360" s="3" t="s">
        <v>223</v>
      </c>
    </row>
    <row r="5361" ht="15.6" spans="4:11">
      <c r="D5361" s="4">
        <v>3308</v>
      </c>
      <c r="E5361" s="4" t="s">
        <v>223</v>
      </c>
      <c r="J5361" s="3" t="s">
        <v>5581</v>
      </c>
      <c r="K5361" s="3" t="s">
        <v>223</v>
      </c>
    </row>
    <row r="5362" ht="15.6" spans="4:11">
      <c r="D5362" s="4">
        <v>3309</v>
      </c>
      <c r="E5362" s="4" t="s">
        <v>223</v>
      </c>
      <c r="J5362" s="3" t="s">
        <v>5582</v>
      </c>
      <c r="K5362" s="3" t="s">
        <v>223</v>
      </c>
    </row>
    <row r="5363" ht="15.6" spans="4:11">
      <c r="D5363" s="4">
        <v>3310</v>
      </c>
      <c r="E5363" s="4" t="s">
        <v>223</v>
      </c>
      <c r="J5363" s="3" t="s">
        <v>5583</v>
      </c>
      <c r="K5363" s="3" t="s">
        <v>223</v>
      </c>
    </row>
    <row r="5364" ht="15.6" spans="4:11">
      <c r="D5364" s="4">
        <v>3311</v>
      </c>
      <c r="E5364" s="4" t="s">
        <v>223</v>
      </c>
      <c r="J5364" s="3" t="s">
        <v>5584</v>
      </c>
      <c r="K5364" s="3" t="s">
        <v>223</v>
      </c>
    </row>
    <row r="5365" ht="15.6" spans="4:11">
      <c r="D5365" s="4">
        <v>3312</v>
      </c>
      <c r="E5365" s="4" t="s">
        <v>223</v>
      </c>
      <c r="J5365" s="3" t="s">
        <v>5585</v>
      </c>
      <c r="K5365" s="3" t="s">
        <v>223</v>
      </c>
    </row>
    <row r="5366" ht="15.6" spans="4:11">
      <c r="D5366" s="4">
        <v>3313</v>
      </c>
      <c r="E5366" s="4" t="s">
        <v>223</v>
      </c>
      <c r="J5366" s="3" t="s">
        <v>5586</v>
      </c>
      <c r="K5366" s="3" t="s">
        <v>223</v>
      </c>
    </row>
    <row r="5367" ht="15.6" spans="4:11">
      <c r="D5367" s="4">
        <v>3314</v>
      </c>
      <c r="E5367" s="4" t="s">
        <v>223</v>
      </c>
      <c r="J5367" s="3" t="s">
        <v>5587</v>
      </c>
      <c r="K5367" s="3" t="s">
        <v>223</v>
      </c>
    </row>
    <row r="5368" ht="15.6" spans="4:11">
      <c r="D5368" s="4">
        <v>3315</v>
      </c>
      <c r="E5368" s="4" t="s">
        <v>223</v>
      </c>
      <c r="J5368" s="3" t="s">
        <v>5588</v>
      </c>
      <c r="K5368" s="3" t="s">
        <v>223</v>
      </c>
    </row>
    <row r="5369" ht="15.6" spans="4:11">
      <c r="D5369" s="4">
        <v>3316</v>
      </c>
      <c r="E5369" s="4" t="s">
        <v>223</v>
      </c>
      <c r="J5369" s="3" t="s">
        <v>5589</v>
      </c>
      <c r="K5369" s="3" t="s">
        <v>223</v>
      </c>
    </row>
    <row r="5370" ht="15.6" spans="4:11">
      <c r="D5370" s="4">
        <v>3317</v>
      </c>
      <c r="E5370" s="4" t="s">
        <v>223</v>
      </c>
      <c r="J5370" s="3" t="s">
        <v>5590</v>
      </c>
      <c r="K5370" s="3" t="s">
        <v>223</v>
      </c>
    </row>
    <row r="5371" ht="15.6" spans="4:11">
      <c r="D5371" s="4">
        <v>3318</v>
      </c>
      <c r="E5371" s="4" t="s">
        <v>223</v>
      </c>
      <c r="J5371" s="3" t="s">
        <v>5591</v>
      </c>
      <c r="K5371" s="3" t="s">
        <v>223</v>
      </c>
    </row>
    <row r="5372" ht="15.6" spans="4:11">
      <c r="D5372" s="4">
        <v>3319</v>
      </c>
      <c r="E5372" s="4" t="s">
        <v>223</v>
      </c>
      <c r="J5372" s="3" t="s">
        <v>5592</v>
      </c>
      <c r="K5372" s="3" t="s">
        <v>223</v>
      </c>
    </row>
    <row r="5373" ht="15.6" spans="4:11">
      <c r="D5373" s="4">
        <v>3320</v>
      </c>
      <c r="E5373" s="4" t="s">
        <v>223</v>
      </c>
      <c r="J5373" s="3" t="s">
        <v>5593</v>
      </c>
      <c r="K5373" s="3" t="s">
        <v>223</v>
      </c>
    </row>
    <row r="5374" ht="15.6" spans="4:11">
      <c r="D5374" s="4">
        <v>3321</v>
      </c>
      <c r="E5374" s="4" t="s">
        <v>223</v>
      </c>
      <c r="J5374" s="3" t="s">
        <v>5594</v>
      </c>
      <c r="K5374" s="3" t="s">
        <v>223</v>
      </c>
    </row>
    <row r="5375" ht="15.6" spans="4:11">
      <c r="D5375" s="4">
        <v>3322</v>
      </c>
      <c r="E5375" s="4" t="s">
        <v>223</v>
      </c>
      <c r="J5375" s="3" t="s">
        <v>5595</v>
      </c>
      <c r="K5375" s="3" t="s">
        <v>223</v>
      </c>
    </row>
    <row r="5376" ht="15.6" spans="4:11">
      <c r="D5376" s="4">
        <v>3323</v>
      </c>
      <c r="E5376" s="4" t="s">
        <v>223</v>
      </c>
      <c r="J5376" s="3" t="s">
        <v>5596</v>
      </c>
      <c r="K5376" s="3" t="s">
        <v>223</v>
      </c>
    </row>
    <row r="5377" ht="15.6" spans="4:11">
      <c r="D5377" s="4">
        <v>3324</v>
      </c>
      <c r="E5377" s="4" t="s">
        <v>223</v>
      </c>
      <c r="J5377" s="3" t="s">
        <v>5597</v>
      </c>
      <c r="K5377" s="3" t="s">
        <v>223</v>
      </c>
    </row>
    <row r="5378" ht="15.6" spans="4:11">
      <c r="D5378" s="4">
        <v>3325</v>
      </c>
      <c r="E5378" s="4" t="s">
        <v>223</v>
      </c>
      <c r="J5378" s="3" t="s">
        <v>5598</v>
      </c>
      <c r="K5378" s="3" t="s">
        <v>223</v>
      </c>
    </row>
    <row r="5379" ht="15.6" spans="4:11">
      <c r="D5379" s="4">
        <v>3326</v>
      </c>
      <c r="E5379" s="4" t="s">
        <v>223</v>
      </c>
      <c r="J5379" s="3" t="s">
        <v>5599</v>
      </c>
      <c r="K5379" s="3" t="s">
        <v>223</v>
      </c>
    </row>
    <row r="5380" ht="15.6" spans="4:11">
      <c r="D5380" s="4">
        <v>3327</v>
      </c>
      <c r="E5380" s="4" t="s">
        <v>223</v>
      </c>
      <c r="J5380" s="3" t="s">
        <v>5600</v>
      </c>
      <c r="K5380" s="3" t="s">
        <v>223</v>
      </c>
    </row>
    <row r="5381" ht="15.6" spans="4:11">
      <c r="D5381" s="4">
        <v>3328</v>
      </c>
      <c r="E5381" s="4" t="s">
        <v>223</v>
      </c>
      <c r="J5381" s="3" t="s">
        <v>5601</v>
      </c>
      <c r="K5381" s="3" t="s">
        <v>223</v>
      </c>
    </row>
    <row r="5382" ht="15.6" spans="4:11">
      <c r="D5382" s="4">
        <v>3329</v>
      </c>
      <c r="E5382" s="4" t="s">
        <v>223</v>
      </c>
      <c r="J5382" s="3" t="s">
        <v>5602</v>
      </c>
      <c r="K5382" s="3" t="s">
        <v>223</v>
      </c>
    </row>
    <row r="5383" ht="15.6" spans="4:11">
      <c r="D5383" s="4">
        <v>3330</v>
      </c>
      <c r="E5383" s="4" t="s">
        <v>223</v>
      </c>
      <c r="J5383" s="3" t="s">
        <v>5603</v>
      </c>
      <c r="K5383" s="3" t="s">
        <v>223</v>
      </c>
    </row>
    <row r="5384" ht="15.6" spans="4:11">
      <c r="D5384" s="4">
        <v>3331</v>
      </c>
      <c r="E5384" s="4" t="s">
        <v>223</v>
      </c>
      <c r="J5384" s="3" t="s">
        <v>5604</v>
      </c>
      <c r="K5384" s="3" t="s">
        <v>223</v>
      </c>
    </row>
    <row r="5385" ht="15.6" spans="4:11">
      <c r="D5385" s="4">
        <v>3332</v>
      </c>
      <c r="E5385" s="4" t="s">
        <v>223</v>
      </c>
      <c r="J5385" s="3" t="s">
        <v>5605</v>
      </c>
      <c r="K5385" s="3" t="s">
        <v>223</v>
      </c>
    </row>
    <row r="5386" ht="15.6" spans="4:11">
      <c r="D5386" s="4">
        <v>3333</v>
      </c>
      <c r="E5386" s="4" t="s">
        <v>223</v>
      </c>
      <c r="J5386" s="3" t="s">
        <v>5606</v>
      </c>
      <c r="K5386" s="3" t="s">
        <v>223</v>
      </c>
    </row>
    <row r="5387" ht="15.6" spans="4:11">
      <c r="D5387" s="4">
        <v>3334</v>
      </c>
      <c r="E5387" s="4" t="s">
        <v>223</v>
      </c>
      <c r="J5387" s="3" t="s">
        <v>5607</v>
      </c>
      <c r="K5387" s="3" t="s">
        <v>223</v>
      </c>
    </row>
    <row r="5388" ht="15.6" spans="4:11">
      <c r="D5388" s="4">
        <v>3342</v>
      </c>
      <c r="E5388" s="4" t="s">
        <v>223</v>
      </c>
      <c r="J5388" s="3" t="s">
        <v>5608</v>
      </c>
      <c r="K5388" s="3" t="s">
        <v>223</v>
      </c>
    </row>
    <row r="5389" ht="15.6" spans="4:11">
      <c r="D5389" s="4">
        <v>3343</v>
      </c>
      <c r="E5389" s="4" t="s">
        <v>223</v>
      </c>
      <c r="J5389" s="3" t="s">
        <v>5609</v>
      </c>
      <c r="K5389" s="3" t="s">
        <v>223</v>
      </c>
    </row>
    <row r="5390" ht="15.6" spans="4:11">
      <c r="D5390" s="4">
        <v>3344</v>
      </c>
      <c r="E5390" s="4" t="s">
        <v>223</v>
      </c>
      <c r="J5390" s="3" t="s">
        <v>5610</v>
      </c>
      <c r="K5390" s="3" t="s">
        <v>223</v>
      </c>
    </row>
    <row r="5391" ht="15.6" spans="4:11">
      <c r="D5391" s="4">
        <v>3345</v>
      </c>
      <c r="E5391" s="4" t="s">
        <v>223</v>
      </c>
      <c r="J5391" s="3" t="s">
        <v>5611</v>
      </c>
      <c r="K5391" s="3" t="s">
        <v>223</v>
      </c>
    </row>
    <row r="5392" ht="15.6" spans="4:11">
      <c r="D5392" s="4">
        <v>3346</v>
      </c>
      <c r="E5392" s="4" t="s">
        <v>223</v>
      </c>
      <c r="J5392" s="3" t="s">
        <v>5612</v>
      </c>
      <c r="K5392" s="3" t="s">
        <v>223</v>
      </c>
    </row>
    <row r="5393" ht="15.6" spans="4:11">
      <c r="D5393" s="4">
        <v>3347</v>
      </c>
      <c r="E5393" s="4" t="s">
        <v>223</v>
      </c>
      <c r="J5393" s="3" t="s">
        <v>5613</v>
      </c>
      <c r="K5393" s="3" t="s">
        <v>223</v>
      </c>
    </row>
    <row r="5394" ht="15.6" spans="4:11">
      <c r="D5394" s="4">
        <v>3348</v>
      </c>
      <c r="E5394" s="4" t="s">
        <v>223</v>
      </c>
      <c r="J5394" s="3" t="s">
        <v>5614</v>
      </c>
      <c r="K5394" s="3" t="s">
        <v>223</v>
      </c>
    </row>
    <row r="5395" ht="15.6" spans="4:11">
      <c r="D5395" s="4">
        <v>3349</v>
      </c>
      <c r="E5395" s="4" t="s">
        <v>223</v>
      </c>
      <c r="J5395" s="3" t="s">
        <v>5615</v>
      </c>
      <c r="K5395" s="3" t="s">
        <v>223</v>
      </c>
    </row>
    <row r="5396" ht="15.6" spans="4:11">
      <c r="D5396" s="4">
        <v>3351</v>
      </c>
      <c r="E5396" s="4" t="s">
        <v>223</v>
      </c>
      <c r="J5396" s="3" t="s">
        <v>5616</v>
      </c>
      <c r="K5396" s="3" t="s">
        <v>223</v>
      </c>
    </row>
    <row r="5397" ht="15.6" spans="4:11">
      <c r="D5397" s="4">
        <v>3352</v>
      </c>
      <c r="E5397" s="4" t="s">
        <v>223</v>
      </c>
      <c r="J5397" s="3" t="s">
        <v>5617</v>
      </c>
      <c r="K5397" s="3" t="s">
        <v>223</v>
      </c>
    </row>
    <row r="5398" ht="15.6" spans="4:11">
      <c r="D5398" s="4">
        <v>3357</v>
      </c>
      <c r="E5398" s="4" t="s">
        <v>223</v>
      </c>
      <c r="J5398" s="3" t="s">
        <v>5618</v>
      </c>
      <c r="K5398" s="3" t="s">
        <v>223</v>
      </c>
    </row>
    <row r="5399" ht="15.6" spans="4:11">
      <c r="D5399" s="4">
        <v>3358</v>
      </c>
      <c r="E5399" s="4" t="s">
        <v>223</v>
      </c>
      <c r="J5399" s="3" t="s">
        <v>5619</v>
      </c>
      <c r="K5399" s="3" t="s">
        <v>223</v>
      </c>
    </row>
    <row r="5400" ht="15.6" spans="4:11">
      <c r="D5400" s="4">
        <v>3359</v>
      </c>
      <c r="E5400" s="4" t="s">
        <v>223</v>
      </c>
      <c r="J5400" s="3" t="s">
        <v>5620</v>
      </c>
      <c r="K5400" s="3" t="s">
        <v>223</v>
      </c>
    </row>
    <row r="5401" ht="15.6" spans="4:11">
      <c r="D5401" s="4">
        <v>3360</v>
      </c>
      <c r="E5401" s="4" t="s">
        <v>223</v>
      </c>
      <c r="J5401" s="3" t="s">
        <v>5621</v>
      </c>
      <c r="K5401" s="3" t="s">
        <v>223</v>
      </c>
    </row>
    <row r="5402" ht="15.6" spans="4:11">
      <c r="D5402" s="4">
        <v>3361</v>
      </c>
      <c r="E5402" s="4" t="s">
        <v>223</v>
      </c>
      <c r="J5402" s="3" t="s">
        <v>5622</v>
      </c>
      <c r="K5402" s="3" t="s">
        <v>223</v>
      </c>
    </row>
    <row r="5403" ht="15.6" spans="4:11">
      <c r="D5403" s="4">
        <v>3362</v>
      </c>
      <c r="E5403" s="4" t="s">
        <v>223</v>
      </c>
      <c r="J5403" s="3" t="s">
        <v>5623</v>
      </c>
      <c r="K5403" s="3" t="s">
        <v>223</v>
      </c>
    </row>
    <row r="5404" ht="15.6" spans="4:11">
      <c r="D5404" s="4">
        <v>3363</v>
      </c>
      <c r="E5404" s="4" t="s">
        <v>223</v>
      </c>
      <c r="J5404" s="3" t="s">
        <v>5624</v>
      </c>
      <c r="K5404" s="3" t="s">
        <v>223</v>
      </c>
    </row>
    <row r="5405" ht="15.6" spans="4:11">
      <c r="D5405" s="4">
        <v>3364</v>
      </c>
      <c r="E5405" s="4" t="s">
        <v>223</v>
      </c>
      <c r="J5405" s="3" t="s">
        <v>5625</v>
      </c>
      <c r="K5405" s="3" t="s">
        <v>223</v>
      </c>
    </row>
    <row r="5406" ht="15.6" spans="4:11">
      <c r="D5406" s="4">
        <v>3365</v>
      </c>
      <c r="E5406" s="4" t="s">
        <v>223</v>
      </c>
      <c r="J5406" s="3" t="s">
        <v>5626</v>
      </c>
      <c r="K5406" s="3" t="s">
        <v>223</v>
      </c>
    </row>
    <row r="5407" ht="15.6" spans="4:11">
      <c r="D5407" s="4">
        <v>3366</v>
      </c>
      <c r="E5407" s="4" t="s">
        <v>223</v>
      </c>
      <c r="J5407" s="3" t="s">
        <v>5627</v>
      </c>
      <c r="K5407" s="3" t="s">
        <v>223</v>
      </c>
    </row>
    <row r="5408" ht="15.6" spans="4:11">
      <c r="D5408" s="4">
        <v>3367</v>
      </c>
      <c r="E5408" s="4" t="s">
        <v>223</v>
      </c>
      <c r="J5408" s="3" t="s">
        <v>5628</v>
      </c>
      <c r="K5408" s="3" t="s">
        <v>223</v>
      </c>
    </row>
    <row r="5409" ht="15.6" spans="4:11">
      <c r="D5409" s="4">
        <v>3368</v>
      </c>
      <c r="E5409" s="4" t="s">
        <v>223</v>
      </c>
      <c r="J5409" s="3" t="s">
        <v>5629</v>
      </c>
      <c r="K5409" s="3" t="s">
        <v>223</v>
      </c>
    </row>
    <row r="5410" ht="15.6" spans="4:11">
      <c r="D5410" s="4">
        <v>3369</v>
      </c>
      <c r="E5410" s="4" t="s">
        <v>223</v>
      </c>
      <c r="J5410" s="3" t="s">
        <v>5630</v>
      </c>
      <c r="K5410" s="3" t="s">
        <v>223</v>
      </c>
    </row>
    <row r="5411" ht="15.6" spans="4:11">
      <c r="D5411" s="4">
        <v>3370</v>
      </c>
      <c r="E5411" s="4" t="s">
        <v>223</v>
      </c>
      <c r="J5411" s="3" t="s">
        <v>5631</v>
      </c>
      <c r="K5411" s="3" t="s">
        <v>223</v>
      </c>
    </row>
    <row r="5412" ht="15.6" spans="4:11">
      <c r="D5412" s="4">
        <v>3371</v>
      </c>
      <c r="E5412" s="4" t="s">
        <v>223</v>
      </c>
      <c r="J5412" s="3" t="s">
        <v>5632</v>
      </c>
      <c r="K5412" s="3" t="s">
        <v>223</v>
      </c>
    </row>
    <row r="5413" ht="15.6" spans="4:11">
      <c r="D5413" s="4">
        <v>3372</v>
      </c>
      <c r="E5413" s="4" t="s">
        <v>223</v>
      </c>
      <c r="J5413" s="3" t="s">
        <v>5633</v>
      </c>
      <c r="K5413" s="3" t="s">
        <v>223</v>
      </c>
    </row>
    <row r="5414" ht="15.6" spans="4:11">
      <c r="D5414" s="4">
        <v>3373</v>
      </c>
      <c r="E5414" s="4" t="s">
        <v>223</v>
      </c>
      <c r="J5414" s="3" t="s">
        <v>5634</v>
      </c>
      <c r="K5414" s="3" t="s">
        <v>223</v>
      </c>
    </row>
    <row r="5415" ht="15.6" spans="4:11">
      <c r="D5415" s="4">
        <v>3374</v>
      </c>
      <c r="E5415" s="4" t="s">
        <v>223</v>
      </c>
      <c r="J5415" s="3" t="s">
        <v>5635</v>
      </c>
      <c r="K5415" s="3" t="s">
        <v>223</v>
      </c>
    </row>
    <row r="5416" ht="15.6" spans="4:11">
      <c r="D5416" s="4">
        <v>3375</v>
      </c>
      <c r="E5416" s="4" t="s">
        <v>223</v>
      </c>
      <c r="J5416" s="3" t="s">
        <v>5636</v>
      </c>
      <c r="K5416" s="3" t="s">
        <v>223</v>
      </c>
    </row>
    <row r="5417" ht="15.6" spans="4:11">
      <c r="D5417" s="4">
        <v>3376</v>
      </c>
      <c r="E5417" s="4" t="s">
        <v>223</v>
      </c>
      <c r="J5417" s="3" t="s">
        <v>5637</v>
      </c>
      <c r="K5417" s="3" t="s">
        <v>223</v>
      </c>
    </row>
    <row r="5418" ht="15.6" spans="4:11">
      <c r="D5418" s="4">
        <v>3377</v>
      </c>
      <c r="E5418" s="4" t="s">
        <v>223</v>
      </c>
      <c r="J5418" s="3" t="s">
        <v>5638</v>
      </c>
      <c r="K5418" s="3" t="s">
        <v>223</v>
      </c>
    </row>
    <row r="5419" ht="15.6" spans="4:11">
      <c r="D5419" s="4">
        <v>3378</v>
      </c>
      <c r="E5419" s="4" t="s">
        <v>223</v>
      </c>
      <c r="J5419" s="3" t="s">
        <v>5639</v>
      </c>
      <c r="K5419" s="3" t="s">
        <v>223</v>
      </c>
    </row>
    <row r="5420" ht="15.6" spans="4:11">
      <c r="D5420" s="4">
        <v>3379</v>
      </c>
      <c r="E5420" s="4" t="s">
        <v>223</v>
      </c>
      <c r="J5420" s="3" t="s">
        <v>5640</v>
      </c>
      <c r="K5420" s="3" t="s">
        <v>223</v>
      </c>
    </row>
    <row r="5421" ht="15.6" spans="4:11">
      <c r="D5421" s="4">
        <v>3380</v>
      </c>
      <c r="E5421" s="4" t="s">
        <v>223</v>
      </c>
      <c r="J5421" s="3" t="s">
        <v>5641</v>
      </c>
      <c r="K5421" s="3" t="s">
        <v>223</v>
      </c>
    </row>
    <row r="5422" ht="15.6" spans="4:11">
      <c r="D5422" s="4">
        <v>3381</v>
      </c>
      <c r="E5422" s="4" t="s">
        <v>223</v>
      </c>
      <c r="J5422" s="3" t="s">
        <v>5642</v>
      </c>
      <c r="K5422" s="3" t="s">
        <v>223</v>
      </c>
    </row>
    <row r="5423" ht="15.6" spans="4:11">
      <c r="D5423" s="4">
        <v>3382</v>
      </c>
      <c r="E5423" s="4" t="s">
        <v>223</v>
      </c>
      <c r="J5423" s="3" t="s">
        <v>5643</v>
      </c>
      <c r="K5423" s="3" t="s">
        <v>223</v>
      </c>
    </row>
    <row r="5424" ht="15.6" spans="4:11">
      <c r="D5424" s="4">
        <v>3383</v>
      </c>
      <c r="E5424" s="4" t="s">
        <v>223</v>
      </c>
      <c r="J5424" s="3" t="s">
        <v>5644</v>
      </c>
      <c r="K5424" s="3" t="s">
        <v>223</v>
      </c>
    </row>
    <row r="5425" ht="15.6" spans="4:11">
      <c r="D5425" s="4">
        <v>3384</v>
      </c>
      <c r="E5425" s="4" t="s">
        <v>223</v>
      </c>
      <c r="J5425" s="3" t="s">
        <v>5645</v>
      </c>
      <c r="K5425" s="3" t="s">
        <v>223</v>
      </c>
    </row>
    <row r="5426" ht="15.6" spans="4:11">
      <c r="D5426" s="4">
        <v>3385</v>
      </c>
      <c r="E5426" s="4" t="s">
        <v>223</v>
      </c>
      <c r="J5426" s="3" t="s">
        <v>5646</v>
      </c>
      <c r="K5426" s="3" t="s">
        <v>223</v>
      </c>
    </row>
    <row r="5427" ht="15.6" spans="4:11">
      <c r="D5427" s="4">
        <v>3386</v>
      </c>
      <c r="E5427" s="4" t="s">
        <v>223</v>
      </c>
      <c r="J5427" s="3" t="s">
        <v>5647</v>
      </c>
      <c r="K5427" s="3" t="s">
        <v>223</v>
      </c>
    </row>
    <row r="5428" ht="15.6" spans="4:11">
      <c r="D5428" s="4">
        <v>3387</v>
      </c>
      <c r="E5428" s="4" t="s">
        <v>223</v>
      </c>
      <c r="J5428" s="3" t="s">
        <v>5648</v>
      </c>
      <c r="K5428" s="3" t="s">
        <v>223</v>
      </c>
    </row>
    <row r="5429" ht="15.6" spans="4:11">
      <c r="D5429" s="4">
        <v>3388</v>
      </c>
      <c r="E5429" s="4" t="s">
        <v>223</v>
      </c>
      <c r="J5429" s="3" t="s">
        <v>5649</v>
      </c>
      <c r="K5429" s="3" t="s">
        <v>223</v>
      </c>
    </row>
    <row r="5430" ht="15.6" spans="4:11">
      <c r="D5430" s="4">
        <v>3389</v>
      </c>
      <c r="E5430" s="4" t="s">
        <v>223</v>
      </c>
      <c r="J5430" s="3" t="s">
        <v>5650</v>
      </c>
      <c r="K5430" s="3" t="s">
        <v>223</v>
      </c>
    </row>
    <row r="5431" ht="15.6" spans="4:11">
      <c r="D5431" s="4">
        <v>3390</v>
      </c>
      <c r="E5431" s="4" t="s">
        <v>223</v>
      </c>
      <c r="J5431" s="3" t="s">
        <v>5651</v>
      </c>
      <c r="K5431" s="3" t="s">
        <v>223</v>
      </c>
    </row>
    <row r="5432" ht="15.6" spans="4:11">
      <c r="D5432" s="4">
        <v>3391</v>
      </c>
      <c r="E5432" s="4" t="s">
        <v>223</v>
      </c>
      <c r="J5432" s="3" t="s">
        <v>5652</v>
      </c>
      <c r="K5432" s="3" t="s">
        <v>223</v>
      </c>
    </row>
    <row r="5433" ht="15.6" spans="4:11">
      <c r="D5433" s="4">
        <v>3392</v>
      </c>
      <c r="E5433" s="4" t="s">
        <v>223</v>
      </c>
      <c r="J5433" s="3" t="s">
        <v>5653</v>
      </c>
      <c r="K5433" s="3" t="s">
        <v>223</v>
      </c>
    </row>
    <row r="5434" ht="15.6" spans="4:11">
      <c r="D5434" s="4">
        <v>3393</v>
      </c>
      <c r="E5434" s="4" t="s">
        <v>223</v>
      </c>
      <c r="J5434" s="3" t="s">
        <v>5654</v>
      </c>
      <c r="K5434" s="3" t="s">
        <v>223</v>
      </c>
    </row>
    <row r="5435" ht="15.6" spans="4:11">
      <c r="D5435" s="4">
        <v>3394</v>
      </c>
      <c r="E5435" s="4" t="s">
        <v>223</v>
      </c>
      <c r="J5435" s="3" t="s">
        <v>5655</v>
      </c>
      <c r="K5435" s="3" t="s">
        <v>223</v>
      </c>
    </row>
    <row r="5436" ht="15.6" spans="4:11">
      <c r="D5436" s="4">
        <v>3395</v>
      </c>
      <c r="E5436" s="4" t="s">
        <v>223</v>
      </c>
      <c r="J5436" s="3" t="s">
        <v>5656</v>
      </c>
      <c r="K5436" s="3" t="s">
        <v>223</v>
      </c>
    </row>
    <row r="5437" ht="15.6" spans="4:11">
      <c r="D5437" s="4">
        <v>3396</v>
      </c>
      <c r="E5437" s="4" t="s">
        <v>223</v>
      </c>
      <c r="J5437" s="3" t="s">
        <v>5657</v>
      </c>
      <c r="K5437" s="3" t="s">
        <v>223</v>
      </c>
    </row>
    <row r="5438" ht="15.6" spans="4:11">
      <c r="D5438" s="4">
        <v>3397</v>
      </c>
      <c r="E5438" s="4" t="s">
        <v>223</v>
      </c>
      <c r="J5438" s="3" t="s">
        <v>5658</v>
      </c>
      <c r="K5438" s="3" t="s">
        <v>223</v>
      </c>
    </row>
    <row r="5439" ht="15.6" spans="4:11">
      <c r="D5439" s="4">
        <v>3398</v>
      </c>
      <c r="E5439" s="4" t="s">
        <v>223</v>
      </c>
      <c r="J5439" s="3" t="s">
        <v>5659</v>
      </c>
      <c r="K5439" s="3" t="s">
        <v>223</v>
      </c>
    </row>
    <row r="5440" ht="15.6" spans="4:11">
      <c r="D5440" s="4">
        <v>3399</v>
      </c>
      <c r="E5440" s="4" t="s">
        <v>223</v>
      </c>
      <c r="J5440" s="3" t="s">
        <v>5660</v>
      </c>
      <c r="K5440" s="3" t="s">
        <v>223</v>
      </c>
    </row>
    <row r="5441" ht="15.6" spans="4:11">
      <c r="D5441" s="4">
        <v>3400</v>
      </c>
      <c r="E5441" s="4" t="s">
        <v>223</v>
      </c>
      <c r="J5441" s="3" t="s">
        <v>5661</v>
      </c>
      <c r="K5441" s="3" t="s">
        <v>223</v>
      </c>
    </row>
    <row r="5442" ht="15.6" spans="4:11">
      <c r="D5442" s="4">
        <v>3401</v>
      </c>
      <c r="E5442" s="4" t="s">
        <v>223</v>
      </c>
      <c r="J5442" s="3" t="s">
        <v>5662</v>
      </c>
      <c r="K5442" s="3" t="s">
        <v>223</v>
      </c>
    </row>
    <row r="5443" ht="15.6" spans="4:11">
      <c r="D5443" s="4">
        <v>3402</v>
      </c>
      <c r="E5443" s="4" t="s">
        <v>223</v>
      </c>
      <c r="J5443" s="3" t="s">
        <v>5663</v>
      </c>
      <c r="K5443" s="3" t="s">
        <v>223</v>
      </c>
    </row>
    <row r="5444" ht="15.6" spans="4:11">
      <c r="D5444" s="4">
        <v>3403</v>
      </c>
      <c r="E5444" s="4" t="s">
        <v>223</v>
      </c>
      <c r="J5444" s="3" t="s">
        <v>5664</v>
      </c>
      <c r="K5444" s="3" t="s">
        <v>223</v>
      </c>
    </row>
    <row r="5445" ht="15.6" spans="4:11">
      <c r="D5445" s="4">
        <v>3404</v>
      </c>
      <c r="E5445" s="4" t="s">
        <v>223</v>
      </c>
      <c r="J5445" s="3" t="s">
        <v>5665</v>
      </c>
      <c r="K5445" s="3" t="s">
        <v>223</v>
      </c>
    </row>
    <row r="5446" ht="15.6" spans="4:11">
      <c r="D5446" s="4">
        <v>3405</v>
      </c>
      <c r="E5446" s="4" t="s">
        <v>223</v>
      </c>
      <c r="J5446" s="3" t="s">
        <v>5666</v>
      </c>
      <c r="K5446" s="3" t="s">
        <v>223</v>
      </c>
    </row>
    <row r="5447" ht="15.6" spans="4:11">
      <c r="D5447" s="4">
        <v>3406</v>
      </c>
      <c r="E5447" s="4" t="s">
        <v>223</v>
      </c>
      <c r="J5447" s="3" t="s">
        <v>5667</v>
      </c>
      <c r="K5447" s="3" t="s">
        <v>223</v>
      </c>
    </row>
    <row r="5448" ht="15.6" spans="4:11">
      <c r="D5448" s="4">
        <v>3407</v>
      </c>
      <c r="E5448" s="4" t="s">
        <v>223</v>
      </c>
      <c r="J5448" s="3" t="s">
        <v>5668</v>
      </c>
      <c r="K5448" s="3" t="s">
        <v>223</v>
      </c>
    </row>
    <row r="5449" ht="15.6" spans="4:11">
      <c r="D5449" s="4">
        <v>3408</v>
      </c>
      <c r="E5449" s="4" t="s">
        <v>223</v>
      </c>
      <c r="J5449" s="3" t="s">
        <v>5669</v>
      </c>
      <c r="K5449" s="3" t="s">
        <v>223</v>
      </c>
    </row>
    <row r="5450" ht="15.6" spans="4:11">
      <c r="D5450" s="4">
        <v>3409</v>
      </c>
      <c r="E5450" s="4" t="s">
        <v>223</v>
      </c>
      <c r="J5450" s="3" t="s">
        <v>5670</v>
      </c>
      <c r="K5450" s="3" t="s">
        <v>223</v>
      </c>
    </row>
    <row r="5451" ht="15.6" spans="4:11">
      <c r="D5451" s="4">
        <v>3410</v>
      </c>
      <c r="E5451" s="4" t="s">
        <v>223</v>
      </c>
      <c r="J5451" s="3" t="s">
        <v>5671</v>
      </c>
      <c r="K5451" s="3" t="s">
        <v>223</v>
      </c>
    </row>
    <row r="5452" ht="15.6" spans="4:11">
      <c r="D5452" s="4">
        <v>3411</v>
      </c>
      <c r="E5452" s="4" t="s">
        <v>223</v>
      </c>
      <c r="J5452" s="3" t="s">
        <v>5672</v>
      </c>
      <c r="K5452" s="3" t="s">
        <v>223</v>
      </c>
    </row>
    <row r="5453" ht="15.6" spans="4:11">
      <c r="D5453" s="4">
        <v>3412</v>
      </c>
      <c r="E5453" s="4" t="s">
        <v>223</v>
      </c>
      <c r="J5453" s="3" t="s">
        <v>5673</v>
      </c>
      <c r="K5453" s="3" t="s">
        <v>223</v>
      </c>
    </row>
    <row r="5454" ht="15.6" spans="4:11">
      <c r="D5454" s="4">
        <v>3413</v>
      </c>
      <c r="E5454" s="4" t="s">
        <v>223</v>
      </c>
      <c r="J5454" s="3" t="s">
        <v>5674</v>
      </c>
      <c r="K5454" s="3" t="s">
        <v>223</v>
      </c>
    </row>
    <row r="5455" ht="15.6" spans="4:11">
      <c r="D5455" s="4">
        <v>3414</v>
      </c>
      <c r="E5455" s="4" t="s">
        <v>223</v>
      </c>
      <c r="J5455" s="3" t="s">
        <v>5675</v>
      </c>
      <c r="K5455" s="3" t="s">
        <v>223</v>
      </c>
    </row>
    <row r="5456" ht="15.6" spans="4:11">
      <c r="D5456" s="4">
        <v>3415</v>
      </c>
      <c r="E5456" s="4" t="s">
        <v>223</v>
      </c>
      <c r="J5456" s="3" t="s">
        <v>5676</v>
      </c>
      <c r="K5456" s="3" t="s">
        <v>223</v>
      </c>
    </row>
    <row r="5457" ht="15.6" spans="4:11">
      <c r="D5457" s="4">
        <v>3416</v>
      </c>
      <c r="E5457" s="4" t="s">
        <v>223</v>
      </c>
      <c r="J5457" s="3" t="s">
        <v>5677</v>
      </c>
      <c r="K5457" s="3" t="s">
        <v>223</v>
      </c>
    </row>
    <row r="5458" ht="15.6" spans="4:11">
      <c r="D5458" s="4">
        <v>3417</v>
      </c>
      <c r="E5458" s="4" t="s">
        <v>223</v>
      </c>
      <c r="J5458" s="3" t="s">
        <v>5678</v>
      </c>
      <c r="K5458" s="3" t="s">
        <v>223</v>
      </c>
    </row>
    <row r="5459" ht="15.6" spans="4:11">
      <c r="D5459" s="4">
        <v>3418</v>
      </c>
      <c r="E5459" s="4" t="s">
        <v>223</v>
      </c>
      <c r="J5459" s="3" t="s">
        <v>5679</v>
      </c>
      <c r="K5459" s="3" t="s">
        <v>223</v>
      </c>
    </row>
    <row r="5460" ht="15.6" spans="4:11">
      <c r="D5460" s="4">
        <v>3419</v>
      </c>
      <c r="E5460" s="4" t="s">
        <v>223</v>
      </c>
      <c r="J5460" s="3" t="s">
        <v>5680</v>
      </c>
      <c r="K5460" s="3" t="s">
        <v>223</v>
      </c>
    </row>
    <row r="5461" ht="15.6" spans="4:11">
      <c r="D5461" s="4">
        <v>3420</v>
      </c>
      <c r="E5461" s="4" t="s">
        <v>223</v>
      </c>
      <c r="J5461" s="3" t="s">
        <v>5681</v>
      </c>
      <c r="K5461" s="3" t="s">
        <v>223</v>
      </c>
    </row>
    <row r="5462" ht="15.6" spans="4:11">
      <c r="D5462" s="4">
        <v>3421</v>
      </c>
      <c r="E5462" s="4" t="s">
        <v>223</v>
      </c>
      <c r="J5462" s="3" t="s">
        <v>5682</v>
      </c>
      <c r="K5462" s="3" t="s">
        <v>223</v>
      </c>
    </row>
    <row r="5463" ht="15.6" spans="4:11">
      <c r="D5463" s="4">
        <v>3422</v>
      </c>
      <c r="E5463" s="4" t="s">
        <v>223</v>
      </c>
      <c r="J5463" s="3" t="s">
        <v>5683</v>
      </c>
      <c r="K5463" s="3" t="s">
        <v>223</v>
      </c>
    </row>
    <row r="5464" ht="15.6" spans="4:11">
      <c r="D5464" s="4">
        <v>3423</v>
      </c>
      <c r="E5464" s="4" t="s">
        <v>223</v>
      </c>
      <c r="J5464" s="3" t="s">
        <v>5684</v>
      </c>
      <c r="K5464" s="3" t="s">
        <v>223</v>
      </c>
    </row>
    <row r="5465" ht="15.6" spans="4:11">
      <c r="D5465" s="4">
        <v>3424</v>
      </c>
      <c r="E5465" s="4" t="s">
        <v>223</v>
      </c>
      <c r="J5465" s="3" t="s">
        <v>5685</v>
      </c>
      <c r="K5465" s="3" t="s">
        <v>223</v>
      </c>
    </row>
    <row r="5466" ht="15.6" spans="4:11">
      <c r="D5466" s="4">
        <v>3425</v>
      </c>
      <c r="E5466" s="4" t="s">
        <v>223</v>
      </c>
      <c r="J5466" s="3" t="s">
        <v>5686</v>
      </c>
      <c r="K5466" s="3" t="s">
        <v>223</v>
      </c>
    </row>
    <row r="5467" ht="15.6" spans="4:11">
      <c r="D5467" s="4">
        <v>3426</v>
      </c>
      <c r="E5467" s="4" t="s">
        <v>223</v>
      </c>
      <c r="J5467" s="3" t="s">
        <v>5687</v>
      </c>
      <c r="K5467" s="3" t="s">
        <v>223</v>
      </c>
    </row>
    <row r="5468" ht="15.6" spans="4:11">
      <c r="D5468" s="4">
        <v>3444</v>
      </c>
      <c r="E5468" s="4" t="s">
        <v>223</v>
      </c>
      <c r="J5468" s="3" t="s">
        <v>5688</v>
      </c>
      <c r="K5468" s="3" t="s">
        <v>223</v>
      </c>
    </row>
    <row r="5469" ht="15.6" spans="4:11">
      <c r="D5469" s="4">
        <v>3445</v>
      </c>
      <c r="E5469" s="4" t="s">
        <v>223</v>
      </c>
      <c r="J5469" s="3" t="s">
        <v>5689</v>
      </c>
      <c r="K5469" s="3" t="s">
        <v>223</v>
      </c>
    </row>
    <row r="5470" ht="15.6" spans="4:11">
      <c r="D5470" s="4">
        <v>3446</v>
      </c>
      <c r="E5470" s="4" t="s">
        <v>223</v>
      </c>
      <c r="J5470" s="3" t="s">
        <v>5690</v>
      </c>
      <c r="K5470" s="3" t="s">
        <v>223</v>
      </c>
    </row>
    <row r="5471" ht="15.6" spans="4:11">
      <c r="D5471" s="4">
        <v>3447</v>
      </c>
      <c r="E5471" s="4" t="s">
        <v>223</v>
      </c>
      <c r="J5471" s="3" t="s">
        <v>5691</v>
      </c>
      <c r="K5471" s="3" t="s">
        <v>223</v>
      </c>
    </row>
    <row r="5472" ht="15.6" spans="4:11">
      <c r="D5472" s="4">
        <v>3448</v>
      </c>
      <c r="E5472" s="4" t="s">
        <v>223</v>
      </c>
      <c r="J5472" s="3" t="s">
        <v>5692</v>
      </c>
      <c r="K5472" s="3" t="s">
        <v>223</v>
      </c>
    </row>
    <row r="5473" ht="15.6" spans="4:11">
      <c r="D5473" s="4">
        <v>3449</v>
      </c>
      <c r="E5473" s="4" t="s">
        <v>223</v>
      </c>
      <c r="J5473" s="3" t="s">
        <v>5693</v>
      </c>
      <c r="K5473" s="3" t="s">
        <v>223</v>
      </c>
    </row>
    <row r="5474" ht="15.6" spans="4:11">
      <c r="D5474" s="4">
        <v>3450</v>
      </c>
      <c r="E5474" s="4" t="s">
        <v>223</v>
      </c>
      <c r="J5474" s="3" t="s">
        <v>5694</v>
      </c>
      <c r="K5474" s="3" t="s">
        <v>223</v>
      </c>
    </row>
    <row r="5475" ht="15.6" spans="4:11">
      <c r="D5475" s="4">
        <v>3451</v>
      </c>
      <c r="E5475" s="4" t="s">
        <v>223</v>
      </c>
      <c r="J5475" s="3" t="s">
        <v>5695</v>
      </c>
      <c r="K5475" s="3" t="s">
        <v>223</v>
      </c>
    </row>
    <row r="5476" ht="15.6" spans="4:11">
      <c r="D5476" s="4">
        <v>3452</v>
      </c>
      <c r="E5476" s="4" t="s">
        <v>223</v>
      </c>
      <c r="J5476" s="3" t="s">
        <v>5696</v>
      </c>
      <c r="K5476" s="3" t="s">
        <v>223</v>
      </c>
    </row>
    <row r="5477" ht="15.6" spans="4:11">
      <c r="D5477" s="4">
        <v>3453</v>
      </c>
      <c r="E5477" s="4" t="s">
        <v>223</v>
      </c>
      <c r="J5477" s="3" t="s">
        <v>5697</v>
      </c>
      <c r="K5477" s="3" t="s">
        <v>223</v>
      </c>
    </row>
    <row r="5478" ht="15.6" spans="4:11">
      <c r="D5478" s="4">
        <v>3454</v>
      </c>
      <c r="E5478" s="4" t="s">
        <v>223</v>
      </c>
      <c r="J5478" s="3" t="s">
        <v>5698</v>
      </c>
      <c r="K5478" s="3" t="s">
        <v>223</v>
      </c>
    </row>
    <row r="5479" ht="15.6" spans="4:11">
      <c r="D5479" s="4">
        <v>3455</v>
      </c>
      <c r="E5479" s="4" t="s">
        <v>223</v>
      </c>
      <c r="J5479" s="3" t="s">
        <v>5699</v>
      </c>
      <c r="K5479" s="3" t="s">
        <v>223</v>
      </c>
    </row>
    <row r="5480" ht="15.6" spans="4:11">
      <c r="D5480" s="4">
        <v>3456</v>
      </c>
      <c r="E5480" s="4" t="s">
        <v>223</v>
      </c>
      <c r="J5480" s="3" t="s">
        <v>5700</v>
      </c>
      <c r="K5480" s="3" t="s">
        <v>223</v>
      </c>
    </row>
    <row r="5481" ht="15.6" spans="4:11">
      <c r="D5481" s="4">
        <v>3457</v>
      </c>
      <c r="E5481" s="4" t="s">
        <v>223</v>
      </c>
      <c r="J5481" s="3" t="s">
        <v>5701</v>
      </c>
      <c r="K5481" s="3" t="s">
        <v>223</v>
      </c>
    </row>
    <row r="5482" ht="15.6" spans="4:11">
      <c r="D5482" s="4">
        <v>3458</v>
      </c>
      <c r="E5482" s="4" t="s">
        <v>223</v>
      </c>
      <c r="J5482" s="3" t="s">
        <v>5702</v>
      </c>
      <c r="K5482" s="3" t="s">
        <v>223</v>
      </c>
    </row>
    <row r="5483" ht="15.6" spans="4:11">
      <c r="D5483" s="4">
        <v>3459</v>
      </c>
      <c r="E5483" s="4" t="s">
        <v>223</v>
      </c>
      <c r="J5483" s="3" t="s">
        <v>5703</v>
      </c>
      <c r="K5483" s="3" t="s">
        <v>223</v>
      </c>
    </row>
    <row r="5484" ht="15.6" spans="4:11">
      <c r="D5484" s="4">
        <v>3460</v>
      </c>
      <c r="E5484" s="4" t="s">
        <v>223</v>
      </c>
      <c r="J5484" s="3" t="s">
        <v>5704</v>
      </c>
      <c r="K5484" s="3" t="s">
        <v>223</v>
      </c>
    </row>
    <row r="5485" ht="15.6" spans="4:11">
      <c r="D5485" s="4">
        <v>3461</v>
      </c>
      <c r="E5485" s="4" t="s">
        <v>223</v>
      </c>
      <c r="J5485" s="3" t="s">
        <v>5705</v>
      </c>
      <c r="K5485" s="3" t="s">
        <v>223</v>
      </c>
    </row>
    <row r="5486" ht="15.6" spans="4:11">
      <c r="D5486" s="4">
        <v>3462</v>
      </c>
      <c r="E5486" s="4" t="s">
        <v>223</v>
      </c>
      <c r="J5486" s="3" t="s">
        <v>5706</v>
      </c>
      <c r="K5486" s="3" t="s">
        <v>223</v>
      </c>
    </row>
    <row r="5487" ht="15.6" spans="4:11">
      <c r="D5487" s="4">
        <v>3463</v>
      </c>
      <c r="E5487" s="4" t="s">
        <v>223</v>
      </c>
      <c r="J5487" s="3" t="s">
        <v>5707</v>
      </c>
      <c r="K5487" s="3" t="s">
        <v>223</v>
      </c>
    </row>
    <row r="5488" ht="15.6" spans="4:11">
      <c r="D5488" s="4">
        <v>3464</v>
      </c>
      <c r="E5488" s="4" t="s">
        <v>223</v>
      </c>
      <c r="J5488" s="3" t="s">
        <v>5708</v>
      </c>
      <c r="K5488" s="3" t="s">
        <v>223</v>
      </c>
    </row>
    <row r="5489" ht="15.6" spans="4:11">
      <c r="D5489" s="4">
        <v>3465</v>
      </c>
      <c r="E5489" s="4" t="s">
        <v>223</v>
      </c>
      <c r="J5489" s="3" t="s">
        <v>5709</v>
      </c>
      <c r="K5489" s="3" t="s">
        <v>223</v>
      </c>
    </row>
    <row r="5490" ht="15.6" spans="4:11">
      <c r="D5490" s="4">
        <v>3466</v>
      </c>
      <c r="E5490" s="4" t="s">
        <v>223</v>
      </c>
      <c r="J5490" s="3" t="s">
        <v>5710</v>
      </c>
      <c r="K5490" s="3" t="s">
        <v>223</v>
      </c>
    </row>
    <row r="5491" ht="15.6" spans="4:11">
      <c r="D5491" s="4">
        <v>3467</v>
      </c>
      <c r="E5491" s="4" t="s">
        <v>223</v>
      </c>
      <c r="J5491" s="3" t="s">
        <v>5711</v>
      </c>
      <c r="K5491" s="3" t="s">
        <v>223</v>
      </c>
    </row>
    <row r="5492" ht="15.6" spans="4:11">
      <c r="D5492" s="4">
        <v>3468</v>
      </c>
      <c r="E5492" s="4" t="s">
        <v>223</v>
      </c>
      <c r="J5492" s="3" t="s">
        <v>5712</v>
      </c>
      <c r="K5492" s="3" t="s">
        <v>223</v>
      </c>
    </row>
    <row r="5493" ht="15.6" spans="4:11">
      <c r="D5493" s="4">
        <v>3469</v>
      </c>
      <c r="E5493" s="4" t="s">
        <v>223</v>
      </c>
      <c r="J5493" s="3" t="s">
        <v>5713</v>
      </c>
      <c r="K5493" s="3" t="s">
        <v>223</v>
      </c>
    </row>
    <row r="5494" ht="15.6" spans="4:11">
      <c r="D5494" s="4">
        <v>3470</v>
      </c>
      <c r="E5494" s="4" t="s">
        <v>223</v>
      </c>
      <c r="J5494" s="3" t="s">
        <v>5714</v>
      </c>
      <c r="K5494" s="3" t="s">
        <v>223</v>
      </c>
    </row>
    <row r="5495" ht="15.6" spans="4:11">
      <c r="D5495" s="4">
        <v>3471</v>
      </c>
      <c r="E5495" s="4" t="s">
        <v>223</v>
      </c>
      <c r="J5495" s="3" t="s">
        <v>5715</v>
      </c>
      <c r="K5495" s="3" t="s">
        <v>223</v>
      </c>
    </row>
    <row r="5496" ht="15.6" spans="4:11">
      <c r="D5496" s="4">
        <v>3472</v>
      </c>
      <c r="E5496" s="4" t="s">
        <v>223</v>
      </c>
      <c r="J5496" s="3" t="s">
        <v>5716</v>
      </c>
      <c r="K5496" s="3" t="s">
        <v>223</v>
      </c>
    </row>
    <row r="5497" ht="15.6" spans="4:11">
      <c r="D5497" s="4">
        <v>3473</v>
      </c>
      <c r="E5497" s="4" t="s">
        <v>223</v>
      </c>
      <c r="J5497" s="3" t="s">
        <v>5717</v>
      </c>
      <c r="K5497" s="3" t="s">
        <v>223</v>
      </c>
    </row>
    <row r="5498" ht="15.6" spans="4:11">
      <c r="D5498" s="4">
        <v>3474</v>
      </c>
      <c r="E5498" s="4" t="s">
        <v>223</v>
      </c>
      <c r="J5498" s="3" t="s">
        <v>5718</v>
      </c>
      <c r="K5498" s="3" t="s">
        <v>223</v>
      </c>
    </row>
    <row r="5499" ht="15.6" spans="4:11">
      <c r="D5499" s="4">
        <v>3475</v>
      </c>
      <c r="E5499" s="4" t="s">
        <v>223</v>
      </c>
      <c r="J5499" s="3" t="s">
        <v>5719</v>
      </c>
      <c r="K5499" s="3" t="s">
        <v>223</v>
      </c>
    </row>
    <row r="5500" ht="15.6" spans="4:11">
      <c r="D5500" s="4">
        <v>3476</v>
      </c>
      <c r="E5500" s="4" t="s">
        <v>223</v>
      </c>
      <c r="J5500" s="3" t="s">
        <v>5720</v>
      </c>
      <c r="K5500" s="3" t="s">
        <v>223</v>
      </c>
    </row>
    <row r="5501" ht="15.6" spans="4:11">
      <c r="D5501" s="4">
        <v>3477</v>
      </c>
      <c r="E5501" s="4" t="s">
        <v>223</v>
      </c>
      <c r="J5501" s="3" t="s">
        <v>5721</v>
      </c>
      <c r="K5501" s="3" t="s">
        <v>223</v>
      </c>
    </row>
    <row r="5502" ht="15.6" spans="4:11">
      <c r="D5502" s="4">
        <v>3478</v>
      </c>
      <c r="E5502" s="4" t="s">
        <v>223</v>
      </c>
      <c r="J5502" s="3" t="s">
        <v>5722</v>
      </c>
      <c r="K5502" s="3" t="s">
        <v>223</v>
      </c>
    </row>
    <row r="5503" ht="15.6" spans="4:11">
      <c r="D5503" s="4">
        <v>3479</v>
      </c>
      <c r="E5503" s="4" t="s">
        <v>223</v>
      </c>
      <c r="J5503" s="3" t="s">
        <v>5723</v>
      </c>
      <c r="K5503" s="3" t="s">
        <v>223</v>
      </c>
    </row>
    <row r="5504" ht="15.6" spans="4:11">
      <c r="D5504" s="4">
        <v>3480</v>
      </c>
      <c r="E5504" s="4" t="s">
        <v>223</v>
      </c>
      <c r="J5504" s="3" t="s">
        <v>5724</v>
      </c>
      <c r="K5504" s="3" t="s">
        <v>223</v>
      </c>
    </row>
    <row r="5505" ht="15.6" spans="4:11">
      <c r="D5505" s="4">
        <v>3481</v>
      </c>
      <c r="E5505" s="4" t="s">
        <v>223</v>
      </c>
      <c r="J5505" s="3" t="s">
        <v>5725</v>
      </c>
      <c r="K5505" s="3" t="s">
        <v>223</v>
      </c>
    </row>
    <row r="5506" ht="15.6" spans="4:11">
      <c r="D5506" s="4">
        <v>3482</v>
      </c>
      <c r="E5506" s="4" t="s">
        <v>223</v>
      </c>
      <c r="J5506" s="3" t="s">
        <v>5726</v>
      </c>
      <c r="K5506" s="3" t="s">
        <v>223</v>
      </c>
    </row>
    <row r="5507" ht="15.6" spans="4:11">
      <c r="D5507" s="4">
        <v>3483</v>
      </c>
      <c r="E5507" s="4" t="s">
        <v>223</v>
      </c>
      <c r="J5507" s="3" t="s">
        <v>5727</v>
      </c>
      <c r="K5507" s="3" t="s">
        <v>223</v>
      </c>
    </row>
    <row r="5508" ht="15.6" spans="4:11">
      <c r="D5508" s="4">
        <v>3484</v>
      </c>
      <c r="E5508" s="4" t="s">
        <v>223</v>
      </c>
      <c r="J5508" s="3" t="s">
        <v>5728</v>
      </c>
      <c r="K5508" s="3" t="s">
        <v>223</v>
      </c>
    </row>
    <row r="5509" ht="15.6" spans="4:11">
      <c r="D5509" s="4">
        <v>3485</v>
      </c>
      <c r="E5509" s="4" t="s">
        <v>223</v>
      </c>
      <c r="J5509" s="3" t="s">
        <v>5729</v>
      </c>
      <c r="K5509" s="3" t="s">
        <v>223</v>
      </c>
    </row>
    <row r="5510" ht="15.6" spans="4:11">
      <c r="D5510" s="4">
        <v>3486</v>
      </c>
      <c r="E5510" s="4" t="s">
        <v>223</v>
      </c>
      <c r="J5510" s="3" t="s">
        <v>5730</v>
      </c>
      <c r="K5510" s="3" t="s">
        <v>223</v>
      </c>
    </row>
    <row r="5511" ht="15.6" spans="4:11">
      <c r="D5511" s="4">
        <v>3487</v>
      </c>
      <c r="E5511" s="4" t="s">
        <v>223</v>
      </c>
      <c r="J5511" s="3" t="s">
        <v>5731</v>
      </c>
      <c r="K5511" s="3" t="s">
        <v>223</v>
      </c>
    </row>
    <row r="5512" ht="15.6" spans="4:11">
      <c r="D5512" s="4">
        <v>3488</v>
      </c>
      <c r="E5512" s="4" t="s">
        <v>223</v>
      </c>
      <c r="J5512" s="3" t="s">
        <v>5732</v>
      </c>
      <c r="K5512" s="3" t="s">
        <v>223</v>
      </c>
    </row>
    <row r="5513" ht="15.6" spans="4:11">
      <c r="D5513" s="4">
        <v>3489</v>
      </c>
      <c r="E5513" s="4" t="s">
        <v>223</v>
      </c>
      <c r="J5513" s="3" t="s">
        <v>5733</v>
      </c>
      <c r="K5513" s="3" t="s">
        <v>223</v>
      </c>
    </row>
    <row r="5514" ht="15.6" spans="4:11">
      <c r="D5514" s="4">
        <v>3490</v>
      </c>
      <c r="E5514" s="4" t="s">
        <v>223</v>
      </c>
      <c r="J5514" s="3" t="s">
        <v>5734</v>
      </c>
      <c r="K5514" s="3" t="s">
        <v>223</v>
      </c>
    </row>
    <row r="5515" ht="15.6" spans="4:11">
      <c r="D5515" s="4">
        <v>3491</v>
      </c>
      <c r="E5515" s="4" t="s">
        <v>223</v>
      </c>
      <c r="J5515" s="3" t="s">
        <v>5735</v>
      </c>
      <c r="K5515" s="3" t="s">
        <v>223</v>
      </c>
    </row>
    <row r="5516" ht="15.6" spans="4:11">
      <c r="D5516" s="4">
        <v>3492</v>
      </c>
      <c r="E5516" s="4" t="s">
        <v>223</v>
      </c>
      <c r="J5516" s="3" t="s">
        <v>5736</v>
      </c>
      <c r="K5516" s="3" t="s">
        <v>223</v>
      </c>
    </row>
    <row r="5517" ht="15.6" spans="4:11">
      <c r="D5517" s="4">
        <v>3493</v>
      </c>
      <c r="E5517" s="4" t="s">
        <v>223</v>
      </c>
      <c r="J5517" s="3" t="s">
        <v>5737</v>
      </c>
      <c r="K5517" s="3" t="s">
        <v>223</v>
      </c>
    </row>
    <row r="5518" ht="15.6" spans="4:11">
      <c r="D5518" s="4">
        <v>3494</v>
      </c>
      <c r="E5518" s="4" t="s">
        <v>223</v>
      </c>
      <c r="J5518" s="3" t="s">
        <v>5738</v>
      </c>
      <c r="K5518" s="3" t="s">
        <v>223</v>
      </c>
    </row>
    <row r="5519" ht="15.6" spans="4:11">
      <c r="D5519" s="4">
        <v>3495</v>
      </c>
      <c r="E5519" s="4" t="s">
        <v>223</v>
      </c>
      <c r="J5519" s="3" t="s">
        <v>5739</v>
      </c>
      <c r="K5519" s="3" t="s">
        <v>223</v>
      </c>
    </row>
    <row r="5520" ht="15.6" spans="4:11">
      <c r="D5520" s="4">
        <v>3496</v>
      </c>
      <c r="E5520" s="4" t="s">
        <v>223</v>
      </c>
      <c r="J5520" s="3" t="s">
        <v>5740</v>
      </c>
      <c r="K5520" s="3" t="s">
        <v>223</v>
      </c>
    </row>
    <row r="5521" ht="15.6" spans="4:11">
      <c r="D5521" s="4">
        <v>3497</v>
      </c>
      <c r="E5521" s="4" t="s">
        <v>223</v>
      </c>
      <c r="J5521" s="3" t="s">
        <v>5741</v>
      </c>
      <c r="K5521" s="3" t="s">
        <v>223</v>
      </c>
    </row>
    <row r="5522" ht="15.6" spans="4:11">
      <c r="D5522" s="4">
        <v>3498</v>
      </c>
      <c r="E5522" s="4" t="s">
        <v>223</v>
      </c>
      <c r="J5522" s="3" t="s">
        <v>5742</v>
      </c>
      <c r="K5522" s="3" t="s">
        <v>223</v>
      </c>
    </row>
    <row r="5523" ht="15.6" spans="4:11">
      <c r="D5523" s="4">
        <v>3499</v>
      </c>
      <c r="E5523" s="4" t="s">
        <v>223</v>
      </c>
      <c r="J5523" s="3" t="s">
        <v>5743</v>
      </c>
      <c r="K5523" s="3" t="s">
        <v>223</v>
      </c>
    </row>
    <row r="5524" ht="15.6" spans="4:11">
      <c r="D5524" s="4">
        <v>3500</v>
      </c>
      <c r="E5524" s="4" t="s">
        <v>223</v>
      </c>
      <c r="J5524" s="3" t="s">
        <v>5744</v>
      </c>
      <c r="K5524" s="3" t="s">
        <v>223</v>
      </c>
    </row>
    <row r="5525" ht="15.6" spans="4:11">
      <c r="D5525" s="4">
        <v>3501</v>
      </c>
      <c r="E5525" s="4" t="s">
        <v>223</v>
      </c>
      <c r="J5525" s="3" t="s">
        <v>5745</v>
      </c>
      <c r="K5525" s="3" t="s">
        <v>223</v>
      </c>
    </row>
    <row r="5526" ht="15.6" spans="4:11">
      <c r="D5526" s="4">
        <v>3502</v>
      </c>
      <c r="E5526" s="4" t="s">
        <v>223</v>
      </c>
      <c r="J5526" s="3" t="s">
        <v>5746</v>
      </c>
      <c r="K5526" s="3" t="s">
        <v>223</v>
      </c>
    </row>
    <row r="5527" ht="15.6" spans="4:11">
      <c r="D5527" s="4">
        <v>3503</v>
      </c>
      <c r="E5527" s="4" t="s">
        <v>223</v>
      </c>
      <c r="J5527" s="3" t="s">
        <v>5747</v>
      </c>
      <c r="K5527" s="3" t="s">
        <v>223</v>
      </c>
    </row>
    <row r="5528" ht="15.6" spans="4:11">
      <c r="D5528" s="4">
        <v>3504</v>
      </c>
      <c r="E5528" s="4" t="s">
        <v>223</v>
      </c>
      <c r="J5528" s="3" t="s">
        <v>5748</v>
      </c>
      <c r="K5528" s="3" t="s">
        <v>223</v>
      </c>
    </row>
    <row r="5529" ht="15.6" spans="4:11">
      <c r="D5529" s="4">
        <v>3505</v>
      </c>
      <c r="E5529" s="4" t="s">
        <v>223</v>
      </c>
      <c r="J5529" s="3" t="s">
        <v>5749</v>
      </c>
      <c r="K5529" s="3" t="s">
        <v>223</v>
      </c>
    </row>
    <row r="5530" ht="15.6" spans="4:11">
      <c r="D5530" s="4">
        <v>3506</v>
      </c>
      <c r="E5530" s="4" t="s">
        <v>223</v>
      </c>
      <c r="J5530" s="3" t="s">
        <v>5750</v>
      </c>
      <c r="K5530" s="3" t="s">
        <v>223</v>
      </c>
    </row>
    <row r="5531" ht="15.6" spans="4:11">
      <c r="D5531" s="4">
        <v>3507</v>
      </c>
      <c r="E5531" s="4" t="s">
        <v>223</v>
      </c>
      <c r="J5531" s="3" t="s">
        <v>5751</v>
      </c>
      <c r="K5531" s="3" t="s">
        <v>223</v>
      </c>
    </row>
    <row r="5532" ht="15.6" spans="4:11">
      <c r="D5532" s="4">
        <v>3508</v>
      </c>
      <c r="E5532" s="4" t="s">
        <v>223</v>
      </c>
      <c r="J5532" s="3" t="s">
        <v>5752</v>
      </c>
      <c r="K5532" s="3" t="s">
        <v>223</v>
      </c>
    </row>
    <row r="5533" ht="15.6" spans="4:11">
      <c r="D5533" s="4">
        <v>3509</v>
      </c>
      <c r="E5533" s="4" t="s">
        <v>223</v>
      </c>
      <c r="J5533" s="3" t="s">
        <v>5753</v>
      </c>
      <c r="K5533" s="3" t="s">
        <v>223</v>
      </c>
    </row>
    <row r="5534" ht="15.6" spans="4:11">
      <c r="D5534" s="4">
        <v>3510</v>
      </c>
      <c r="E5534" s="4" t="s">
        <v>223</v>
      </c>
      <c r="J5534" s="3" t="s">
        <v>5754</v>
      </c>
      <c r="K5534" s="3" t="s">
        <v>223</v>
      </c>
    </row>
    <row r="5535" ht="15.6" spans="4:11">
      <c r="D5535" s="4">
        <v>3511</v>
      </c>
      <c r="E5535" s="4" t="s">
        <v>223</v>
      </c>
      <c r="J5535" s="3" t="s">
        <v>5755</v>
      </c>
      <c r="K5535" s="3" t="s">
        <v>223</v>
      </c>
    </row>
    <row r="5536" ht="15.6" spans="4:11">
      <c r="D5536" s="4">
        <v>3512</v>
      </c>
      <c r="E5536" s="4" t="s">
        <v>223</v>
      </c>
      <c r="J5536" s="3" t="s">
        <v>5756</v>
      </c>
      <c r="K5536" s="3" t="s">
        <v>223</v>
      </c>
    </row>
    <row r="5537" ht="15.6" spans="4:11">
      <c r="D5537" s="4">
        <v>3513</v>
      </c>
      <c r="E5537" s="4" t="s">
        <v>223</v>
      </c>
      <c r="J5537" s="3" t="s">
        <v>5757</v>
      </c>
      <c r="K5537" s="3" t="s">
        <v>223</v>
      </c>
    </row>
    <row r="5538" ht="15.6" spans="4:11">
      <c r="D5538" s="4">
        <v>3514</v>
      </c>
      <c r="E5538" s="4" t="s">
        <v>223</v>
      </c>
      <c r="J5538" s="3" t="s">
        <v>5758</v>
      </c>
      <c r="K5538" s="3" t="s">
        <v>223</v>
      </c>
    </row>
    <row r="5539" ht="15.6" spans="4:11">
      <c r="D5539" s="4">
        <v>3515</v>
      </c>
      <c r="E5539" s="4" t="s">
        <v>223</v>
      </c>
      <c r="J5539" s="3" t="s">
        <v>5759</v>
      </c>
      <c r="K5539" s="3" t="s">
        <v>223</v>
      </c>
    </row>
    <row r="5540" ht="15.6" spans="4:11">
      <c r="D5540" s="4">
        <v>3516</v>
      </c>
      <c r="E5540" s="4" t="s">
        <v>223</v>
      </c>
      <c r="J5540" s="3" t="s">
        <v>5760</v>
      </c>
      <c r="K5540" s="3" t="s">
        <v>223</v>
      </c>
    </row>
    <row r="5541" ht="15.6" spans="4:11">
      <c r="D5541" s="4">
        <v>3517</v>
      </c>
      <c r="E5541" s="4" t="s">
        <v>223</v>
      </c>
      <c r="J5541" s="3" t="s">
        <v>5761</v>
      </c>
      <c r="K5541" s="3" t="s">
        <v>223</v>
      </c>
    </row>
    <row r="5542" ht="15.6" spans="4:11">
      <c r="D5542" s="4">
        <v>3518</v>
      </c>
      <c r="E5542" s="4" t="s">
        <v>223</v>
      </c>
      <c r="J5542" s="3" t="s">
        <v>5762</v>
      </c>
      <c r="K5542" s="3" t="s">
        <v>223</v>
      </c>
    </row>
    <row r="5543" ht="15.6" spans="4:11">
      <c r="D5543" s="4">
        <v>3519</v>
      </c>
      <c r="E5543" s="4" t="s">
        <v>223</v>
      </c>
      <c r="J5543" s="3" t="s">
        <v>5763</v>
      </c>
      <c r="K5543" s="3" t="s">
        <v>223</v>
      </c>
    </row>
    <row r="5544" ht="15.6" spans="4:11">
      <c r="D5544" s="4">
        <v>3520</v>
      </c>
      <c r="E5544" s="4" t="s">
        <v>223</v>
      </c>
      <c r="J5544" s="3" t="s">
        <v>5764</v>
      </c>
      <c r="K5544" s="3" t="s">
        <v>223</v>
      </c>
    </row>
    <row r="5545" ht="15.6" spans="4:11">
      <c r="D5545" s="4">
        <v>3521</v>
      </c>
      <c r="E5545" s="4" t="s">
        <v>223</v>
      </c>
      <c r="J5545" s="3" t="s">
        <v>5765</v>
      </c>
      <c r="K5545" s="3" t="s">
        <v>223</v>
      </c>
    </row>
    <row r="5546" ht="15.6" spans="4:11">
      <c r="D5546" s="4">
        <v>3522</v>
      </c>
      <c r="E5546" s="4" t="s">
        <v>223</v>
      </c>
      <c r="J5546" s="3" t="s">
        <v>5766</v>
      </c>
      <c r="K5546" s="3" t="s">
        <v>223</v>
      </c>
    </row>
    <row r="5547" ht="15.6" spans="4:11">
      <c r="D5547" s="4">
        <v>3523</v>
      </c>
      <c r="E5547" s="4" t="s">
        <v>223</v>
      </c>
      <c r="J5547" s="3" t="s">
        <v>5767</v>
      </c>
      <c r="K5547" s="3" t="s">
        <v>223</v>
      </c>
    </row>
    <row r="5548" ht="15.6" spans="4:11">
      <c r="D5548" s="4">
        <v>3524</v>
      </c>
      <c r="E5548" s="4" t="s">
        <v>223</v>
      </c>
      <c r="J5548" s="3" t="s">
        <v>5768</v>
      </c>
      <c r="K5548" s="3" t="s">
        <v>223</v>
      </c>
    </row>
    <row r="5549" ht="15.6" spans="4:11">
      <c r="D5549" s="4">
        <v>3525</v>
      </c>
      <c r="E5549" s="4" t="s">
        <v>223</v>
      </c>
      <c r="J5549" s="3" t="s">
        <v>5769</v>
      </c>
      <c r="K5549" s="3" t="s">
        <v>223</v>
      </c>
    </row>
    <row r="5550" ht="15.6" spans="4:11">
      <c r="D5550" s="4">
        <v>3526</v>
      </c>
      <c r="E5550" s="4" t="s">
        <v>223</v>
      </c>
      <c r="J5550" s="3" t="s">
        <v>5770</v>
      </c>
      <c r="K5550" s="3" t="s">
        <v>223</v>
      </c>
    </row>
    <row r="5551" ht="15.6" spans="4:11">
      <c r="D5551" s="4">
        <v>3527</v>
      </c>
      <c r="E5551" s="4" t="s">
        <v>223</v>
      </c>
      <c r="J5551" s="3" t="s">
        <v>5771</v>
      </c>
      <c r="K5551" s="3" t="s">
        <v>223</v>
      </c>
    </row>
    <row r="5552" ht="15.6" spans="4:11">
      <c r="D5552" s="4">
        <v>3528</v>
      </c>
      <c r="E5552" s="4" t="s">
        <v>223</v>
      </c>
      <c r="J5552" s="3" t="s">
        <v>5772</v>
      </c>
      <c r="K5552" s="3" t="s">
        <v>223</v>
      </c>
    </row>
    <row r="5553" ht="15.6" spans="4:11">
      <c r="D5553" s="4">
        <v>3529</v>
      </c>
      <c r="E5553" s="4" t="s">
        <v>223</v>
      </c>
      <c r="J5553" s="3" t="s">
        <v>5773</v>
      </c>
      <c r="K5553" s="3" t="s">
        <v>223</v>
      </c>
    </row>
    <row r="5554" ht="15.6" spans="4:11">
      <c r="D5554" s="4">
        <v>3530</v>
      </c>
      <c r="E5554" s="4" t="s">
        <v>223</v>
      </c>
      <c r="J5554" s="3" t="s">
        <v>5774</v>
      </c>
      <c r="K5554" s="3" t="s">
        <v>223</v>
      </c>
    </row>
    <row r="5555" ht="15.6" spans="4:11">
      <c r="D5555" s="4">
        <v>3531</v>
      </c>
      <c r="E5555" s="4" t="s">
        <v>223</v>
      </c>
      <c r="J5555" s="3" t="s">
        <v>5775</v>
      </c>
      <c r="K5555" s="3" t="s">
        <v>223</v>
      </c>
    </row>
    <row r="5556" ht="15.6" spans="4:11">
      <c r="D5556" s="4">
        <v>3532</v>
      </c>
      <c r="E5556" s="4" t="s">
        <v>223</v>
      </c>
      <c r="J5556" s="3" t="s">
        <v>5776</v>
      </c>
      <c r="K5556" s="3" t="s">
        <v>223</v>
      </c>
    </row>
    <row r="5557" ht="15.6" spans="4:11">
      <c r="D5557" s="4">
        <v>3533</v>
      </c>
      <c r="E5557" s="4" t="s">
        <v>223</v>
      </c>
      <c r="J5557" s="3" t="s">
        <v>5777</v>
      </c>
      <c r="K5557" s="3" t="s">
        <v>223</v>
      </c>
    </row>
    <row r="5558" ht="15.6" spans="4:11">
      <c r="D5558" s="4">
        <v>3534</v>
      </c>
      <c r="E5558" s="4" t="s">
        <v>223</v>
      </c>
      <c r="J5558" s="3" t="s">
        <v>5778</v>
      </c>
      <c r="K5558" s="3" t="s">
        <v>223</v>
      </c>
    </row>
    <row r="5559" ht="15.6" spans="4:11">
      <c r="D5559" s="4">
        <v>3535</v>
      </c>
      <c r="E5559" s="4" t="s">
        <v>223</v>
      </c>
      <c r="J5559" s="3" t="s">
        <v>5779</v>
      </c>
      <c r="K5559" s="3" t="s">
        <v>223</v>
      </c>
    </row>
    <row r="5560" ht="15.6" spans="4:11">
      <c r="D5560" s="4">
        <v>3536</v>
      </c>
      <c r="E5560" s="4" t="s">
        <v>223</v>
      </c>
      <c r="J5560" s="3" t="s">
        <v>5780</v>
      </c>
      <c r="K5560" s="3" t="s">
        <v>223</v>
      </c>
    </row>
    <row r="5561" ht="15.6" spans="4:11">
      <c r="D5561" s="4">
        <v>3537</v>
      </c>
      <c r="E5561" s="4" t="s">
        <v>223</v>
      </c>
      <c r="J5561" s="3" t="s">
        <v>5781</v>
      </c>
      <c r="K5561" s="3" t="s">
        <v>223</v>
      </c>
    </row>
    <row r="5562" ht="15.6" spans="4:11">
      <c r="D5562" s="4">
        <v>3538</v>
      </c>
      <c r="E5562" s="4" t="s">
        <v>223</v>
      </c>
      <c r="J5562" s="3" t="s">
        <v>5782</v>
      </c>
      <c r="K5562" s="3" t="s">
        <v>223</v>
      </c>
    </row>
    <row r="5563" ht="15.6" spans="4:11">
      <c r="D5563" s="4">
        <v>3539</v>
      </c>
      <c r="E5563" s="4" t="s">
        <v>223</v>
      </c>
      <c r="J5563" s="3" t="s">
        <v>5783</v>
      </c>
      <c r="K5563" s="3" t="s">
        <v>223</v>
      </c>
    </row>
    <row r="5564" ht="15.6" spans="4:11">
      <c r="D5564" s="4">
        <v>3540</v>
      </c>
      <c r="E5564" s="4" t="s">
        <v>223</v>
      </c>
      <c r="J5564" s="3" t="s">
        <v>5784</v>
      </c>
      <c r="K5564" s="3" t="s">
        <v>223</v>
      </c>
    </row>
    <row r="5565" ht="15.6" spans="4:11">
      <c r="D5565" s="4">
        <v>3541</v>
      </c>
      <c r="E5565" s="4" t="s">
        <v>223</v>
      </c>
      <c r="J5565" s="3" t="s">
        <v>5785</v>
      </c>
      <c r="K5565" s="3" t="s">
        <v>223</v>
      </c>
    </row>
    <row r="5566" ht="15.6" spans="4:11">
      <c r="D5566" s="4">
        <v>3542</v>
      </c>
      <c r="E5566" s="4" t="s">
        <v>223</v>
      </c>
      <c r="J5566" s="3" t="s">
        <v>5786</v>
      </c>
      <c r="K5566" s="3" t="s">
        <v>223</v>
      </c>
    </row>
    <row r="5567" ht="15.6" spans="4:11">
      <c r="D5567" s="4">
        <v>3543</v>
      </c>
      <c r="E5567" s="4" t="s">
        <v>223</v>
      </c>
      <c r="J5567" s="3" t="s">
        <v>5787</v>
      </c>
      <c r="K5567" s="3" t="s">
        <v>223</v>
      </c>
    </row>
    <row r="5568" ht="15.6" spans="4:11">
      <c r="D5568" s="4">
        <v>3544</v>
      </c>
      <c r="E5568" s="4" t="s">
        <v>223</v>
      </c>
      <c r="J5568" s="3" t="s">
        <v>5788</v>
      </c>
      <c r="K5568" s="3" t="s">
        <v>223</v>
      </c>
    </row>
    <row r="5569" ht="15.6" spans="4:11">
      <c r="D5569" s="4">
        <v>3545</v>
      </c>
      <c r="E5569" s="4" t="s">
        <v>223</v>
      </c>
      <c r="J5569" s="3" t="s">
        <v>5789</v>
      </c>
      <c r="K5569" s="3" t="s">
        <v>223</v>
      </c>
    </row>
    <row r="5570" ht="15.6" spans="4:11">
      <c r="D5570" s="4">
        <v>3546</v>
      </c>
      <c r="E5570" s="4" t="s">
        <v>223</v>
      </c>
      <c r="J5570" s="3" t="s">
        <v>5790</v>
      </c>
      <c r="K5570" s="3" t="s">
        <v>223</v>
      </c>
    </row>
    <row r="5571" ht="15.6" spans="4:11">
      <c r="D5571" s="4">
        <v>3547</v>
      </c>
      <c r="E5571" s="4" t="s">
        <v>223</v>
      </c>
      <c r="J5571" s="3" t="s">
        <v>5791</v>
      </c>
      <c r="K5571" s="3" t="s">
        <v>223</v>
      </c>
    </row>
    <row r="5572" ht="15.6" spans="4:11">
      <c r="D5572" s="4">
        <v>3548</v>
      </c>
      <c r="E5572" s="4" t="s">
        <v>223</v>
      </c>
      <c r="J5572" s="3" t="s">
        <v>5792</v>
      </c>
      <c r="K5572" s="3" t="s">
        <v>223</v>
      </c>
    </row>
    <row r="5573" ht="15.6" spans="4:11">
      <c r="D5573" s="4">
        <v>3549</v>
      </c>
      <c r="E5573" s="4" t="s">
        <v>223</v>
      </c>
      <c r="J5573" s="3" t="s">
        <v>5793</v>
      </c>
      <c r="K5573" s="3" t="s">
        <v>223</v>
      </c>
    </row>
    <row r="5574" ht="15.6" spans="4:11">
      <c r="D5574" s="4">
        <v>3550</v>
      </c>
      <c r="E5574" s="4" t="s">
        <v>223</v>
      </c>
      <c r="J5574" s="3" t="s">
        <v>5794</v>
      </c>
      <c r="K5574" s="3" t="s">
        <v>223</v>
      </c>
    </row>
    <row r="5575" ht="15.6" spans="4:11">
      <c r="D5575" s="4">
        <v>3551</v>
      </c>
      <c r="E5575" s="4" t="s">
        <v>223</v>
      </c>
      <c r="J5575" s="3" t="s">
        <v>5795</v>
      </c>
      <c r="K5575" s="3" t="s">
        <v>223</v>
      </c>
    </row>
    <row r="5576" ht="15.6" spans="4:11">
      <c r="D5576" s="4">
        <v>3552</v>
      </c>
      <c r="E5576" s="4" t="s">
        <v>223</v>
      </c>
      <c r="J5576" s="3" t="s">
        <v>5796</v>
      </c>
      <c r="K5576" s="3" t="s">
        <v>223</v>
      </c>
    </row>
    <row r="5577" ht="15.6" spans="4:11">
      <c r="D5577" s="4">
        <v>3553</v>
      </c>
      <c r="E5577" s="4" t="s">
        <v>223</v>
      </c>
      <c r="J5577" s="3" t="s">
        <v>5797</v>
      </c>
      <c r="K5577" s="3" t="s">
        <v>223</v>
      </c>
    </row>
    <row r="5578" ht="15.6" spans="4:11">
      <c r="D5578" s="4">
        <v>3554</v>
      </c>
      <c r="E5578" s="4" t="s">
        <v>223</v>
      </c>
      <c r="J5578" s="3" t="s">
        <v>5798</v>
      </c>
      <c r="K5578" s="3" t="s">
        <v>223</v>
      </c>
    </row>
    <row r="5579" ht="15.6" spans="4:11">
      <c r="D5579" s="4">
        <v>3555</v>
      </c>
      <c r="E5579" s="4" t="s">
        <v>223</v>
      </c>
      <c r="J5579" s="3" t="s">
        <v>5799</v>
      </c>
      <c r="K5579" s="3" t="s">
        <v>223</v>
      </c>
    </row>
    <row r="5580" ht="15.6" spans="4:11">
      <c r="D5580" s="4">
        <v>3556</v>
      </c>
      <c r="E5580" s="4" t="s">
        <v>223</v>
      </c>
      <c r="J5580" s="3" t="s">
        <v>5800</v>
      </c>
      <c r="K5580" s="3" t="s">
        <v>223</v>
      </c>
    </row>
    <row r="5581" ht="15.6" spans="4:11">
      <c r="D5581" s="4">
        <v>3557</v>
      </c>
      <c r="E5581" s="4" t="s">
        <v>223</v>
      </c>
      <c r="J5581" s="3" t="s">
        <v>5801</v>
      </c>
      <c r="K5581" s="3" t="s">
        <v>223</v>
      </c>
    </row>
    <row r="5582" ht="15.6" spans="4:11">
      <c r="D5582" s="4">
        <v>3558</v>
      </c>
      <c r="E5582" s="4" t="s">
        <v>223</v>
      </c>
      <c r="J5582" s="3" t="s">
        <v>5802</v>
      </c>
      <c r="K5582" s="3" t="s">
        <v>223</v>
      </c>
    </row>
    <row r="5583" ht="15.6" spans="4:11">
      <c r="D5583" s="4">
        <v>3559</v>
      </c>
      <c r="E5583" s="4" t="s">
        <v>223</v>
      </c>
      <c r="J5583" s="3" t="s">
        <v>5803</v>
      </c>
      <c r="K5583" s="3" t="s">
        <v>223</v>
      </c>
    </row>
    <row r="5584" ht="15.6" spans="4:11">
      <c r="D5584" s="4">
        <v>3560</v>
      </c>
      <c r="E5584" s="4" t="s">
        <v>223</v>
      </c>
      <c r="J5584" s="3" t="s">
        <v>5804</v>
      </c>
      <c r="K5584" s="3" t="s">
        <v>223</v>
      </c>
    </row>
    <row r="5585" ht="15.6" spans="4:11">
      <c r="D5585" s="4">
        <v>3561</v>
      </c>
      <c r="E5585" s="4" t="s">
        <v>223</v>
      </c>
      <c r="J5585" s="3" t="s">
        <v>5805</v>
      </c>
      <c r="K5585" s="3" t="s">
        <v>223</v>
      </c>
    </row>
    <row r="5586" ht="15.6" spans="4:11">
      <c r="D5586" s="4">
        <v>3562</v>
      </c>
      <c r="E5586" s="4" t="s">
        <v>223</v>
      </c>
      <c r="J5586" s="3" t="s">
        <v>5806</v>
      </c>
      <c r="K5586" s="3" t="s">
        <v>223</v>
      </c>
    </row>
    <row r="5587" ht="15.6" spans="4:11">
      <c r="D5587" s="4">
        <v>3563</v>
      </c>
      <c r="E5587" s="4" t="s">
        <v>223</v>
      </c>
      <c r="J5587" s="3" t="s">
        <v>5807</v>
      </c>
      <c r="K5587" s="3" t="s">
        <v>223</v>
      </c>
    </row>
    <row r="5588" ht="15.6" spans="4:11">
      <c r="D5588" s="4">
        <v>3564</v>
      </c>
      <c r="E5588" s="4" t="s">
        <v>223</v>
      </c>
      <c r="J5588" s="3" t="s">
        <v>5808</v>
      </c>
      <c r="K5588" s="3" t="s">
        <v>223</v>
      </c>
    </row>
    <row r="5589" ht="15.6" spans="4:11">
      <c r="D5589" s="4">
        <v>3565</v>
      </c>
      <c r="E5589" s="4" t="s">
        <v>223</v>
      </c>
      <c r="J5589" s="3" t="s">
        <v>5809</v>
      </c>
      <c r="K5589" s="3" t="s">
        <v>223</v>
      </c>
    </row>
    <row r="5590" ht="15.6" spans="4:11">
      <c r="D5590" s="4">
        <v>3566</v>
      </c>
      <c r="E5590" s="4" t="s">
        <v>223</v>
      </c>
      <c r="J5590" s="3" t="s">
        <v>5810</v>
      </c>
      <c r="K5590" s="3" t="s">
        <v>223</v>
      </c>
    </row>
    <row r="5591" ht="15.6" spans="4:11">
      <c r="D5591" s="4">
        <v>3567</v>
      </c>
      <c r="E5591" s="4" t="s">
        <v>223</v>
      </c>
      <c r="J5591" s="3" t="s">
        <v>5811</v>
      </c>
      <c r="K5591" s="3" t="s">
        <v>223</v>
      </c>
    </row>
    <row r="5592" ht="15.6" spans="4:11">
      <c r="D5592" s="4">
        <v>3568</v>
      </c>
      <c r="E5592" s="4" t="s">
        <v>223</v>
      </c>
      <c r="J5592" s="3" t="s">
        <v>5812</v>
      </c>
      <c r="K5592" s="3" t="s">
        <v>223</v>
      </c>
    </row>
    <row r="5593" ht="15.6" spans="4:11">
      <c r="D5593" s="4">
        <v>3569</v>
      </c>
      <c r="E5593" s="4" t="s">
        <v>223</v>
      </c>
      <c r="J5593" s="3" t="s">
        <v>5813</v>
      </c>
      <c r="K5593" s="3" t="s">
        <v>223</v>
      </c>
    </row>
    <row r="5594" ht="15.6" spans="4:11">
      <c r="D5594" s="4">
        <v>3570</v>
      </c>
      <c r="E5594" s="4" t="s">
        <v>223</v>
      </c>
      <c r="J5594" s="3" t="s">
        <v>5814</v>
      </c>
      <c r="K5594" s="3" t="s">
        <v>223</v>
      </c>
    </row>
    <row r="5595" ht="15.6" spans="4:11">
      <c r="D5595" s="4">
        <v>3571</v>
      </c>
      <c r="E5595" s="4" t="s">
        <v>223</v>
      </c>
      <c r="J5595" s="3" t="s">
        <v>5815</v>
      </c>
      <c r="K5595" s="3" t="s">
        <v>223</v>
      </c>
    </row>
    <row r="5596" ht="15.6" spans="4:11">
      <c r="D5596" s="4">
        <v>3572</v>
      </c>
      <c r="E5596" s="4" t="s">
        <v>223</v>
      </c>
      <c r="J5596" s="3" t="s">
        <v>5816</v>
      </c>
      <c r="K5596" s="3" t="s">
        <v>223</v>
      </c>
    </row>
    <row r="5597" ht="15.6" spans="4:11">
      <c r="D5597" s="4">
        <v>3573</v>
      </c>
      <c r="E5597" s="4" t="s">
        <v>223</v>
      </c>
      <c r="J5597" s="3" t="s">
        <v>5817</v>
      </c>
      <c r="K5597" s="3" t="s">
        <v>223</v>
      </c>
    </row>
    <row r="5598" ht="15.6" spans="4:11">
      <c r="D5598" s="4">
        <v>3574</v>
      </c>
      <c r="E5598" s="4" t="s">
        <v>223</v>
      </c>
      <c r="J5598" s="3" t="s">
        <v>5818</v>
      </c>
      <c r="K5598" s="3" t="s">
        <v>223</v>
      </c>
    </row>
    <row r="5599" ht="15.6" spans="4:11">
      <c r="D5599" s="4">
        <v>3575</v>
      </c>
      <c r="E5599" s="4" t="s">
        <v>223</v>
      </c>
      <c r="J5599" s="3" t="s">
        <v>5819</v>
      </c>
      <c r="K5599" s="3" t="s">
        <v>223</v>
      </c>
    </row>
    <row r="5600" ht="15.6" spans="4:11">
      <c r="D5600" s="4">
        <v>3576</v>
      </c>
      <c r="E5600" s="4" t="s">
        <v>223</v>
      </c>
      <c r="J5600" s="3" t="s">
        <v>5820</v>
      </c>
      <c r="K5600" s="3" t="s">
        <v>223</v>
      </c>
    </row>
    <row r="5601" ht="15.6" spans="4:11">
      <c r="D5601" s="4">
        <v>3577</v>
      </c>
      <c r="E5601" s="4" t="s">
        <v>223</v>
      </c>
      <c r="J5601" s="3" t="s">
        <v>5821</v>
      </c>
      <c r="K5601" s="3" t="s">
        <v>223</v>
      </c>
    </row>
    <row r="5602" ht="15.6" spans="4:11">
      <c r="D5602" s="4">
        <v>3578</v>
      </c>
      <c r="E5602" s="4" t="s">
        <v>223</v>
      </c>
      <c r="J5602" s="3" t="s">
        <v>5822</v>
      </c>
      <c r="K5602" s="3" t="s">
        <v>223</v>
      </c>
    </row>
    <row r="5603" ht="15.6" spans="4:11">
      <c r="D5603" s="4">
        <v>3579</v>
      </c>
      <c r="E5603" s="4" t="s">
        <v>223</v>
      </c>
      <c r="J5603" s="3" t="s">
        <v>5823</v>
      </c>
      <c r="K5603" s="3" t="s">
        <v>223</v>
      </c>
    </row>
    <row r="5604" ht="15.6" spans="4:11">
      <c r="D5604" s="4">
        <v>3580</v>
      </c>
      <c r="E5604" s="4" t="s">
        <v>223</v>
      </c>
      <c r="J5604" s="3" t="s">
        <v>5824</v>
      </c>
      <c r="K5604" s="3" t="s">
        <v>223</v>
      </c>
    </row>
    <row r="5605" ht="15.6" spans="4:11">
      <c r="D5605" s="4">
        <v>3581</v>
      </c>
      <c r="E5605" s="4" t="s">
        <v>223</v>
      </c>
      <c r="J5605" s="3" t="s">
        <v>5825</v>
      </c>
      <c r="K5605" s="3" t="s">
        <v>223</v>
      </c>
    </row>
    <row r="5606" ht="15.6" spans="4:11">
      <c r="D5606" s="4">
        <v>3582</v>
      </c>
      <c r="E5606" s="4" t="s">
        <v>223</v>
      </c>
      <c r="J5606" s="3" t="s">
        <v>5826</v>
      </c>
      <c r="K5606" s="3" t="s">
        <v>223</v>
      </c>
    </row>
    <row r="5607" ht="15.6" spans="4:11">
      <c r="D5607" s="4">
        <v>3583</v>
      </c>
      <c r="E5607" s="4" t="s">
        <v>223</v>
      </c>
      <c r="J5607" s="3" t="s">
        <v>5827</v>
      </c>
      <c r="K5607" s="3" t="s">
        <v>223</v>
      </c>
    </row>
    <row r="5608" ht="15.6" spans="4:11">
      <c r="D5608" s="4">
        <v>3584</v>
      </c>
      <c r="E5608" s="4" t="s">
        <v>223</v>
      </c>
      <c r="J5608" s="3" t="s">
        <v>5828</v>
      </c>
      <c r="K5608" s="3" t="s">
        <v>223</v>
      </c>
    </row>
    <row r="5609" ht="15.6" spans="4:11">
      <c r="D5609" s="4">
        <v>3585</v>
      </c>
      <c r="E5609" s="4" t="s">
        <v>223</v>
      </c>
      <c r="J5609" s="3" t="s">
        <v>5829</v>
      </c>
      <c r="K5609" s="3" t="s">
        <v>223</v>
      </c>
    </row>
    <row r="5610" ht="15.6" spans="4:11">
      <c r="D5610" s="4">
        <v>3586</v>
      </c>
      <c r="E5610" s="4" t="s">
        <v>223</v>
      </c>
      <c r="J5610" s="3" t="s">
        <v>5830</v>
      </c>
      <c r="K5610" s="3" t="s">
        <v>223</v>
      </c>
    </row>
    <row r="5611" ht="15.6" spans="4:11">
      <c r="D5611" s="4">
        <v>3587</v>
      </c>
      <c r="E5611" s="4" t="s">
        <v>223</v>
      </c>
      <c r="J5611" s="3" t="s">
        <v>5831</v>
      </c>
      <c r="K5611" s="3" t="s">
        <v>223</v>
      </c>
    </row>
    <row r="5612" ht="15.6" spans="4:11">
      <c r="D5612" s="4">
        <v>3588</v>
      </c>
      <c r="E5612" s="4" t="s">
        <v>223</v>
      </c>
      <c r="J5612" s="3" t="s">
        <v>5832</v>
      </c>
      <c r="K5612" s="3" t="s">
        <v>223</v>
      </c>
    </row>
    <row r="5613" ht="15.6" spans="4:11">
      <c r="D5613" s="4">
        <v>3589</v>
      </c>
      <c r="E5613" s="4" t="s">
        <v>223</v>
      </c>
      <c r="J5613" s="3" t="s">
        <v>5833</v>
      </c>
      <c r="K5613" s="3" t="s">
        <v>223</v>
      </c>
    </row>
    <row r="5614" ht="15.6" spans="4:11">
      <c r="D5614" s="4">
        <v>3590</v>
      </c>
      <c r="E5614" s="4" t="s">
        <v>223</v>
      </c>
      <c r="J5614" s="3" t="s">
        <v>5834</v>
      </c>
      <c r="K5614" s="3" t="s">
        <v>223</v>
      </c>
    </row>
    <row r="5615" ht="15.6" spans="4:11">
      <c r="D5615" s="4">
        <v>3591</v>
      </c>
      <c r="E5615" s="4" t="s">
        <v>223</v>
      </c>
      <c r="J5615" s="3" t="s">
        <v>5835</v>
      </c>
      <c r="K5615" s="3" t="s">
        <v>223</v>
      </c>
    </row>
    <row r="5616" ht="15.6" spans="4:11">
      <c r="D5616" s="4">
        <v>3592</v>
      </c>
      <c r="E5616" s="4" t="s">
        <v>223</v>
      </c>
      <c r="J5616" s="3" t="s">
        <v>5836</v>
      </c>
      <c r="K5616" s="3" t="s">
        <v>223</v>
      </c>
    </row>
    <row r="5617" ht="15.6" spans="4:11">
      <c r="D5617" s="4">
        <v>3593</v>
      </c>
      <c r="E5617" s="4" t="s">
        <v>223</v>
      </c>
      <c r="J5617" s="3" t="s">
        <v>5837</v>
      </c>
      <c r="K5617" s="3" t="s">
        <v>223</v>
      </c>
    </row>
    <row r="5618" ht="15.6" spans="4:11">
      <c r="D5618" s="4">
        <v>3594</v>
      </c>
      <c r="E5618" s="4" t="s">
        <v>223</v>
      </c>
      <c r="J5618" s="3" t="s">
        <v>5838</v>
      </c>
      <c r="K5618" s="3" t="s">
        <v>223</v>
      </c>
    </row>
    <row r="5619" ht="15.6" spans="4:11">
      <c r="D5619" s="4">
        <v>3595</v>
      </c>
      <c r="E5619" s="4" t="s">
        <v>223</v>
      </c>
      <c r="J5619" s="3" t="s">
        <v>5839</v>
      </c>
      <c r="K5619" s="3" t="s">
        <v>223</v>
      </c>
    </row>
    <row r="5620" ht="15.6" spans="4:11">
      <c r="D5620" s="4">
        <v>3596</v>
      </c>
      <c r="E5620" s="4" t="s">
        <v>223</v>
      </c>
      <c r="J5620" s="3" t="s">
        <v>5840</v>
      </c>
      <c r="K5620" s="3" t="s">
        <v>223</v>
      </c>
    </row>
    <row r="5621" ht="15.6" spans="4:11">
      <c r="D5621" s="4">
        <v>3597</v>
      </c>
      <c r="E5621" s="4" t="s">
        <v>223</v>
      </c>
      <c r="J5621" s="3" t="s">
        <v>5841</v>
      </c>
      <c r="K5621" s="3" t="s">
        <v>223</v>
      </c>
    </row>
    <row r="5622" ht="15.6" spans="4:11">
      <c r="D5622" s="4">
        <v>3598</v>
      </c>
      <c r="E5622" s="4" t="s">
        <v>223</v>
      </c>
      <c r="J5622" s="3" t="s">
        <v>5842</v>
      </c>
      <c r="K5622" s="3" t="s">
        <v>223</v>
      </c>
    </row>
    <row r="5623" ht="15.6" spans="4:11">
      <c r="D5623" s="4">
        <v>3599</v>
      </c>
      <c r="E5623" s="4" t="s">
        <v>223</v>
      </c>
      <c r="J5623" s="3" t="s">
        <v>5843</v>
      </c>
      <c r="K5623" s="3" t="s">
        <v>223</v>
      </c>
    </row>
    <row r="5624" ht="15.6" spans="4:11">
      <c r="D5624" s="4">
        <v>3600</v>
      </c>
      <c r="E5624" s="4" t="s">
        <v>223</v>
      </c>
      <c r="J5624" s="3" t="s">
        <v>5844</v>
      </c>
      <c r="K5624" s="3" t="s">
        <v>223</v>
      </c>
    </row>
    <row r="5625" ht="15.6" spans="4:11">
      <c r="D5625" s="4">
        <v>3601</v>
      </c>
      <c r="E5625" s="4" t="s">
        <v>223</v>
      </c>
      <c r="J5625" s="3" t="s">
        <v>5845</v>
      </c>
      <c r="K5625" s="3" t="s">
        <v>223</v>
      </c>
    </row>
    <row r="5626" ht="15.6" spans="4:11">
      <c r="D5626" s="4">
        <v>3602</v>
      </c>
      <c r="E5626" s="4" t="s">
        <v>223</v>
      </c>
      <c r="J5626" s="3" t="s">
        <v>5846</v>
      </c>
      <c r="K5626" s="3" t="s">
        <v>223</v>
      </c>
    </row>
    <row r="5627" ht="15.6" spans="4:11">
      <c r="D5627" s="4">
        <v>3603</v>
      </c>
      <c r="E5627" s="4" t="s">
        <v>223</v>
      </c>
      <c r="J5627" s="3" t="s">
        <v>5847</v>
      </c>
      <c r="K5627" s="3" t="s">
        <v>223</v>
      </c>
    </row>
    <row r="5628" ht="15.6" spans="4:11">
      <c r="D5628" s="4">
        <v>3604</v>
      </c>
      <c r="E5628" s="4" t="s">
        <v>223</v>
      </c>
      <c r="J5628" s="3" t="s">
        <v>5848</v>
      </c>
      <c r="K5628" s="3" t="s">
        <v>223</v>
      </c>
    </row>
    <row r="5629" ht="15.6" spans="4:11">
      <c r="D5629" s="4">
        <v>3605</v>
      </c>
      <c r="E5629" s="4" t="s">
        <v>223</v>
      </c>
      <c r="J5629" s="3" t="s">
        <v>5849</v>
      </c>
      <c r="K5629" s="3" t="s">
        <v>223</v>
      </c>
    </row>
    <row r="5630" ht="15.6" spans="4:11">
      <c r="D5630" s="4">
        <v>3606</v>
      </c>
      <c r="E5630" s="4" t="s">
        <v>223</v>
      </c>
      <c r="J5630" s="3" t="s">
        <v>5850</v>
      </c>
      <c r="K5630" s="3" t="s">
        <v>223</v>
      </c>
    </row>
    <row r="5631" ht="15.6" spans="4:11">
      <c r="D5631" s="4">
        <v>3607</v>
      </c>
      <c r="E5631" s="4" t="s">
        <v>223</v>
      </c>
      <c r="J5631" s="3" t="s">
        <v>5851</v>
      </c>
      <c r="K5631" s="3" t="s">
        <v>223</v>
      </c>
    </row>
    <row r="5632" ht="15.6" spans="4:11">
      <c r="D5632" s="4">
        <v>3608</v>
      </c>
      <c r="E5632" s="4" t="s">
        <v>223</v>
      </c>
      <c r="J5632" s="3" t="s">
        <v>5852</v>
      </c>
      <c r="K5632" s="3" t="s">
        <v>223</v>
      </c>
    </row>
    <row r="5633" ht="15.6" spans="4:11">
      <c r="D5633" s="4">
        <v>3609</v>
      </c>
      <c r="E5633" s="4" t="s">
        <v>223</v>
      </c>
      <c r="J5633" s="3" t="s">
        <v>5853</v>
      </c>
      <c r="K5633" s="3" t="s">
        <v>223</v>
      </c>
    </row>
    <row r="5634" ht="15.6" spans="4:11">
      <c r="D5634" s="4">
        <v>3610</v>
      </c>
      <c r="E5634" s="4" t="s">
        <v>223</v>
      </c>
      <c r="J5634" s="3" t="s">
        <v>5854</v>
      </c>
      <c r="K5634" s="3" t="s">
        <v>223</v>
      </c>
    </row>
    <row r="5635" ht="15.6" spans="4:11">
      <c r="D5635" s="4">
        <v>3611</v>
      </c>
      <c r="E5635" s="4" t="s">
        <v>223</v>
      </c>
      <c r="J5635" s="3" t="s">
        <v>5855</v>
      </c>
      <c r="K5635" s="3" t="s">
        <v>223</v>
      </c>
    </row>
    <row r="5636" ht="15.6" spans="4:11">
      <c r="D5636" s="4">
        <v>3612</v>
      </c>
      <c r="E5636" s="4" t="s">
        <v>223</v>
      </c>
      <c r="J5636" s="3" t="s">
        <v>5856</v>
      </c>
      <c r="K5636" s="3" t="s">
        <v>223</v>
      </c>
    </row>
    <row r="5637" ht="15.6" spans="4:11">
      <c r="D5637" s="4">
        <v>3613</v>
      </c>
      <c r="E5637" s="4" t="s">
        <v>223</v>
      </c>
      <c r="J5637" s="3" t="s">
        <v>5857</v>
      </c>
      <c r="K5637" s="3" t="s">
        <v>223</v>
      </c>
    </row>
    <row r="5638" ht="15.6" spans="4:11">
      <c r="D5638" s="4">
        <v>3614</v>
      </c>
      <c r="E5638" s="4" t="s">
        <v>223</v>
      </c>
      <c r="J5638" s="3" t="s">
        <v>5858</v>
      </c>
      <c r="K5638" s="3" t="s">
        <v>223</v>
      </c>
    </row>
    <row r="5639" ht="15.6" spans="4:11">
      <c r="D5639" s="4">
        <v>3615</v>
      </c>
      <c r="E5639" s="4" t="s">
        <v>223</v>
      </c>
      <c r="J5639" s="3" t="s">
        <v>5859</v>
      </c>
      <c r="K5639" s="3" t="s">
        <v>223</v>
      </c>
    </row>
    <row r="5640" ht="15.6" spans="4:11">
      <c r="D5640" s="4">
        <v>3616</v>
      </c>
      <c r="E5640" s="4" t="s">
        <v>223</v>
      </c>
      <c r="J5640" s="3" t="s">
        <v>5860</v>
      </c>
      <c r="K5640" s="3" t="s">
        <v>223</v>
      </c>
    </row>
    <row r="5641" ht="15.6" spans="4:11">
      <c r="D5641" s="4">
        <v>3617</v>
      </c>
      <c r="E5641" s="4" t="s">
        <v>223</v>
      </c>
      <c r="J5641" s="3" t="s">
        <v>5861</v>
      </c>
      <c r="K5641" s="3" t="s">
        <v>223</v>
      </c>
    </row>
    <row r="5642" ht="15.6" spans="4:11">
      <c r="D5642" s="4">
        <v>3618</v>
      </c>
      <c r="E5642" s="4" t="s">
        <v>223</v>
      </c>
      <c r="J5642" s="3" t="s">
        <v>5862</v>
      </c>
      <c r="K5642" s="3" t="s">
        <v>223</v>
      </c>
    </row>
    <row r="5643" ht="15.6" spans="4:11">
      <c r="D5643" s="4">
        <v>3619</v>
      </c>
      <c r="E5643" s="4" t="s">
        <v>223</v>
      </c>
      <c r="J5643" s="3" t="s">
        <v>5863</v>
      </c>
      <c r="K5643" s="3" t="s">
        <v>223</v>
      </c>
    </row>
    <row r="5644" ht="15.6" spans="4:11">
      <c r="D5644" s="4">
        <v>3620</v>
      </c>
      <c r="E5644" s="4" t="s">
        <v>223</v>
      </c>
      <c r="J5644" s="3" t="s">
        <v>5864</v>
      </c>
      <c r="K5644" s="3" t="s">
        <v>223</v>
      </c>
    </row>
    <row r="5645" ht="15.6" spans="4:11">
      <c r="D5645" s="4">
        <v>3621</v>
      </c>
      <c r="E5645" s="4" t="s">
        <v>223</v>
      </c>
      <c r="J5645" s="3" t="s">
        <v>5865</v>
      </c>
      <c r="K5645" s="3" t="s">
        <v>223</v>
      </c>
    </row>
    <row r="5646" ht="15.6" spans="4:11">
      <c r="D5646" s="4">
        <v>3622</v>
      </c>
      <c r="E5646" s="4" t="s">
        <v>223</v>
      </c>
      <c r="J5646" s="3" t="s">
        <v>5866</v>
      </c>
      <c r="K5646" s="3" t="s">
        <v>223</v>
      </c>
    </row>
    <row r="5647" ht="15.6" spans="4:11">
      <c r="D5647" s="4">
        <v>3623</v>
      </c>
      <c r="E5647" s="4" t="s">
        <v>223</v>
      </c>
      <c r="J5647" s="3" t="s">
        <v>5867</v>
      </c>
      <c r="K5647" s="3" t="s">
        <v>223</v>
      </c>
    </row>
    <row r="5648" ht="15.6" spans="4:11">
      <c r="D5648" s="4">
        <v>3624</v>
      </c>
      <c r="E5648" s="4" t="s">
        <v>223</v>
      </c>
      <c r="J5648" s="3" t="s">
        <v>5868</v>
      </c>
      <c r="K5648" s="3" t="s">
        <v>223</v>
      </c>
    </row>
    <row r="5649" ht="15.6" spans="4:11">
      <c r="D5649" s="4">
        <v>3625</v>
      </c>
      <c r="E5649" s="4" t="s">
        <v>223</v>
      </c>
      <c r="J5649" s="3" t="s">
        <v>5869</v>
      </c>
      <c r="K5649" s="3" t="s">
        <v>223</v>
      </c>
    </row>
    <row r="5650" ht="15.6" spans="4:11">
      <c r="D5650" s="4">
        <v>3626</v>
      </c>
      <c r="E5650" s="4" t="s">
        <v>223</v>
      </c>
      <c r="J5650" s="3" t="s">
        <v>5870</v>
      </c>
      <c r="K5650" s="3" t="s">
        <v>223</v>
      </c>
    </row>
    <row r="5651" ht="15.6" spans="4:11">
      <c r="D5651" s="4">
        <v>3627</v>
      </c>
      <c r="E5651" s="4" t="s">
        <v>223</v>
      </c>
      <c r="J5651" s="3" t="s">
        <v>5871</v>
      </c>
      <c r="K5651" s="3" t="s">
        <v>223</v>
      </c>
    </row>
    <row r="5652" ht="15.6" spans="4:11">
      <c r="D5652" s="4">
        <v>3628</v>
      </c>
      <c r="E5652" s="4" t="s">
        <v>223</v>
      </c>
      <c r="J5652" s="3" t="s">
        <v>5872</v>
      </c>
      <c r="K5652" s="3" t="s">
        <v>223</v>
      </c>
    </row>
    <row r="5653" ht="15.6" spans="4:11">
      <c r="D5653" s="4">
        <v>3629</v>
      </c>
      <c r="E5653" s="4" t="s">
        <v>223</v>
      </c>
      <c r="J5653" s="3" t="s">
        <v>5873</v>
      </c>
      <c r="K5653" s="3" t="s">
        <v>223</v>
      </c>
    </row>
    <row r="5654" ht="15.6" spans="4:11">
      <c r="D5654" s="4">
        <v>3630</v>
      </c>
      <c r="E5654" s="4" t="s">
        <v>223</v>
      </c>
      <c r="J5654" s="3" t="s">
        <v>5874</v>
      </c>
      <c r="K5654" s="3" t="s">
        <v>223</v>
      </c>
    </row>
    <row r="5655" ht="15.6" spans="4:11">
      <c r="D5655" s="4">
        <v>3631</v>
      </c>
      <c r="E5655" s="4" t="s">
        <v>223</v>
      </c>
      <c r="J5655" s="3" t="s">
        <v>5875</v>
      </c>
      <c r="K5655" s="3" t="s">
        <v>223</v>
      </c>
    </row>
    <row r="5656" ht="15.6" spans="4:11">
      <c r="D5656" s="4">
        <v>3632</v>
      </c>
      <c r="E5656" s="4" t="s">
        <v>223</v>
      </c>
      <c r="J5656" s="3" t="s">
        <v>5876</v>
      </c>
      <c r="K5656" s="3" t="s">
        <v>223</v>
      </c>
    </row>
    <row r="5657" ht="15.6" spans="4:11">
      <c r="D5657" s="4">
        <v>3633</v>
      </c>
      <c r="E5657" s="4" t="s">
        <v>223</v>
      </c>
      <c r="J5657" s="3" t="s">
        <v>5877</v>
      </c>
      <c r="K5657" s="3" t="s">
        <v>223</v>
      </c>
    </row>
    <row r="5658" ht="15.6" spans="4:11">
      <c r="D5658" s="4">
        <v>3634</v>
      </c>
      <c r="E5658" s="4" t="s">
        <v>223</v>
      </c>
      <c r="J5658" s="3" t="s">
        <v>5878</v>
      </c>
      <c r="K5658" s="3" t="s">
        <v>223</v>
      </c>
    </row>
    <row r="5659" ht="15.6" spans="4:11">
      <c r="D5659" s="4">
        <v>3635</v>
      </c>
      <c r="E5659" s="4" t="s">
        <v>223</v>
      </c>
      <c r="J5659" s="3" t="s">
        <v>5879</v>
      </c>
      <c r="K5659" s="3" t="s">
        <v>223</v>
      </c>
    </row>
    <row r="5660" ht="15.6" spans="4:11">
      <c r="D5660" s="4">
        <v>3636</v>
      </c>
      <c r="E5660" s="4" t="s">
        <v>223</v>
      </c>
      <c r="J5660" s="3" t="s">
        <v>5880</v>
      </c>
      <c r="K5660" s="3" t="s">
        <v>223</v>
      </c>
    </row>
    <row r="5661" ht="15.6" spans="4:11">
      <c r="D5661" s="4">
        <v>3637</v>
      </c>
      <c r="E5661" s="4" t="s">
        <v>223</v>
      </c>
      <c r="J5661" s="3" t="s">
        <v>5881</v>
      </c>
      <c r="K5661" s="3" t="s">
        <v>223</v>
      </c>
    </row>
    <row r="5662" ht="15.6" spans="4:11">
      <c r="D5662" s="4">
        <v>3638</v>
      </c>
      <c r="E5662" s="4" t="s">
        <v>223</v>
      </c>
      <c r="J5662" s="3" t="s">
        <v>5882</v>
      </c>
      <c r="K5662" s="3" t="s">
        <v>223</v>
      </c>
    </row>
    <row r="5663" ht="15.6" spans="4:11">
      <c r="D5663" s="4">
        <v>3639</v>
      </c>
      <c r="E5663" s="4" t="s">
        <v>223</v>
      </c>
      <c r="J5663" s="3" t="s">
        <v>5883</v>
      </c>
      <c r="K5663" s="3" t="s">
        <v>223</v>
      </c>
    </row>
    <row r="5664" ht="15.6" spans="4:11">
      <c r="D5664" s="4">
        <v>3640</v>
      </c>
      <c r="E5664" s="4" t="s">
        <v>223</v>
      </c>
      <c r="J5664" s="3" t="s">
        <v>5884</v>
      </c>
      <c r="K5664" s="3" t="s">
        <v>223</v>
      </c>
    </row>
    <row r="5665" ht="15.6" spans="4:11">
      <c r="D5665" s="4">
        <v>3641</v>
      </c>
      <c r="E5665" s="4" t="s">
        <v>223</v>
      </c>
      <c r="J5665" s="3" t="s">
        <v>5885</v>
      </c>
      <c r="K5665" s="3" t="s">
        <v>223</v>
      </c>
    </row>
    <row r="5666" ht="15.6" spans="4:11">
      <c r="D5666" s="4">
        <v>3642</v>
      </c>
      <c r="E5666" s="4" t="s">
        <v>223</v>
      </c>
      <c r="J5666" s="3" t="s">
        <v>5886</v>
      </c>
      <c r="K5666" s="3" t="s">
        <v>223</v>
      </c>
    </row>
    <row r="5667" ht="15.6" spans="4:11">
      <c r="D5667" s="4">
        <v>3643</v>
      </c>
      <c r="E5667" s="4" t="s">
        <v>223</v>
      </c>
      <c r="J5667" s="3" t="s">
        <v>5887</v>
      </c>
      <c r="K5667" s="3" t="s">
        <v>223</v>
      </c>
    </row>
    <row r="5668" ht="15.6" spans="4:11">
      <c r="D5668" s="4">
        <v>3644</v>
      </c>
      <c r="E5668" s="4" t="s">
        <v>223</v>
      </c>
      <c r="J5668" s="3" t="s">
        <v>5888</v>
      </c>
      <c r="K5668" s="3" t="s">
        <v>223</v>
      </c>
    </row>
    <row r="5669" ht="15.6" spans="4:11">
      <c r="D5669" s="4">
        <v>3645</v>
      </c>
      <c r="E5669" s="4" t="s">
        <v>223</v>
      </c>
      <c r="J5669" s="3" t="s">
        <v>5889</v>
      </c>
      <c r="K5669" s="3" t="s">
        <v>223</v>
      </c>
    </row>
    <row r="5670" ht="15.6" spans="4:11">
      <c r="D5670" s="4">
        <v>3646</v>
      </c>
      <c r="E5670" s="4" t="s">
        <v>223</v>
      </c>
      <c r="J5670" s="3" t="s">
        <v>5890</v>
      </c>
      <c r="K5670" s="3" t="s">
        <v>223</v>
      </c>
    </row>
    <row r="5671" ht="15.6" spans="4:11">
      <c r="D5671" s="4">
        <v>3647</v>
      </c>
      <c r="E5671" s="4" t="s">
        <v>223</v>
      </c>
      <c r="J5671" s="3" t="s">
        <v>5891</v>
      </c>
      <c r="K5671" s="3" t="s">
        <v>223</v>
      </c>
    </row>
    <row r="5672" ht="15.6" spans="4:11">
      <c r="D5672" s="4">
        <v>3648</v>
      </c>
      <c r="E5672" s="4" t="s">
        <v>223</v>
      </c>
      <c r="J5672" s="3" t="s">
        <v>5892</v>
      </c>
      <c r="K5672" s="3" t="s">
        <v>223</v>
      </c>
    </row>
    <row r="5673" ht="15.6" spans="4:11">
      <c r="D5673" s="4">
        <v>3649</v>
      </c>
      <c r="E5673" s="4" t="s">
        <v>223</v>
      </c>
      <c r="J5673" s="3" t="s">
        <v>5893</v>
      </c>
      <c r="K5673" s="3" t="s">
        <v>223</v>
      </c>
    </row>
    <row r="5674" ht="15.6" spans="4:11">
      <c r="D5674" s="4">
        <v>3650</v>
      </c>
      <c r="E5674" s="4" t="s">
        <v>223</v>
      </c>
      <c r="J5674" s="3" t="s">
        <v>5894</v>
      </c>
      <c r="K5674" s="3" t="s">
        <v>223</v>
      </c>
    </row>
    <row r="5675" ht="15.6" spans="4:11">
      <c r="D5675" s="4">
        <v>3651</v>
      </c>
      <c r="E5675" s="4" t="s">
        <v>223</v>
      </c>
      <c r="J5675" s="3" t="s">
        <v>5895</v>
      </c>
      <c r="K5675" s="3" t="s">
        <v>223</v>
      </c>
    </row>
    <row r="5676" ht="15.6" spans="4:11">
      <c r="D5676" s="4">
        <v>3652</v>
      </c>
      <c r="E5676" s="4" t="s">
        <v>223</v>
      </c>
      <c r="J5676" s="3" t="s">
        <v>5896</v>
      </c>
      <c r="K5676" s="3" t="s">
        <v>223</v>
      </c>
    </row>
    <row r="5677" ht="15.6" spans="4:11">
      <c r="D5677" s="4">
        <v>3653</v>
      </c>
      <c r="E5677" s="4" t="s">
        <v>223</v>
      </c>
      <c r="J5677" s="3" t="s">
        <v>5897</v>
      </c>
      <c r="K5677" s="3" t="s">
        <v>223</v>
      </c>
    </row>
    <row r="5678" ht="15.6" spans="4:11">
      <c r="D5678" s="4">
        <v>3654</v>
      </c>
      <c r="E5678" s="4" t="s">
        <v>223</v>
      </c>
      <c r="J5678" s="3" t="s">
        <v>5898</v>
      </c>
      <c r="K5678" s="3" t="s">
        <v>223</v>
      </c>
    </row>
    <row r="5679" ht="15.6" spans="4:11">
      <c r="D5679" s="4">
        <v>3655</v>
      </c>
      <c r="E5679" s="4" t="s">
        <v>223</v>
      </c>
      <c r="J5679" s="3" t="s">
        <v>5899</v>
      </c>
      <c r="K5679" s="3" t="s">
        <v>223</v>
      </c>
    </row>
    <row r="5680" ht="15.6" spans="4:11">
      <c r="D5680" s="4">
        <v>3656</v>
      </c>
      <c r="E5680" s="4" t="s">
        <v>223</v>
      </c>
      <c r="J5680" s="3" t="s">
        <v>5900</v>
      </c>
      <c r="K5680" s="3" t="s">
        <v>223</v>
      </c>
    </row>
    <row r="5681" ht="15.6" spans="4:11">
      <c r="D5681" s="4">
        <v>3657</v>
      </c>
      <c r="E5681" s="4" t="s">
        <v>223</v>
      </c>
      <c r="J5681" s="3" t="s">
        <v>5901</v>
      </c>
      <c r="K5681" s="3" t="s">
        <v>223</v>
      </c>
    </row>
    <row r="5682" ht="15.6" spans="4:11">
      <c r="D5682" s="4">
        <v>3658</v>
      </c>
      <c r="E5682" s="4" t="s">
        <v>223</v>
      </c>
      <c r="J5682" s="3" t="s">
        <v>5902</v>
      </c>
      <c r="K5682" s="3" t="s">
        <v>223</v>
      </c>
    </row>
    <row r="5683" ht="15.6" spans="4:11">
      <c r="D5683" s="4">
        <v>3659</v>
      </c>
      <c r="E5683" s="4" t="s">
        <v>223</v>
      </c>
      <c r="J5683" s="3" t="s">
        <v>5903</v>
      </c>
      <c r="K5683" s="3" t="s">
        <v>223</v>
      </c>
    </row>
    <row r="5684" ht="15.6" spans="4:11">
      <c r="D5684" s="4">
        <v>3660</v>
      </c>
      <c r="E5684" s="4" t="s">
        <v>223</v>
      </c>
      <c r="J5684" s="3" t="s">
        <v>5904</v>
      </c>
      <c r="K5684" s="3" t="s">
        <v>223</v>
      </c>
    </row>
    <row r="5685" ht="15.6" spans="4:11">
      <c r="D5685" s="4">
        <v>3661</v>
      </c>
      <c r="E5685" s="4" t="s">
        <v>223</v>
      </c>
      <c r="J5685" s="3" t="s">
        <v>5905</v>
      </c>
      <c r="K5685" s="3" t="s">
        <v>223</v>
      </c>
    </row>
    <row r="5686" ht="15.6" spans="4:11">
      <c r="D5686" s="4">
        <v>3662</v>
      </c>
      <c r="E5686" s="4" t="s">
        <v>223</v>
      </c>
      <c r="J5686" s="3" t="s">
        <v>5906</v>
      </c>
      <c r="K5686" s="3" t="s">
        <v>223</v>
      </c>
    </row>
    <row r="5687" ht="15.6" spans="4:11">
      <c r="D5687" s="4">
        <v>3663</v>
      </c>
      <c r="E5687" s="4" t="s">
        <v>223</v>
      </c>
      <c r="J5687" s="3" t="s">
        <v>5907</v>
      </c>
      <c r="K5687" s="3" t="s">
        <v>223</v>
      </c>
    </row>
    <row r="5688" ht="15.6" spans="4:11">
      <c r="D5688" s="4">
        <v>3664</v>
      </c>
      <c r="E5688" s="4" t="s">
        <v>223</v>
      </c>
      <c r="J5688" s="3" t="s">
        <v>5908</v>
      </c>
      <c r="K5688" s="3" t="s">
        <v>223</v>
      </c>
    </row>
    <row r="5689" ht="15.6" spans="4:11">
      <c r="D5689" s="4">
        <v>3665</v>
      </c>
      <c r="E5689" s="4" t="s">
        <v>223</v>
      </c>
      <c r="J5689" s="3" t="s">
        <v>5909</v>
      </c>
      <c r="K5689" s="3" t="s">
        <v>223</v>
      </c>
    </row>
    <row r="5690" ht="15.6" spans="4:11">
      <c r="D5690" s="4">
        <v>3666</v>
      </c>
      <c r="E5690" s="4" t="s">
        <v>223</v>
      </c>
      <c r="J5690" s="3" t="s">
        <v>5910</v>
      </c>
      <c r="K5690" s="3" t="s">
        <v>223</v>
      </c>
    </row>
    <row r="5691" ht="15.6" spans="4:11">
      <c r="D5691" s="4">
        <v>3667</v>
      </c>
      <c r="E5691" s="4" t="s">
        <v>223</v>
      </c>
      <c r="J5691" s="3" t="s">
        <v>5911</v>
      </c>
      <c r="K5691" s="3" t="s">
        <v>223</v>
      </c>
    </row>
    <row r="5692" ht="15.6" spans="4:11">
      <c r="D5692" s="4">
        <v>3668</v>
      </c>
      <c r="E5692" s="4" t="s">
        <v>223</v>
      </c>
      <c r="J5692" s="3" t="s">
        <v>5912</v>
      </c>
      <c r="K5692" s="3" t="s">
        <v>223</v>
      </c>
    </row>
    <row r="5693" ht="15.6" spans="4:11">
      <c r="D5693" s="4">
        <v>3669</v>
      </c>
      <c r="E5693" s="4" t="s">
        <v>223</v>
      </c>
      <c r="J5693" s="3" t="s">
        <v>5913</v>
      </c>
      <c r="K5693" s="3" t="s">
        <v>223</v>
      </c>
    </row>
    <row r="5694" ht="15.6" spans="4:11">
      <c r="D5694" s="4">
        <v>3670</v>
      </c>
      <c r="E5694" s="4" t="s">
        <v>223</v>
      </c>
      <c r="J5694" s="3" t="s">
        <v>5914</v>
      </c>
      <c r="K5694" s="3" t="s">
        <v>223</v>
      </c>
    </row>
    <row r="5695" ht="15.6" spans="4:11">
      <c r="D5695" s="4">
        <v>3671</v>
      </c>
      <c r="E5695" s="4" t="s">
        <v>223</v>
      </c>
      <c r="J5695" s="3" t="s">
        <v>5915</v>
      </c>
      <c r="K5695" s="3" t="s">
        <v>223</v>
      </c>
    </row>
    <row r="5696" ht="15.6" spans="4:11">
      <c r="D5696" s="4">
        <v>3672</v>
      </c>
      <c r="E5696" s="4" t="s">
        <v>223</v>
      </c>
      <c r="J5696" s="3" t="s">
        <v>5916</v>
      </c>
      <c r="K5696" s="3" t="s">
        <v>223</v>
      </c>
    </row>
    <row r="5697" ht="15.6" spans="4:11">
      <c r="D5697" s="4">
        <v>3673</v>
      </c>
      <c r="E5697" s="4" t="s">
        <v>223</v>
      </c>
      <c r="J5697" s="3" t="s">
        <v>5917</v>
      </c>
      <c r="K5697" s="3" t="s">
        <v>223</v>
      </c>
    </row>
    <row r="5698" ht="15.6" spans="4:11">
      <c r="D5698" s="4">
        <v>3674</v>
      </c>
      <c r="E5698" s="4" t="s">
        <v>223</v>
      </c>
      <c r="J5698" s="3" t="s">
        <v>5918</v>
      </c>
      <c r="K5698" s="3" t="s">
        <v>223</v>
      </c>
    </row>
    <row r="5699" ht="15.6" spans="4:11">
      <c r="D5699" s="4">
        <v>3675</v>
      </c>
      <c r="E5699" s="4" t="s">
        <v>223</v>
      </c>
      <c r="J5699" s="3" t="s">
        <v>5919</v>
      </c>
      <c r="K5699" s="3" t="s">
        <v>223</v>
      </c>
    </row>
    <row r="5700" ht="15.6" spans="4:11">
      <c r="D5700" s="4">
        <v>3676</v>
      </c>
      <c r="E5700" s="4" t="s">
        <v>223</v>
      </c>
      <c r="J5700" s="3" t="s">
        <v>5920</v>
      </c>
      <c r="K5700" s="3" t="s">
        <v>223</v>
      </c>
    </row>
    <row r="5701" ht="15.6" spans="4:11">
      <c r="D5701" s="4">
        <v>3677</v>
      </c>
      <c r="E5701" s="4" t="s">
        <v>223</v>
      </c>
      <c r="J5701" s="3" t="s">
        <v>5921</v>
      </c>
      <c r="K5701" s="3" t="s">
        <v>223</v>
      </c>
    </row>
    <row r="5702" ht="15.6" spans="4:11">
      <c r="D5702" s="4">
        <v>3678</v>
      </c>
      <c r="E5702" s="4" t="s">
        <v>223</v>
      </c>
      <c r="J5702" s="3" t="s">
        <v>5922</v>
      </c>
      <c r="K5702" s="3" t="s">
        <v>223</v>
      </c>
    </row>
    <row r="5703" ht="15.6" spans="4:11">
      <c r="D5703" s="4">
        <v>3679</v>
      </c>
      <c r="E5703" s="4" t="s">
        <v>223</v>
      </c>
      <c r="J5703" s="3" t="s">
        <v>5923</v>
      </c>
      <c r="K5703" s="3" t="s">
        <v>223</v>
      </c>
    </row>
    <row r="5704" ht="15.6" spans="4:11">
      <c r="D5704" s="4">
        <v>3680</v>
      </c>
      <c r="E5704" s="4" t="s">
        <v>223</v>
      </c>
      <c r="J5704" s="3" t="s">
        <v>5924</v>
      </c>
      <c r="K5704" s="3" t="s">
        <v>223</v>
      </c>
    </row>
    <row r="5705" ht="15.6" spans="4:11">
      <c r="D5705" s="4">
        <v>3681</v>
      </c>
      <c r="E5705" s="4" t="s">
        <v>223</v>
      </c>
      <c r="J5705" s="3" t="s">
        <v>5925</v>
      </c>
      <c r="K5705" s="3" t="s">
        <v>223</v>
      </c>
    </row>
    <row r="5706" ht="15.6" spans="4:11">
      <c r="D5706" s="4">
        <v>3682</v>
      </c>
      <c r="E5706" s="4" t="s">
        <v>223</v>
      </c>
      <c r="J5706" s="3" t="s">
        <v>5926</v>
      </c>
      <c r="K5706" s="3" t="s">
        <v>223</v>
      </c>
    </row>
    <row r="5707" ht="15.6" spans="4:11">
      <c r="D5707" s="4">
        <v>3683</v>
      </c>
      <c r="E5707" s="4" t="s">
        <v>223</v>
      </c>
      <c r="J5707" s="3" t="s">
        <v>5927</v>
      </c>
      <c r="K5707" s="3" t="s">
        <v>223</v>
      </c>
    </row>
    <row r="5708" ht="15.6" spans="4:11">
      <c r="D5708" s="4">
        <v>3684</v>
      </c>
      <c r="E5708" s="4" t="s">
        <v>223</v>
      </c>
      <c r="J5708" s="3" t="s">
        <v>5928</v>
      </c>
      <c r="K5708" s="3" t="s">
        <v>223</v>
      </c>
    </row>
    <row r="5709" ht="15.6" spans="4:11">
      <c r="D5709" s="4">
        <v>3685</v>
      </c>
      <c r="E5709" s="4" t="s">
        <v>223</v>
      </c>
      <c r="J5709" s="3" t="s">
        <v>5929</v>
      </c>
      <c r="K5709" s="3" t="s">
        <v>223</v>
      </c>
    </row>
    <row r="5710" ht="15.6" spans="4:11">
      <c r="D5710" s="4">
        <v>3686</v>
      </c>
      <c r="E5710" s="4" t="s">
        <v>223</v>
      </c>
      <c r="J5710" s="3" t="s">
        <v>5930</v>
      </c>
      <c r="K5710" s="3" t="s">
        <v>223</v>
      </c>
    </row>
    <row r="5711" ht="15.6" spans="4:11">
      <c r="D5711" s="4">
        <v>3687</v>
      </c>
      <c r="E5711" s="4" t="s">
        <v>223</v>
      </c>
      <c r="J5711" s="3" t="s">
        <v>5931</v>
      </c>
      <c r="K5711" s="3" t="s">
        <v>223</v>
      </c>
    </row>
    <row r="5712" ht="15.6" spans="4:11">
      <c r="D5712" s="4">
        <v>3688</v>
      </c>
      <c r="E5712" s="4" t="s">
        <v>223</v>
      </c>
      <c r="J5712" s="3" t="s">
        <v>5932</v>
      </c>
      <c r="K5712" s="3" t="s">
        <v>223</v>
      </c>
    </row>
    <row r="5713" ht="15.6" spans="4:11">
      <c r="D5713" s="4">
        <v>3691</v>
      </c>
      <c r="E5713" s="4" t="s">
        <v>223</v>
      </c>
      <c r="J5713" s="3" t="s">
        <v>5933</v>
      </c>
      <c r="K5713" s="3" t="s">
        <v>223</v>
      </c>
    </row>
    <row r="5714" ht="15.6" spans="4:11">
      <c r="D5714" s="4">
        <v>3692</v>
      </c>
      <c r="E5714" s="4" t="s">
        <v>223</v>
      </c>
      <c r="J5714" s="3" t="s">
        <v>5934</v>
      </c>
      <c r="K5714" s="3" t="s">
        <v>223</v>
      </c>
    </row>
    <row r="5715" ht="15.6" spans="4:11">
      <c r="D5715" s="4">
        <v>3693</v>
      </c>
      <c r="E5715" s="4" t="s">
        <v>223</v>
      </c>
      <c r="J5715" s="3" t="s">
        <v>5935</v>
      </c>
      <c r="K5715" s="3" t="s">
        <v>223</v>
      </c>
    </row>
    <row r="5716" ht="15.6" spans="4:11">
      <c r="D5716" s="4">
        <v>3694</v>
      </c>
      <c r="E5716" s="4" t="s">
        <v>223</v>
      </c>
      <c r="J5716" s="3" t="s">
        <v>5936</v>
      </c>
      <c r="K5716" s="3" t="s">
        <v>223</v>
      </c>
    </row>
    <row r="5717" ht="15.6" spans="4:11">
      <c r="D5717" s="4">
        <v>3695</v>
      </c>
      <c r="E5717" s="4" t="s">
        <v>223</v>
      </c>
      <c r="J5717" s="3" t="s">
        <v>5937</v>
      </c>
      <c r="K5717" s="3" t="s">
        <v>223</v>
      </c>
    </row>
    <row r="5718" ht="15.6" spans="4:11">
      <c r="D5718" s="4">
        <v>3696</v>
      </c>
      <c r="E5718" s="4" t="s">
        <v>223</v>
      </c>
      <c r="J5718" s="3" t="s">
        <v>5938</v>
      </c>
      <c r="K5718" s="3" t="s">
        <v>223</v>
      </c>
    </row>
    <row r="5719" ht="15.6" spans="4:11">
      <c r="D5719" s="4">
        <v>3697</v>
      </c>
      <c r="E5719" s="4" t="s">
        <v>223</v>
      </c>
      <c r="J5719" s="3" t="s">
        <v>5939</v>
      </c>
      <c r="K5719" s="3" t="s">
        <v>223</v>
      </c>
    </row>
    <row r="5720" ht="15.6" spans="4:11">
      <c r="D5720" s="4">
        <v>3698</v>
      </c>
      <c r="E5720" s="4" t="s">
        <v>223</v>
      </c>
      <c r="J5720" s="3" t="s">
        <v>5940</v>
      </c>
      <c r="K5720" s="3" t="s">
        <v>223</v>
      </c>
    </row>
    <row r="5721" ht="15.6" spans="4:11">
      <c r="D5721" s="4">
        <v>3699</v>
      </c>
      <c r="E5721" s="4" t="s">
        <v>223</v>
      </c>
      <c r="J5721" s="3" t="s">
        <v>5941</v>
      </c>
      <c r="K5721" s="3" t="s">
        <v>223</v>
      </c>
    </row>
    <row r="5722" ht="15.6" spans="4:11">
      <c r="D5722" s="4">
        <v>3700</v>
      </c>
      <c r="E5722" s="4" t="s">
        <v>223</v>
      </c>
      <c r="J5722" s="3" t="s">
        <v>5942</v>
      </c>
      <c r="K5722" s="3" t="s">
        <v>223</v>
      </c>
    </row>
    <row r="5723" ht="15.6" spans="4:11">
      <c r="D5723" s="4">
        <v>3701</v>
      </c>
      <c r="E5723" s="4" t="s">
        <v>223</v>
      </c>
      <c r="J5723" s="3" t="s">
        <v>5943</v>
      </c>
      <c r="K5723" s="3" t="s">
        <v>223</v>
      </c>
    </row>
    <row r="5724" ht="15.6" spans="4:11">
      <c r="D5724" s="4">
        <v>3702</v>
      </c>
      <c r="E5724" s="4" t="s">
        <v>223</v>
      </c>
      <c r="J5724" s="3" t="s">
        <v>5944</v>
      </c>
      <c r="K5724" s="3" t="s">
        <v>223</v>
      </c>
    </row>
    <row r="5725" ht="15.6" spans="4:11">
      <c r="D5725" s="4">
        <v>3703</v>
      </c>
      <c r="E5725" s="4" t="s">
        <v>223</v>
      </c>
      <c r="J5725" s="3" t="s">
        <v>5945</v>
      </c>
      <c r="K5725" s="3" t="s">
        <v>223</v>
      </c>
    </row>
    <row r="5726" ht="15.6" spans="4:11">
      <c r="D5726" s="4">
        <v>3704</v>
      </c>
      <c r="E5726" s="4" t="s">
        <v>223</v>
      </c>
      <c r="J5726" s="3" t="s">
        <v>5946</v>
      </c>
      <c r="K5726" s="3" t="s">
        <v>223</v>
      </c>
    </row>
    <row r="5727" ht="15.6" spans="4:11">
      <c r="D5727" s="4">
        <v>3705</v>
      </c>
      <c r="E5727" s="4" t="s">
        <v>223</v>
      </c>
      <c r="J5727" s="3" t="s">
        <v>5947</v>
      </c>
      <c r="K5727" s="3" t="s">
        <v>223</v>
      </c>
    </row>
    <row r="5728" ht="15.6" spans="4:11">
      <c r="D5728" s="4">
        <v>3706</v>
      </c>
      <c r="E5728" s="4" t="s">
        <v>223</v>
      </c>
      <c r="J5728" s="3" t="s">
        <v>5948</v>
      </c>
      <c r="K5728" s="3" t="s">
        <v>223</v>
      </c>
    </row>
    <row r="5729" ht="15.6" spans="4:11">
      <c r="D5729" s="4">
        <v>3707</v>
      </c>
      <c r="E5729" s="4" t="s">
        <v>223</v>
      </c>
      <c r="J5729" s="3" t="s">
        <v>5949</v>
      </c>
      <c r="K5729" s="3" t="s">
        <v>223</v>
      </c>
    </row>
    <row r="5730" ht="15.6" spans="4:11">
      <c r="D5730" s="4">
        <v>3708</v>
      </c>
      <c r="E5730" s="4" t="s">
        <v>223</v>
      </c>
      <c r="J5730" s="3" t="s">
        <v>5950</v>
      </c>
      <c r="K5730" s="3" t="s">
        <v>223</v>
      </c>
    </row>
    <row r="5731" ht="15.6" spans="4:11">
      <c r="D5731" s="4">
        <v>3709</v>
      </c>
      <c r="E5731" s="4" t="s">
        <v>223</v>
      </c>
      <c r="J5731" s="3" t="s">
        <v>5951</v>
      </c>
      <c r="K5731" s="3" t="s">
        <v>223</v>
      </c>
    </row>
    <row r="5732" ht="15.6" spans="4:11">
      <c r="D5732" s="4">
        <v>3710</v>
      </c>
      <c r="E5732" s="4" t="s">
        <v>223</v>
      </c>
      <c r="J5732" s="3" t="s">
        <v>5952</v>
      </c>
      <c r="K5732" s="3" t="s">
        <v>223</v>
      </c>
    </row>
    <row r="5733" ht="15.6" spans="4:11">
      <c r="D5733" s="4">
        <v>3711</v>
      </c>
      <c r="E5733" s="4" t="s">
        <v>223</v>
      </c>
      <c r="J5733" s="3" t="s">
        <v>5953</v>
      </c>
      <c r="K5733" s="3" t="s">
        <v>223</v>
      </c>
    </row>
    <row r="5734" ht="15.6" spans="4:11">
      <c r="D5734" s="4">
        <v>3712</v>
      </c>
      <c r="E5734" s="4" t="s">
        <v>223</v>
      </c>
      <c r="J5734" s="3" t="s">
        <v>5954</v>
      </c>
      <c r="K5734" s="3" t="s">
        <v>223</v>
      </c>
    </row>
    <row r="5735" ht="15.6" spans="4:11">
      <c r="D5735" s="4">
        <v>3713</v>
      </c>
      <c r="E5735" s="4" t="s">
        <v>223</v>
      </c>
      <c r="J5735" s="3" t="s">
        <v>5955</v>
      </c>
      <c r="K5735" s="3" t="s">
        <v>223</v>
      </c>
    </row>
    <row r="5736" ht="15.6" spans="4:11">
      <c r="D5736" s="4">
        <v>3714</v>
      </c>
      <c r="E5736" s="4" t="s">
        <v>223</v>
      </c>
      <c r="J5736" s="3" t="s">
        <v>5956</v>
      </c>
      <c r="K5736" s="3" t="s">
        <v>223</v>
      </c>
    </row>
    <row r="5737" ht="15.6" spans="4:11">
      <c r="D5737" s="4">
        <v>3715</v>
      </c>
      <c r="E5737" s="4" t="s">
        <v>223</v>
      </c>
      <c r="J5737" s="3" t="s">
        <v>5957</v>
      </c>
      <c r="K5737" s="3" t="s">
        <v>223</v>
      </c>
    </row>
    <row r="5738" ht="15.6" spans="4:11">
      <c r="D5738" s="4">
        <v>3716</v>
      </c>
      <c r="E5738" s="4" t="s">
        <v>223</v>
      </c>
      <c r="J5738" s="3" t="s">
        <v>5958</v>
      </c>
      <c r="K5738" s="3" t="s">
        <v>223</v>
      </c>
    </row>
    <row r="5739" ht="15.6" spans="4:11">
      <c r="D5739" s="4">
        <v>3717</v>
      </c>
      <c r="E5739" s="4" t="s">
        <v>223</v>
      </c>
      <c r="J5739" s="3" t="s">
        <v>5959</v>
      </c>
      <c r="K5739" s="3" t="s">
        <v>223</v>
      </c>
    </row>
    <row r="5740" ht="15.6" spans="4:11">
      <c r="D5740" s="4">
        <v>3718</v>
      </c>
      <c r="E5740" s="4" t="s">
        <v>223</v>
      </c>
      <c r="J5740" s="3" t="s">
        <v>5960</v>
      </c>
      <c r="K5740" s="3" t="s">
        <v>223</v>
      </c>
    </row>
    <row r="5741" ht="15.6" spans="4:11">
      <c r="D5741" s="4">
        <v>3719</v>
      </c>
      <c r="E5741" s="4" t="s">
        <v>223</v>
      </c>
      <c r="J5741" s="3" t="s">
        <v>5961</v>
      </c>
      <c r="K5741" s="3" t="s">
        <v>223</v>
      </c>
    </row>
    <row r="5742" ht="15.6" spans="4:11">
      <c r="D5742" s="4">
        <v>3720</v>
      </c>
      <c r="E5742" s="4" t="s">
        <v>223</v>
      </c>
      <c r="J5742" s="3" t="s">
        <v>5962</v>
      </c>
      <c r="K5742" s="3" t="s">
        <v>223</v>
      </c>
    </row>
    <row r="5743" ht="15.6" spans="4:11">
      <c r="D5743" s="4">
        <v>3721</v>
      </c>
      <c r="E5743" s="4" t="s">
        <v>223</v>
      </c>
      <c r="J5743" s="3" t="s">
        <v>5963</v>
      </c>
      <c r="K5743" s="3" t="s">
        <v>223</v>
      </c>
    </row>
    <row r="5744" ht="15.6" spans="4:11">
      <c r="D5744" s="4">
        <v>3722</v>
      </c>
      <c r="E5744" s="4" t="s">
        <v>223</v>
      </c>
      <c r="J5744" s="3" t="s">
        <v>5964</v>
      </c>
      <c r="K5744" s="3" t="s">
        <v>223</v>
      </c>
    </row>
    <row r="5745" ht="15.6" spans="4:11">
      <c r="D5745" s="4">
        <v>3723</v>
      </c>
      <c r="E5745" s="4" t="s">
        <v>223</v>
      </c>
      <c r="J5745" s="3" t="s">
        <v>5965</v>
      </c>
      <c r="K5745" s="3" t="s">
        <v>223</v>
      </c>
    </row>
    <row r="5746" ht="15.6" spans="4:11">
      <c r="D5746" s="4">
        <v>3724</v>
      </c>
      <c r="E5746" s="4" t="s">
        <v>223</v>
      </c>
      <c r="J5746" s="3" t="s">
        <v>5966</v>
      </c>
      <c r="K5746" s="3" t="s">
        <v>223</v>
      </c>
    </row>
    <row r="5747" ht="15.6" spans="4:11">
      <c r="D5747" s="4">
        <v>3725</v>
      </c>
      <c r="E5747" s="4" t="s">
        <v>223</v>
      </c>
      <c r="J5747" s="3" t="s">
        <v>5967</v>
      </c>
      <c r="K5747" s="3" t="s">
        <v>223</v>
      </c>
    </row>
    <row r="5748" ht="15.6" spans="4:11">
      <c r="D5748" s="4">
        <v>3726</v>
      </c>
      <c r="E5748" s="4" t="s">
        <v>223</v>
      </c>
      <c r="J5748" s="3" t="s">
        <v>5968</v>
      </c>
      <c r="K5748" s="3" t="s">
        <v>223</v>
      </c>
    </row>
    <row r="5749" ht="15.6" spans="4:11">
      <c r="D5749" s="4">
        <v>3727</v>
      </c>
      <c r="E5749" s="4" t="s">
        <v>223</v>
      </c>
      <c r="J5749" s="3" t="s">
        <v>5969</v>
      </c>
      <c r="K5749" s="3" t="s">
        <v>223</v>
      </c>
    </row>
    <row r="5750" ht="15.6" spans="4:11">
      <c r="D5750" s="4">
        <v>3728</v>
      </c>
      <c r="E5750" s="4" t="s">
        <v>223</v>
      </c>
      <c r="J5750" s="3" t="s">
        <v>5970</v>
      </c>
      <c r="K5750" s="3" t="s">
        <v>223</v>
      </c>
    </row>
    <row r="5751" ht="15.6" spans="4:11">
      <c r="D5751" s="4">
        <v>3729</v>
      </c>
      <c r="E5751" s="4" t="s">
        <v>223</v>
      </c>
      <c r="J5751" s="3" t="s">
        <v>5971</v>
      </c>
      <c r="K5751" s="3" t="s">
        <v>223</v>
      </c>
    </row>
    <row r="5752" ht="15.6" spans="4:11">
      <c r="D5752" s="4">
        <v>3730</v>
      </c>
      <c r="E5752" s="4" t="s">
        <v>223</v>
      </c>
      <c r="J5752" s="3" t="s">
        <v>5972</v>
      </c>
      <c r="K5752" s="3" t="s">
        <v>223</v>
      </c>
    </row>
    <row r="5753" ht="15.6" spans="4:11">
      <c r="D5753" s="4">
        <v>3731</v>
      </c>
      <c r="E5753" s="4" t="s">
        <v>223</v>
      </c>
      <c r="J5753" s="3" t="s">
        <v>5973</v>
      </c>
      <c r="K5753" s="3" t="s">
        <v>223</v>
      </c>
    </row>
    <row r="5754" ht="15.6" spans="4:11">
      <c r="D5754" s="4">
        <v>3732</v>
      </c>
      <c r="E5754" s="4" t="s">
        <v>223</v>
      </c>
      <c r="J5754" s="3" t="s">
        <v>5974</v>
      </c>
      <c r="K5754" s="3" t="s">
        <v>223</v>
      </c>
    </row>
    <row r="5755" ht="15.6" spans="4:11">
      <c r="D5755" s="4">
        <v>3733</v>
      </c>
      <c r="E5755" s="4" t="s">
        <v>223</v>
      </c>
      <c r="J5755" s="3" t="s">
        <v>5975</v>
      </c>
      <c r="K5755" s="3" t="s">
        <v>223</v>
      </c>
    </row>
    <row r="5756" ht="15.6" spans="4:11">
      <c r="D5756" s="4">
        <v>3734</v>
      </c>
      <c r="E5756" s="4" t="s">
        <v>223</v>
      </c>
      <c r="J5756" s="3" t="s">
        <v>5976</v>
      </c>
      <c r="K5756" s="3" t="s">
        <v>223</v>
      </c>
    </row>
    <row r="5757" ht="15.6" spans="4:11">
      <c r="D5757" s="4">
        <v>3735</v>
      </c>
      <c r="E5757" s="4" t="s">
        <v>223</v>
      </c>
      <c r="J5757" s="3" t="s">
        <v>5977</v>
      </c>
      <c r="K5757" s="3" t="s">
        <v>223</v>
      </c>
    </row>
    <row r="5758" ht="15.6" spans="4:11">
      <c r="D5758" s="4">
        <v>3736</v>
      </c>
      <c r="E5758" s="4" t="s">
        <v>223</v>
      </c>
      <c r="J5758" s="3" t="s">
        <v>5978</v>
      </c>
      <c r="K5758" s="3" t="s">
        <v>223</v>
      </c>
    </row>
    <row r="5759" ht="15.6" spans="4:11">
      <c r="D5759" s="4">
        <v>3737</v>
      </c>
      <c r="E5759" s="4" t="s">
        <v>223</v>
      </c>
      <c r="J5759" s="3" t="s">
        <v>5979</v>
      </c>
      <c r="K5759" s="3" t="s">
        <v>223</v>
      </c>
    </row>
    <row r="5760" ht="15.6" spans="4:11">
      <c r="D5760" s="4">
        <v>3738</v>
      </c>
      <c r="E5760" s="4" t="s">
        <v>223</v>
      </c>
      <c r="J5760" s="3" t="s">
        <v>5980</v>
      </c>
      <c r="K5760" s="3" t="s">
        <v>223</v>
      </c>
    </row>
    <row r="5761" ht="15.6" spans="4:11">
      <c r="D5761" s="4">
        <v>3739</v>
      </c>
      <c r="E5761" s="4" t="s">
        <v>223</v>
      </c>
      <c r="J5761" s="3" t="s">
        <v>5981</v>
      </c>
      <c r="K5761" s="3" t="s">
        <v>223</v>
      </c>
    </row>
    <row r="5762" ht="15.6" spans="4:11">
      <c r="D5762" s="4">
        <v>3740</v>
      </c>
      <c r="E5762" s="4" t="s">
        <v>223</v>
      </c>
      <c r="J5762" s="3" t="s">
        <v>5982</v>
      </c>
      <c r="K5762" s="3" t="s">
        <v>223</v>
      </c>
    </row>
    <row r="5763" ht="15.6" spans="4:11">
      <c r="D5763" s="4">
        <v>3741</v>
      </c>
      <c r="E5763" s="4" t="s">
        <v>223</v>
      </c>
      <c r="J5763" s="3" t="s">
        <v>5983</v>
      </c>
      <c r="K5763" s="3" t="s">
        <v>223</v>
      </c>
    </row>
    <row r="5764" ht="15.6" spans="4:11">
      <c r="D5764" s="4">
        <v>3742</v>
      </c>
      <c r="E5764" s="4" t="s">
        <v>223</v>
      </c>
      <c r="J5764" s="3" t="s">
        <v>5984</v>
      </c>
      <c r="K5764" s="3" t="s">
        <v>223</v>
      </c>
    </row>
    <row r="5765" ht="15.6" spans="4:11">
      <c r="D5765" s="4">
        <v>3743</v>
      </c>
      <c r="E5765" s="4" t="s">
        <v>223</v>
      </c>
      <c r="J5765" s="3" t="s">
        <v>5985</v>
      </c>
      <c r="K5765" s="3" t="s">
        <v>223</v>
      </c>
    </row>
    <row r="5766" ht="15.6" spans="4:11">
      <c r="D5766" s="4">
        <v>3744</v>
      </c>
      <c r="E5766" s="4" t="s">
        <v>223</v>
      </c>
      <c r="J5766" s="3" t="s">
        <v>5986</v>
      </c>
      <c r="K5766" s="3" t="s">
        <v>223</v>
      </c>
    </row>
    <row r="5767" ht="15.6" spans="4:11">
      <c r="D5767" s="4">
        <v>3745</v>
      </c>
      <c r="E5767" s="4" t="s">
        <v>223</v>
      </c>
      <c r="J5767" s="3" t="s">
        <v>5987</v>
      </c>
      <c r="K5767" s="3" t="s">
        <v>223</v>
      </c>
    </row>
    <row r="5768" ht="15.6" spans="4:11">
      <c r="D5768" s="4">
        <v>3746</v>
      </c>
      <c r="E5768" s="4" t="s">
        <v>223</v>
      </c>
      <c r="J5768" s="3" t="s">
        <v>5988</v>
      </c>
      <c r="K5768" s="3" t="s">
        <v>223</v>
      </c>
    </row>
    <row r="5769" ht="15.6" spans="4:11">
      <c r="D5769" s="4">
        <v>3747</v>
      </c>
      <c r="E5769" s="4" t="s">
        <v>223</v>
      </c>
      <c r="J5769" s="3" t="s">
        <v>5989</v>
      </c>
      <c r="K5769" s="3" t="s">
        <v>223</v>
      </c>
    </row>
    <row r="5770" ht="15.6" spans="4:11">
      <c r="D5770" s="4">
        <v>3748</v>
      </c>
      <c r="E5770" s="4" t="s">
        <v>223</v>
      </c>
      <c r="J5770" s="3" t="s">
        <v>5990</v>
      </c>
      <c r="K5770" s="3" t="s">
        <v>223</v>
      </c>
    </row>
    <row r="5771" ht="15.6" spans="4:11">
      <c r="D5771" s="4">
        <v>3749</v>
      </c>
      <c r="E5771" s="4" t="s">
        <v>223</v>
      </c>
      <c r="J5771" s="3" t="s">
        <v>5991</v>
      </c>
      <c r="K5771" s="3" t="s">
        <v>223</v>
      </c>
    </row>
    <row r="5772" ht="15.6" spans="4:11">
      <c r="D5772" s="4">
        <v>3812</v>
      </c>
      <c r="E5772" s="4" t="s">
        <v>223</v>
      </c>
      <c r="J5772" s="3" t="s">
        <v>5992</v>
      </c>
      <c r="K5772" s="3" t="s">
        <v>223</v>
      </c>
    </row>
    <row r="5773" ht="15.6" spans="4:11">
      <c r="D5773" s="4">
        <v>3813</v>
      </c>
      <c r="E5773" s="4" t="s">
        <v>223</v>
      </c>
      <c r="J5773" s="3" t="s">
        <v>5993</v>
      </c>
      <c r="K5773" s="3" t="s">
        <v>223</v>
      </c>
    </row>
    <row r="5774" ht="15.6" spans="4:11">
      <c r="D5774" s="4">
        <v>3814</v>
      </c>
      <c r="E5774" s="4" t="s">
        <v>223</v>
      </c>
      <c r="J5774" s="3" t="s">
        <v>5994</v>
      </c>
      <c r="K5774" s="3" t="s">
        <v>223</v>
      </c>
    </row>
    <row r="5775" ht="15.6" spans="4:11">
      <c r="D5775" s="4">
        <v>3815</v>
      </c>
      <c r="E5775" s="4" t="s">
        <v>223</v>
      </c>
      <c r="J5775" s="3" t="s">
        <v>5995</v>
      </c>
      <c r="K5775" s="3" t="s">
        <v>223</v>
      </c>
    </row>
    <row r="5776" ht="15.6" spans="4:11">
      <c r="D5776" s="4">
        <v>3816</v>
      </c>
      <c r="E5776" s="4" t="s">
        <v>223</v>
      </c>
      <c r="J5776" s="3" t="s">
        <v>5996</v>
      </c>
      <c r="K5776" s="3" t="s">
        <v>223</v>
      </c>
    </row>
    <row r="5777" ht="15.6" spans="4:11">
      <c r="D5777" s="4">
        <v>3817</v>
      </c>
      <c r="E5777" s="4" t="s">
        <v>223</v>
      </c>
      <c r="J5777" s="3" t="s">
        <v>5997</v>
      </c>
      <c r="K5777" s="3" t="s">
        <v>223</v>
      </c>
    </row>
    <row r="5778" ht="15.6" spans="4:11">
      <c r="D5778" s="4">
        <v>3818</v>
      </c>
      <c r="E5778" s="4" t="s">
        <v>223</v>
      </c>
      <c r="J5778" s="3" t="s">
        <v>5998</v>
      </c>
      <c r="K5778" s="3" t="s">
        <v>223</v>
      </c>
    </row>
    <row r="5779" ht="15.6" spans="4:11">
      <c r="D5779" s="4">
        <v>3819</v>
      </c>
      <c r="E5779" s="4" t="s">
        <v>223</v>
      </c>
      <c r="J5779" s="3" t="s">
        <v>5999</v>
      </c>
      <c r="K5779" s="3" t="s">
        <v>223</v>
      </c>
    </row>
    <row r="5780" ht="15.6" spans="4:11">
      <c r="D5780" s="4">
        <v>3820</v>
      </c>
      <c r="E5780" s="4" t="s">
        <v>223</v>
      </c>
      <c r="J5780" s="3" t="s">
        <v>6000</v>
      </c>
      <c r="K5780" s="3" t="s">
        <v>223</v>
      </c>
    </row>
    <row r="5781" ht="15.6" spans="4:11">
      <c r="D5781" s="4">
        <v>3821</v>
      </c>
      <c r="E5781" s="4" t="s">
        <v>223</v>
      </c>
      <c r="J5781" s="3" t="s">
        <v>6001</v>
      </c>
      <c r="K5781" s="3" t="s">
        <v>223</v>
      </c>
    </row>
    <row r="5782" ht="15.6" spans="4:11">
      <c r="D5782" s="4">
        <v>3822</v>
      </c>
      <c r="E5782" s="4" t="s">
        <v>223</v>
      </c>
      <c r="J5782" s="3" t="s">
        <v>6002</v>
      </c>
      <c r="K5782" s="3" t="s">
        <v>223</v>
      </c>
    </row>
    <row r="5783" ht="15.6" spans="4:11">
      <c r="D5783" s="4">
        <v>3823</v>
      </c>
      <c r="E5783" s="4" t="s">
        <v>223</v>
      </c>
      <c r="J5783" s="3" t="s">
        <v>6003</v>
      </c>
      <c r="K5783" s="3" t="s">
        <v>223</v>
      </c>
    </row>
    <row r="5784" ht="15.6" spans="4:11">
      <c r="D5784" s="4">
        <v>3824</v>
      </c>
      <c r="E5784" s="4" t="s">
        <v>223</v>
      </c>
      <c r="J5784" s="3" t="s">
        <v>6004</v>
      </c>
      <c r="K5784" s="3" t="s">
        <v>223</v>
      </c>
    </row>
    <row r="5785" ht="15.6" spans="4:11">
      <c r="D5785" s="4">
        <v>3825</v>
      </c>
      <c r="E5785" s="4" t="s">
        <v>223</v>
      </c>
      <c r="J5785" s="3" t="s">
        <v>6005</v>
      </c>
      <c r="K5785" s="3" t="s">
        <v>223</v>
      </c>
    </row>
    <row r="5786" ht="15.6" spans="4:11">
      <c r="D5786" s="4">
        <v>3826</v>
      </c>
      <c r="E5786" s="4" t="s">
        <v>223</v>
      </c>
      <c r="J5786" s="3" t="s">
        <v>6006</v>
      </c>
      <c r="K5786" s="3" t="s">
        <v>223</v>
      </c>
    </row>
    <row r="5787" ht="15.6" spans="4:11">
      <c r="D5787" s="4">
        <v>3827</v>
      </c>
      <c r="E5787" s="4" t="s">
        <v>223</v>
      </c>
      <c r="J5787" s="3" t="s">
        <v>6007</v>
      </c>
      <c r="K5787" s="3" t="s">
        <v>223</v>
      </c>
    </row>
    <row r="5788" ht="15.6" spans="4:11">
      <c r="D5788" s="4">
        <v>3828</v>
      </c>
      <c r="E5788" s="4" t="s">
        <v>223</v>
      </c>
      <c r="J5788" s="3" t="s">
        <v>6008</v>
      </c>
      <c r="K5788" s="3" t="s">
        <v>223</v>
      </c>
    </row>
    <row r="5789" ht="15.6" spans="4:11">
      <c r="D5789" s="4">
        <v>3829</v>
      </c>
      <c r="E5789" s="4" t="s">
        <v>223</v>
      </c>
      <c r="J5789" s="3" t="s">
        <v>6009</v>
      </c>
      <c r="K5789" s="3" t="s">
        <v>223</v>
      </c>
    </row>
    <row r="5790" ht="15.6" spans="4:11">
      <c r="D5790" s="4">
        <v>3830</v>
      </c>
      <c r="E5790" s="4" t="s">
        <v>223</v>
      </c>
      <c r="J5790" s="3" t="s">
        <v>6010</v>
      </c>
      <c r="K5790" s="3" t="s">
        <v>223</v>
      </c>
    </row>
    <row r="5791" ht="15.6" spans="4:11">
      <c r="D5791" s="4">
        <v>3831</v>
      </c>
      <c r="E5791" s="4" t="s">
        <v>223</v>
      </c>
      <c r="J5791" s="3" t="s">
        <v>6011</v>
      </c>
      <c r="K5791" s="3" t="s">
        <v>223</v>
      </c>
    </row>
    <row r="5792" ht="15.6" spans="4:11">
      <c r="D5792" s="4">
        <v>3832</v>
      </c>
      <c r="E5792" s="4" t="s">
        <v>223</v>
      </c>
      <c r="J5792" s="3" t="s">
        <v>6012</v>
      </c>
      <c r="K5792" s="3" t="s">
        <v>223</v>
      </c>
    </row>
    <row r="5793" ht="15.6" spans="4:11">
      <c r="D5793" s="4">
        <v>3833</v>
      </c>
      <c r="E5793" s="4" t="s">
        <v>223</v>
      </c>
      <c r="J5793" s="3" t="s">
        <v>6013</v>
      </c>
      <c r="K5793" s="3" t="s">
        <v>223</v>
      </c>
    </row>
    <row r="5794" ht="15.6" spans="4:11">
      <c r="D5794" s="4">
        <v>3834</v>
      </c>
      <c r="E5794" s="4" t="s">
        <v>223</v>
      </c>
      <c r="J5794" s="3" t="s">
        <v>6014</v>
      </c>
      <c r="K5794" s="3" t="s">
        <v>223</v>
      </c>
    </row>
    <row r="5795" ht="15.6" spans="4:11">
      <c r="D5795" s="4">
        <v>3835</v>
      </c>
      <c r="E5795" s="4" t="s">
        <v>223</v>
      </c>
      <c r="J5795" s="3" t="s">
        <v>6015</v>
      </c>
      <c r="K5795" s="3" t="s">
        <v>223</v>
      </c>
    </row>
    <row r="5796" ht="15.6" spans="4:11">
      <c r="D5796" s="4">
        <v>3836</v>
      </c>
      <c r="E5796" s="4" t="s">
        <v>223</v>
      </c>
      <c r="J5796" s="3" t="s">
        <v>6016</v>
      </c>
      <c r="K5796" s="3" t="s">
        <v>223</v>
      </c>
    </row>
    <row r="5797" ht="15.6" spans="4:11">
      <c r="D5797" s="4">
        <v>3837</v>
      </c>
      <c r="E5797" s="4" t="s">
        <v>223</v>
      </c>
      <c r="J5797" s="3" t="s">
        <v>6017</v>
      </c>
      <c r="K5797" s="3" t="s">
        <v>223</v>
      </c>
    </row>
    <row r="5798" ht="15.6" spans="4:11">
      <c r="D5798" s="4">
        <v>3838</v>
      </c>
      <c r="E5798" s="4" t="s">
        <v>223</v>
      </c>
      <c r="J5798" s="3" t="s">
        <v>6018</v>
      </c>
      <c r="K5798" s="3" t="s">
        <v>223</v>
      </c>
    </row>
    <row r="5799" ht="15.6" spans="4:11">
      <c r="D5799" s="4">
        <v>3839</v>
      </c>
      <c r="E5799" s="4" t="s">
        <v>223</v>
      </c>
      <c r="J5799" s="3" t="s">
        <v>6019</v>
      </c>
      <c r="K5799" s="3" t="s">
        <v>223</v>
      </c>
    </row>
    <row r="5800" ht="15.6" spans="4:11">
      <c r="D5800" s="4">
        <v>3840</v>
      </c>
      <c r="E5800" s="4" t="s">
        <v>223</v>
      </c>
      <c r="J5800" s="3" t="s">
        <v>6020</v>
      </c>
      <c r="K5800" s="3" t="s">
        <v>223</v>
      </c>
    </row>
    <row r="5801" ht="15.6" spans="4:11">
      <c r="D5801" s="4">
        <v>3841</v>
      </c>
      <c r="E5801" s="4" t="s">
        <v>223</v>
      </c>
      <c r="J5801" s="3" t="s">
        <v>6021</v>
      </c>
      <c r="K5801" s="3" t="s">
        <v>223</v>
      </c>
    </row>
    <row r="5802" ht="15.6" spans="4:11">
      <c r="D5802" s="4">
        <v>3842</v>
      </c>
      <c r="E5802" s="4" t="s">
        <v>223</v>
      </c>
      <c r="J5802" s="3" t="s">
        <v>6022</v>
      </c>
      <c r="K5802" s="3" t="s">
        <v>223</v>
      </c>
    </row>
    <row r="5803" ht="15.6" spans="4:11">
      <c r="D5803" s="4">
        <v>3843</v>
      </c>
      <c r="E5803" s="4" t="s">
        <v>223</v>
      </c>
      <c r="J5803" s="3" t="s">
        <v>6023</v>
      </c>
      <c r="K5803" s="3" t="s">
        <v>223</v>
      </c>
    </row>
    <row r="5804" ht="15.6" spans="4:11">
      <c r="D5804" s="4">
        <v>3844</v>
      </c>
      <c r="E5804" s="4" t="s">
        <v>223</v>
      </c>
      <c r="J5804" s="3" t="s">
        <v>6024</v>
      </c>
      <c r="K5804" s="3" t="s">
        <v>223</v>
      </c>
    </row>
    <row r="5805" ht="15.6" spans="4:11">
      <c r="D5805" s="4">
        <v>3845</v>
      </c>
      <c r="E5805" s="4" t="s">
        <v>223</v>
      </c>
      <c r="J5805" s="3" t="s">
        <v>6025</v>
      </c>
      <c r="K5805" s="3" t="s">
        <v>223</v>
      </c>
    </row>
    <row r="5806" ht="15.6" spans="4:11">
      <c r="D5806" s="4">
        <v>3846</v>
      </c>
      <c r="E5806" s="4" t="s">
        <v>223</v>
      </c>
      <c r="J5806" s="3" t="s">
        <v>6026</v>
      </c>
      <c r="K5806" s="3" t="s">
        <v>223</v>
      </c>
    </row>
    <row r="5807" ht="15.6" spans="4:11">
      <c r="D5807" s="4">
        <v>3847</v>
      </c>
      <c r="E5807" s="4" t="s">
        <v>223</v>
      </c>
      <c r="J5807" s="3" t="s">
        <v>6027</v>
      </c>
      <c r="K5807" s="3" t="s">
        <v>223</v>
      </c>
    </row>
    <row r="5808" ht="15.6" spans="4:11">
      <c r="D5808" s="4">
        <v>3848</v>
      </c>
      <c r="E5808" s="4" t="s">
        <v>223</v>
      </c>
      <c r="J5808" s="3" t="s">
        <v>6028</v>
      </c>
      <c r="K5808" s="3" t="s">
        <v>223</v>
      </c>
    </row>
    <row r="5809" ht="15.6" spans="4:11">
      <c r="D5809" s="4">
        <v>3849</v>
      </c>
      <c r="E5809" s="4" t="s">
        <v>223</v>
      </c>
      <c r="J5809" s="3" t="s">
        <v>6029</v>
      </c>
      <c r="K5809" s="3" t="s">
        <v>223</v>
      </c>
    </row>
    <row r="5810" ht="15.6" spans="4:11">
      <c r="D5810" s="4">
        <v>3850</v>
      </c>
      <c r="E5810" s="4" t="s">
        <v>223</v>
      </c>
      <c r="J5810" s="3" t="s">
        <v>6030</v>
      </c>
      <c r="K5810" s="3" t="s">
        <v>223</v>
      </c>
    </row>
    <row r="5811" ht="15.6" spans="4:11">
      <c r="D5811" s="4">
        <v>3851</v>
      </c>
      <c r="E5811" s="4" t="s">
        <v>223</v>
      </c>
      <c r="J5811" s="3" t="s">
        <v>6031</v>
      </c>
      <c r="K5811" s="3" t="s">
        <v>223</v>
      </c>
    </row>
    <row r="5812" ht="15.6" spans="4:11">
      <c r="D5812" s="4">
        <v>3852</v>
      </c>
      <c r="E5812" s="4" t="s">
        <v>223</v>
      </c>
      <c r="J5812" s="3" t="s">
        <v>6032</v>
      </c>
      <c r="K5812" s="3" t="s">
        <v>223</v>
      </c>
    </row>
    <row r="5813" ht="15.6" spans="4:11">
      <c r="D5813" s="4">
        <v>3853</v>
      </c>
      <c r="E5813" s="4" t="s">
        <v>223</v>
      </c>
      <c r="J5813" s="3" t="s">
        <v>6033</v>
      </c>
      <c r="K5813" s="3" t="s">
        <v>223</v>
      </c>
    </row>
    <row r="5814" ht="15.6" spans="4:11">
      <c r="D5814" s="4">
        <v>3854</v>
      </c>
      <c r="E5814" s="4" t="s">
        <v>223</v>
      </c>
      <c r="J5814" s="3" t="s">
        <v>6034</v>
      </c>
      <c r="K5814" s="3" t="s">
        <v>223</v>
      </c>
    </row>
    <row r="5815" ht="15.6" spans="4:11">
      <c r="D5815" s="4">
        <v>3855</v>
      </c>
      <c r="E5815" s="4" t="s">
        <v>223</v>
      </c>
      <c r="J5815" s="3" t="s">
        <v>6035</v>
      </c>
      <c r="K5815" s="3" t="s">
        <v>223</v>
      </c>
    </row>
    <row r="5816" ht="15.6" spans="4:11">
      <c r="D5816" s="4">
        <v>3856</v>
      </c>
      <c r="E5816" s="4" t="s">
        <v>223</v>
      </c>
      <c r="J5816" s="3" t="s">
        <v>6036</v>
      </c>
      <c r="K5816" s="3" t="s">
        <v>223</v>
      </c>
    </row>
    <row r="5817" ht="15.6" spans="4:11">
      <c r="D5817" s="4">
        <v>3857</v>
      </c>
      <c r="E5817" s="4" t="s">
        <v>223</v>
      </c>
      <c r="J5817" s="3" t="s">
        <v>6037</v>
      </c>
      <c r="K5817" s="3" t="s">
        <v>223</v>
      </c>
    </row>
    <row r="5818" ht="15.6" spans="4:11">
      <c r="D5818" s="4">
        <v>3858</v>
      </c>
      <c r="E5818" s="4" t="s">
        <v>223</v>
      </c>
      <c r="J5818" s="3" t="s">
        <v>6038</v>
      </c>
      <c r="K5818" s="3" t="s">
        <v>223</v>
      </c>
    </row>
    <row r="5819" ht="15.6" spans="4:11">
      <c r="D5819" s="4">
        <v>3859</v>
      </c>
      <c r="E5819" s="4" t="s">
        <v>223</v>
      </c>
      <c r="J5819" s="3" t="s">
        <v>6039</v>
      </c>
      <c r="K5819" s="3" t="s">
        <v>223</v>
      </c>
    </row>
    <row r="5820" ht="15.6" spans="4:11">
      <c r="D5820" s="4">
        <v>3860</v>
      </c>
      <c r="E5820" s="4" t="s">
        <v>223</v>
      </c>
      <c r="J5820" s="3" t="s">
        <v>6040</v>
      </c>
      <c r="K5820" s="3" t="s">
        <v>223</v>
      </c>
    </row>
    <row r="5821" ht="15.6" spans="4:11">
      <c r="D5821" s="4">
        <v>3861</v>
      </c>
      <c r="E5821" s="4" t="s">
        <v>223</v>
      </c>
      <c r="J5821" s="3" t="s">
        <v>6041</v>
      </c>
      <c r="K5821" s="3" t="s">
        <v>223</v>
      </c>
    </row>
    <row r="5822" ht="15.6" spans="4:11">
      <c r="D5822" s="4">
        <v>3862</v>
      </c>
      <c r="E5822" s="4" t="s">
        <v>223</v>
      </c>
      <c r="J5822" s="3" t="s">
        <v>6042</v>
      </c>
      <c r="K5822" s="3" t="s">
        <v>223</v>
      </c>
    </row>
    <row r="5823" ht="15.6" spans="4:11">
      <c r="D5823" s="4">
        <v>3863</v>
      </c>
      <c r="E5823" s="4" t="s">
        <v>223</v>
      </c>
      <c r="J5823" s="3" t="s">
        <v>6043</v>
      </c>
      <c r="K5823" s="3" t="s">
        <v>223</v>
      </c>
    </row>
    <row r="5824" ht="15.6" spans="4:11">
      <c r="D5824" s="4">
        <v>3864</v>
      </c>
      <c r="E5824" s="4" t="s">
        <v>223</v>
      </c>
      <c r="J5824" s="3" t="s">
        <v>6044</v>
      </c>
      <c r="K5824" s="3" t="s">
        <v>223</v>
      </c>
    </row>
    <row r="5825" ht="15.6" spans="4:11">
      <c r="D5825" s="4">
        <v>3865</v>
      </c>
      <c r="E5825" s="4" t="s">
        <v>223</v>
      </c>
      <c r="J5825" s="3" t="s">
        <v>6045</v>
      </c>
      <c r="K5825" s="3" t="s">
        <v>223</v>
      </c>
    </row>
    <row r="5826" ht="15.6" spans="4:11">
      <c r="D5826" s="4">
        <v>3866</v>
      </c>
      <c r="E5826" s="4" t="s">
        <v>223</v>
      </c>
      <c r="J5826" s="3" t="s">
        <v>6046</v>
      </c>
      <c r="K5826" s="3" t="s">
        <v>223</v>
      </c>
    </row>
    <row r="5827" ht="15.6" spans="4:11">
      <c r="D5827" s="4">
        <v>3867</v>
      </c>
      <c r="E5827" s="4" t="s">
        <v>223</v>
      </c>
      <c r="J5827" s="3" t="s">
        <v>6047</v>
      </c>
      <c r="K5827" s="3" t="s">
        <v>223</v>
      </c>
    </row>
    <row r="5828" ht="15.6" spans="4:11">
      <c r="D5828" s="4">
        <v>3868</v>
      </c>
      <c r="E5828" s="4" t="s">
        <v>223</v>
      </c>
      <c r="J5828" s="3" t="s">
        <v>6048</v>
      </c>
      <c r="K5828" s="3" t="s">
        <v>223</v>
      </c>
    </row>
    <row r="5829" ht="15.6" spans="4:11">
      <c r="D5829" s="4">
        <v>3869</v>
      </c>
      <c r="E5829" s="4" t="s">
        <v>223</v>
      </c>
      <c r="J5829" s="3" t="s">
        <v>6049</v>
      </c>
      <c r="K5829" s="3" t="s">
        <v>223</v>
      </c>
    </row>
    <row r="5830" ht="15.6" spans="4:11">
      <c r="D5830" s="4">
        <v>3870</v>
      </c>
      <c r="E5830" s="4" t="s">
        <v>223</v>
      </c>
      <c r="J5830" s="3" t="s">
        <v>6050</v>
      </c>
      <c r="K5830" s="3" t="s">
        <v>223</v>
      </c>
    </row>
    <row r="5831" ht="15.6" spans="4:11">
      <c r="D5831" s="4">
        <v>3871</v>
      </c>
      <c r="E5831" s="4" t="s">
        <v>223</v>
      </c>
      <c r="J5831" s="3" t="s">
        <v>6051</v>
      </c>
      <c r="K5831" s="3" t="s">
        <v>223</v>
      </c>
    </row>
    <row r="5832" ht="15.6" spans="4:11">
      <c r="D5832" s="4">
        <v>3872</v>
      </c>
      <c r="E5832" s="4" t="s">
        <v>223</v>
      </c>
      <c r="J5832" s="3" t="s">
        <v>6052</v>
      </c>
      <c r="K5832" s="3" t="s">
        <v>223</v>
      </c>
    </row>
    <row r="5833" ht="15.6" spans="4:11">
      <c r="D5833" s="4">
        <v>3873</v>
      </c>
      <c r="E5833" s="4" t="s">
        <v>223</v>
      </c>
      <c r="J5833" s="3" t="s">
        <v>6053</v>
      </c>
      <c r="K5833" s="3" t="s">
        <v>223</v>
      </c>
    </row>
    <row r="5834" ht="15.6" spans="4:11">
      <c r="D5834" s="4">
        <v>3874</v>
      </c>
      <c r="E5834" s="4" t="s">
        <v>223</v>
      </c>
      <c r="J5834" s="3" t="s">
        <v>6054</v>
      </c>
      <c r="K5834" s="3" t="s">
        <v>223</v>
      </c>
    </row>
    <row r="5835" ht="15.6" spans="4:11">
      <c r="D5835" s="4">
        <v>3875</v>
      </c>
      <c r="E5835" s="4" t="s">
        <v>223</v>
      </c>
      <c r="J5835" s="3" t="s">
        <v>6055</v>
      </c>
      <c r="K5835" s="3" t="s">
        <v>223</v>
      </c>
    </row>
    <row r="5836" ht="15.6" spans="4:11">
      <c r="D5836" s="4">
        <v>3876</v>
      </c>
      <c r="E5836" s="4" t="s">
        <v>223</v>
      </c>
      <c r="J5836" s="3" t="s">
        <v>6056</v>
      </c>
      <c r="K5836" s="3" t="s">
        <v>223</v>
      </c>
    </row>
    <row r="5837" ht="15.6" spans="4:11">
      <c r="D5837" s="4">
        <v>3877</v>
      </c>
      <c r="E5837" s="4" t="s">
        <v>223</v>
      </c>
      <c r="J5837" s="3" t="s">
        <v>6057</v>
      </c>
      <c r="K5837" s="3" t="s">
        <v>223</v>
      </c>
    </row>
    <row r="5838" ht="15.6" spans="4:11">
      <c r="D5838" s="4">
        <v>3878</v>
      </c>
      <c r="E5838" s="4" t="s">
        <v>223</v>
      </c>
      <c r="J5838" s="3" t="s">
        <v>6058</v>
      </c>
      <c r="K5838" s="3" t="s">
        <v>223</v>
      </c>
    </row>
    <row r="5839" ht="15.6" spans="4:11">
      <c r="D5839" s="4">
        <v>3879</v>
      </c>
      <c r="E5839" s="4" t="s">
        <v>223</v>
      </c>
      <c r="J5839" s="3" t="s">
        <v>6059</v>
      </c>
      <c r="K5839" s="3" t="s">
        <v>223</v>
      </c>
    </row>
    <row r="5840" ht="15.6" spans="4:11">
      <c r="D5840" s="4">
        <v>3880</v>
      </c>
      <c r="E5840" s="4" t="s">
        <v>223</v>
      </c>
      <c r="J5840" s="3" t="s">
        <v>6060</v>
      </c>
      <c r="K5840" s="3" t="s">
        <v>223</v>
      </c>
    </row>
    <row r="5841" ht="15.6" spans="4:11">
      <c r="D5841" s="4">
        <v>3881</v>
      </c>
      <c r="E5841" s="4" t="s">
        <v>223</v>
      </c>
      <c r="J5841" s="3" t="s">
        <v>6061</v>
      </c>
      <c r="K5841" s="3" t="s">
        <v>223</v>
      </c>
    </row>
    <row r="5842" ht="15.6" spans="4:11">
      <c r="D5842" s="4">
        <v>3882</v>
      </c>
      <c r="E5842" s="4" t="s">
        <v>223</v>
      </c>
      <c r="J5842" s="3" t="s">
        <v>6062</v>
      </c>
      <c r="K5842" s="3" t="s">
        <v>223</v>
      </c>
    </row>
    <row r="5843" ht="15.6" spans="4:11">
      <c r="D5843" s="4">
        <v>3883</v>
      </c>
      <c r="E5843" s="4" t="s">
        <v>223</v>
      </c>
      <c r="J5843" s="3" t="s">
        <v>6063</v>
      </c>
      <c r="K5843" s="3" t="s">
        <v>223</v>
      </c>
    </row>
    <row r="5844" ht="15.6" spans="4:11">
      <c r="D5844" s="4">
        <v>3884</v>
      </c>
      <c r="E5844" s="4" t="s">
        <v>223</v>
      </c>
      <c r="J5844" s="3" t="s">
        <v>6064</v>
      </c>
      <c r="K5844" s="3" t="s">
        <v>223</v>
      </c>
    </row>
    <row r="5845" ht="15.6" spans="4:11">
      <c r="D5845" s="4">
        <v>3885</v>
      </c>
      <c r="E5845" s="4" t="s">
        <v>223</v>
      </c>
      <c r="J5845" s="3" t="s">
        <v>6065</v>
      </c>
      <c r="K5845" s="3" t="s">
        <v>223</v>
      </c>
    </row>
    <row r="5846" ht="15.6" spans="4:11">
      <c r="D5846" s="4">
        <v>3886</v>
      </c>
      <c r="E5846" s="4" t="s">
        <v>223</v>
      </c>
      <c r="J5846" s="3" t="s">
        <v>6066</v>
      </c>
      <c r="K5846" s="3" t="s">
        <v>223</v>
      </c>
    </row>
    <row r="5847" ht="15.6" spans="4:11">
      <c r="D5847" s="4">
        <v>3887</v>
      </c>
      <c r="E5847" s="4" t="s">
        <v>223</v>
      </c>
      <c r="J5847" s="3" t="s">
        <v>6067</v>
      </c>
      <c r="K5847" s="3" t="s">
        <v>223</v>
      </c>
    </row>
    <row r="5848" ht="15.6" spans="4:11">
      <c r="D5848" s="4">
        <v>3888</v>
      </c>
      <c r="E5848" s="4" t="s">
        <v>223</v>
      </c>
      <c r="J5848" s="3" t="s">
        <v>6068</v>
      </c>
      <c r="K5848" s="3" t="s">
        <v>223</v>
      </c>
    </row>
    <row r="5849" ht="15.6" spans="4:11">
      <c r="D5849" s="4">
        <v>3889</v>
      </c>
      <c r="E5849" s="4" t="s">
        <v>223</v>
      </c>
      <c r="J5849" s="3" t="s">
        <v>6069</v>
      </c>
      <c r="K5849" s="3" t="s">
        <v>223</v>
      </c>
    </row>
    <row r="5850" ht="15.6" spans="4:11">
      <c r="D5850" s="4">
        <v>3890</v>
      </c>
      <c r="E5850" s="4" t="s">
        <v>223</v>
      </c>
      <c r="J5850" s="3" t="s">
        <v>6070</v>
      </c>
      <c r="K5850" s="3" t="s">
        <v>223</v>
      </c>
    </row>
    <row r="5851" ht="15.6" spans="4:11">
      <c r="D5851" s="4">
        <v>3891</v>
      </c>
      <c r="E5851" s="4" t="s">
        <v>223</v>
      </c>
      <c r="J5851" s="3" t="s">
        <v>6071</v>
      </c>
      <c r="K5851" s="3" t="s">
        <v>223</v>
      </c>
    </row>
    <row r="5852" ht="15.6" spans="4:11">
      <c r="D5852" s="4">
        <v>3892</v>
      </c>
      <c r="E5852" s="4" t="s">
        <v>223</v>
      </c>
      <c r="J5852" s="3" t="s">
        <v>6072</v>
      </c>
      <c r="K5852" s="3" t="s">
        <v>223</v>
      </c>
    </row>
    <row r="5853" ht="15.6" spans="4:11">
      <c r="D5853" s="4">
        <v>3893</v>
      </c>
      <c r="E5853" s="4" t="s">
        <v>223</v>
      </c>
      <c r="J5853" s="3" t="s">
        <v>6073</v>
      </c>
      <c r="K5853" s="3" t="s">
        <v>223</v>
      </c>
    </row>
    <row r="5854" ht="15.6" spans="4:11">
      <c r="D5854" s="4">
        <v>3894</v>
      </c>
      <c r="E5854" s="4" t="s">
        <v>223</v>
      </c>
      <c r="J5854" s="3" t="s">
        <v>6074</v>
      </c>
      <c r="K5854" s="3" t="s">
        <v>223</v>
      </c>
    </row>
    <row r="5855" ht="15.6" spans="4:11">
      <c r="D5855" s="4">
        <v>3895</v>
      </c>
      <c r="E5855" s="4" t="s">
        <v>223</v>
      </c>
      <c r="J5855" s="3" t="s">
        <v>6075</v>
      </c>
      <c r="K5855" s="3" t="s">
        <v>223</v>
      </c>
    </row>
    <row r="5856" ht="15.6" spans="4:11">
      <c r="D5856" s="4">
        <v>3896</v>
      </c>
      <c r="E5856" s="4" t="s">
        <v>223</v>
      </c>
      <c r="J5856" s="3" t="s">
        <v>6076</v>
      </c>
      <c r="K5856" s="3" t="s">
        <v>223</v>
      </c>
    </row>
    <row r="5857" ht="15.6" spans="4:11">
      <c r="D5857" s="4">
        <v>3897</v>
      </c>
      <c r="E5857" s="4" t="s">
        <v>223</v>
      </c>
      <c r="J5857" s="3" t="s">
        <v>6077</v>
      </c>
      <c r="K5857" s="3" t="s">
        <v>223</v>
      </c>
    </row>
    <row r="5858" ht="15.6" spans="4:11">
      <c r="D5858" s="4">
        <v>3898</v>
      </c>
      <c r="E5858" s="4" t="s">
        <v>223</v>
      </c>
      <c r="J5858" s="3" t="s">
        <v>6078</v>
      </c>
      <c r="K5858" s="3" t="s">
        <v>223</v>
      </c>
    </row>
    <row r="5859" ht="15.6" spans="4:11">
      <c r="D5859" s="4">
        <v>3899</v>
      </c>
      <c r="E5859" s="4" t="s">
        <v>223</v>
      </c>
      <c r="J5859" s="3" t="s">
        <v>6079</v>
      </c>
      <c r="K5859" s="3" t="s">
        <v>223</v>
      </c>
    </row>
    <row r="5860" ht="15.6" spans="4:11">
      <c r="D5860" s="4">
        <v>3900</v>
      </c>
      <c r="E5860" s="4" t="s">
        <v>223</v>
      </c>
      <c r="J5860" s="3" t="s">
        <v>6080</v>
      </c>
      <c r="K5860" s="3" t="s">
        <v>223</v>
      </c>
    </row>
    <row r="5861" ht="15.6" spans="4:11">
      <c r="D5861" s="4">
        <v>3901</v>
      </c>
      <c r="E5861" s="4" t="s">
        <v>223</v>
      </c>
      <c r="J5861" s="3" t="s">
        <v>6081</v>
      </c>
      <c r="K5861" s="3" t="s">
        <v>223</v>
      </c>
    </row>
    <row r="5862" ht="15.6" spans="4:11">
      <c r="D5862" s="4">
        <v>3902</v>
      </c>
      <c r="E5862" s="4" t="s">
        <v>223</v>
      </c>
      <c r="J5862" s="3" t="s">
        <v>6082</v>
      </c>
      <c r="K5862" s="3" t="s">
        <v>223</v>
      </c>
    </row>
    <row r="5863" ht="15.6" spans="4:11">
      <c r="D5863" s="4">
        <v>3903</v>
      </c>
      <c r="E5863" s="4" t="s">
        <v>223</v>
      </c>
      <c r="J5863" s="3" t="s">
        <v>6083</v>
      </c>
      <c r="K5863" s="3" t="s">
        <v>223</v>
      </c>
    </row>
    <row r="5864" ht="15.6" spans="4:11">
      <c r="D5864" s="4">
        <v>3904</v>
      </c>
      <c r="E5864" s="4" t="s">
        <v>223</v>
      </c>
      <c r="J5864" s="3" t="s">
        <v>6084</v>
      </c>
      <c r="K5864" s="3" t="s">
        <v>223</v>
      </c>
    </row>
    <row r="5865" ht="15.6" spans="4:11">
      <c r="D5865" s="4">
        <v>3905</v>
      </c>
      <c r="E5865" s="4" t="s">
        <v>223</v>
      </c>
      <c r="J5865" s="3" t="s">
        <v>6085</v>
      </c>
      <c r="K5865" s="3" t="s">
        <v>223</v>
      </c>
    </row>
    <row r="5866" ht="15.6" spans="4:11">
      <c r="D5866" s="4">
        <v>3906</v>
      </c>
      <c r="E5866" s="4" t="s">
        <v>223</v>
      </c>
      <c r="J5866" s="3" t="s">
        <v>6086</v>
      </c>
      <c r="K5866" s="3" t="s">
        <v>223</v>
      </c>
    </row>
    <row r="5867" ht="15.6" spans="4:11">
      <c r="D5867" s="4">
        <v>3907</v>
      </c>
      <c r="E5867" s="4" t="s">
        <v>223</v>
      </c>
      <c r="J5867" s="3" t="s">
        <v>6087</v>
      </c>
      <c r="K5867" s="3" t="s">
        <v>223</v>
      </c>
    </row>
    <row r="5868" ht="15.6" spans="4:11">
      <c r="D5868" s="4">
        <v>3908</v>
      </c>
      <c r="E5868" s="4" t="s">
        <v>223</v>
      </c>
      <c r="J5868" s="3" t="s">
        <v>6088</v>
      </c>
      <c r="K5868" s="3" t="s">
        <v>223</v>
      </c>
    </row>
    <row r="5869" ht="15.6" spans="4:11">
      <c r="D5869" s="4">
        <v>3909</v>
      </c>
      <c r="E5869" s="4" t="s">
        <v>223</v>
      </c>
      <c r="J5869" s="3" t="s">
        <v>6089</v>
      </c>
      <c r="K5869" s="3" t="s">
        <v>223</v>
      </c>
    </row>
    <row r="5870" ht="15.6" spans="4:11">
      <c r="D5870" s="4">
        <v>3921</v>
      </c>
      <c r="E5870" s="4" t="s">
        <v>223</v>
      </c>
      <c r="J5870" s="3" t="s">
        <v>6090</v>
      </c>
      <c r="K5870" s="3" t="s">
        <v>223</v>
      </c>
    </row>
    <row r="5871" ht="15.6" spans="4:11">
      <c r="D5871" s="4">
        <v>3922</v>
      </c>
      <c r="E5871" s="4" t="s">
        <v>223</v>
      </c>
      <c r="J5871" s="3" t="s">
        <v>6091</v>
      </c>
      <c r="K5871" s="3" t="s">
        <v>223</v>
      </c>
    </row>
    <row r="5872" ht="15.6" spans="4:11">
      <c r="D5872" s="4">
        <v>3923</v>
      </c>
      <c r="E5872" s="4" t="s">
        <v>223</v>
      </c>
      <c r="J5872" s="3" t="s">
        <v>6092</v>
      </c>
      <c r="K5872" s="3" t="s">
        <v>223</v>
      </c>
    </row>
    <row r="5873" ht="15.6" spans="4:11">
      <c r="D5873" s="4">
        <v>3924</v>
      </c>
      <c r="E5873" s="4" t="s">
        <v>223</v>
      </c>
      <c r="J5873" s="3" t="s">
        <v>6093</v>
      </c>
      <c r="K5873" s="3" t="s">
        <v>223</v>
      </c>
    </row>
    <row r="5874" ht="15.6" spans="4:11">
      <c r="D5874" s="4">
        <v>3925</v>
      </c>
      <c r="E5874" s="4" t="s">
        <v>223</v>
      </c>
      <c r="J5874" s="3" t="s">
        <v>6094</v>
      </c>
      <c r="K5874" s="3" t="s">
        <v>223</v>
      </c>
    </row>
    <row r="5875" ht="15.6" spans="4:11">
      <c r="D5875" s="4">
        <v>3945</v>
      </c>
      <c r="E5875" s="4" t="s">
        <v>223</v>
      </c>
      <c r="J5875" s="3" t="s">
        <v>6095</v>
      </c>
      <c r="K5875" s="3" t="s">
        <v>223</v>
      </c>
    </row>
    <row r="5876" ht="15.6" spans="4:11">
      <c r="D5876" s="4">
        <v>3946</v>
      </c>
      <c r="E5876" s="4" t="s">
        <v>223</v>
      </c>
      <c r="J5876" s="3" t="s">
        <v>6096</v>
      </c>
      <c r="K5876" s="3" t="s">
        <v>223</v>
      </c>
    </row>
    <row r="5877" ht="15.6" spans="4:11">
      <c r="D5877" s="4">
        <v>3947</v>
      </c>
      <c r="E5877" s="4" t="s">
        <v>223</v>
      </c>
      <c r="J5877" s="3" t="s">
        <v>6097</v>
      </c>
      <c r="K5877" s="3" t="s">
        <v>223</v>
      </c>
    </row>
    <row r="5878" ht="15.6" spans="4:11">
      <c r="D5878" s="4">
        <v>3948</v>
      </c>
      <c r="E5878" s="4" t="s">
        <v>223</v>
      </c>
      <c r="J5878" s="3" t="s">
        <v>6098</v>
      </c>
      <c r="K5878" s="3" t="s">
        <v>223</v>
      </c>
    </row>
    <row r="5879" ht="15.6" spans="4:11">
      <c r="D5879" s="4">
        <v>3949</v>
      </c>
      <c r="E5879" s="4" t="s">
        <v>223</v>
      </c>
      <c r="J5879" s="3" t="s">
        <v>6099</v>
      </c>
      <c r="K5879" s="3" t="s">
        <v>223</v>
      </c>
    </row>
    <row r="5880" ht="15.6" spans="4:11">
      <c r="D5880" s="4">
        <v>3950</v>
      </c>
      <c r="E5880" s="4" t="s">
        <v>223</v>
      </c>
      <c r="J5880" s="3" t="s">
        <v>6100</v>
      </c>
      <c r="K5880" s="3" t="s">
        <v>223</v>
      </c>
    </row>
    <row r="5881" ht="15.6" spans="4:11">
      <c r="D5881" s="4">
        <v>3951</v>
      </c>
      <c r="E5881" s="4" t="s">
        <v>223</v>
      </c>
      <c r="J5881" s="3" t="s">
        <v>6101</v>
      </c>
      <c r="K5881" s="3" t="s">
        <v>223</v>
      </c>
    </row>
    <row r="5882" ht="15.6" spans="4:11">
      <c r="D5882" s="4">
        <v>3952</v>
      </c>
      <c r="E5882" s="4" t="s">
        <v>223</v>
      </c>
      <c r="J5882" s="3" t="s">
        <v>6102</v>
      </c>
      <c r="K5882" s="3" t="s">
        <v>223</v>
      </c>
    </row>
    <row r="5883" ht="15.6" spans="4:11">
      <c r="D5883" s="4">
        <v>3953</v>
      </c>
      <c r="E5883" s="4" t="s">
        <v>223</v>
      </c>
      <c r="J5883" s="3" t="s">
        <v>6103</v>
      </c>
      <c r="K5883" s="3" t="s">
        <v>223</v>
      </c>
    </row>
    <row r="5884" ht="15.6" spans="4:11">
      <c r="D5884" s="4">
        <v>3954</v>
      </c>
      <c r="E5884" s="4" t="s">
        <v>223</v>
      </c>
      <c r="J5884" s="3" t="s">
        <v>6104</v>
      </c>
      <c r="K5884" s="3" t="s">
        <v>223</v>
      </c>
    </row>
    <row r="5885" ht="15.6" spans="4:11">
      <c r="D5885" s="4">
        <v>3955</v>
      </c>
      <c r="E5885" s="4" t="s">
        <v>223</v>
      </c>
      <c r="J5885" s="3" t="s">
        <v>6105</v>
      </c>
      <c r="K5885" s="3" t="s">
        <v>223</v>
      </c>
    </row>
    <row r="5886" ht="15.6" spans="4:11">
      <c r="D5886" s="4">
        <v>3956</v>
      </c>
      <c r="E5886" s="4" t="s">
        <v>223</v>
      </c>
      <c r="J5886" s="3" t="s">
        <v>6106</v>
      </c>
      <c r="K5886" s="3" t="s">
        <v>223</v>
      </c>
    </row>
    <row r="5887" ht="15.6" spans="4:11">
      <c r="D5887" s="4">
        <v>3957</v>
      </c>
      <c r="E5887" s="4" t="s">
        <v>223</v>
      </c>
      <c r="J5887" s="3" t="s">
        <v>6107</v>
      </c>
      <c r="K5887" s="3" t="s">
        <v>223</v>
      </c>
    </row>
    <row r="5888" ht="15.6" spans="4:11">
      <c r="D5888" s="4">
        <v>3958</v>
      </c>
      <c r="E5888" s="4" t="s">
        <v>223</v>
      </c>
      <c r="J5888" s="3" t="s">
        <v>6108</v>
      </c>
      <c r="K5888" s="3" t="s">
        <v>223</v>
      </c>
    </row>
    <row r="5889" ht="15.6" spans="4:11">
      <c r="D5889" s="4">
        <v>3959</v>
      </c>
      <c r="E5889" s="4" t="s">
        <v>223</v>
      </c>
      <c r="J5889" s="3" t="s">
        <v>6109</v>
      </c>
      <c r="K5889" s="3" t="s">
        <v>223</v>
      </c>
    </row>
    <row r="5890" ht="15.6" spans="4:11">
      <c r="D5890" s="4">
        <v>3960</v>
      </c>
      <c r="E5890" s="4" t="s">
        <v>223</v>
      </c>
      <c r="J5890" s="3" t="s">
        <v>6110</v>
      </c>
      <c r="K5890" s="3" t="s">
        <v>223</v>
      </c>
    </row>
    <row r="5891" ht="15.6" spans="4:11">
      <c r="D5891" s="4">
        <v>3961</v>
      </c>
      <c r="E5891" s="4" t="s">
        <v>223</v>
      </c>
      <c r="J5891" s="3" t="s">
        <v>6111</v>
      </c>
      <c r="K5891" s="3" t="s">
        <v>223</v>
      </c>
    </row>
    <row r="5892" ht="15.6" spans="4:11">
      <c r="D5892" s="4">
        <v>3962</v>
      </c>
      <c r="E5892" s="4" t="s">
        <v>223</v>
      </c>
      <c r="J5892" s="3" t="s">
        <v>6112</v>
      </c>
      <c r="K5892" s="3" t="s">
        <v>223</v>
      </c>
    </row>
    <row r="5893" ht="15.6" spans="4:11">
      <c r="D5893" s="4">
        <v>3963</v>
      </c>
      <c r="E5893" s="4" t="s">
        <v>223</v>
      </c>
      <c r="J5893" s="3" t="s">
        <v>6113</v>
      </c>
      <c r="K5893" s="3" t="s">
        <v>223</v>
      </c>
    </row>
    <row r="5894" ht="15.6" spans="4:11">
      <c r="D5894" s="4">
        <v>3964</v>
      </c>
      <c r="E5894" s="4" t="s">
        <v>223</v>
      </c>
      <c r="J5894" s="3" t="s">
        <v>6114</v>
      </c>
      <c r="K5894" s="3" t="s">
        <v>223</v>
      </c>
    </row>
    <row r="5895" ht="15.6" spans="4:11">
      <c r="D5895" s="4">
        <v>3965</v>
      </c>
      <c r="E5895" s="4" t="s">
        <v>223</v>
      </c>
      <c r="J5895" s="3" t="s">
        <v>6115</v>
      </c>
      <c r="K5895" s="3" t="s">
        <v>223</v>
      </c>
    </row>
    <row r="5896" ht="15.6" spans="4:11">
      <c r="D5896" s="4">
        <v>3966</v>
      </c>
      <c r="E5896" s="4" t="s">
        <v>223</v>
      </c>
      <c r="J5896" s="3" t="s">
        <v>6116</v>
      </c>
      <c r="K5896" s="3" t="s">
        <v>223</v>
      </c>
    </row>
    <row r="5897" ht="15.6" spans="4:11">
      <c r="D5897" s="4">
        <v>3967</v>
      </c>
      <c r="E5897" s="4" t="s">
        <v>223</v>
      </c>
      <c r="J5897" s="3" t="s">
        <v>6117</v>
      </c>
      <c r="K5897" s="3" t="s">
        <v>223</v>
      </c>
    </row>
    <row r="5898" ht="15.6" spans="4:11">
      <c r="D5898" s="4">
        <v>3968</v>
      </c>
      <c r="E5898" s="4" t="s">
        <v>223</v>
      </c>
      <c r="J5898" s="3" t="s">
        <v>6118</v>
      </c>
      <c r="K5898" s="3" t="s">
        <v>223</v>
      </c>
    </row>
    <row r="5899" ht="15.6" spans="4:11">
      <c r="D5899" s="4">
        <v>3969</v>
      </c>
      <c r="E5899" s="4" t="s">
        <v>223</v>
      </c>
      <c r="J5899" s="3" t="s">
        <v>6119</v>
      </c>
      <c r="K5899" s="3" t="s">
        <v>223</v>
      </c>
    </row>
    <row r="5900" ht="15.6" spans="4:11">
      <c r="D5900" s="4">
        <v>3970</v>
      </c>
      <c r="E5900" s="4" t="s">
        <v>223</v>
      </c>
      <c r="J5900" s="3" t="s">
        <v>6120</v>
      </c>
      <c r="K5900" s="3" t="s">
        <v>223</v>
      </c>
    </row>
    <row r="5901" ht="15.6" spans="4:11">
      <c r="D5901" s="4">
        <v>3971</v>
      </c>
      <c r="E5901" s="4" t="s">
        <v>223</v>
      </c>
      <c r="J5901" s="3" t="s">
        <v>6121</v>
      </c>
      <c r="K5901" s="3" t="s">
        <v>223</v>
      </c>
    </row>
    <row r="5902" ht="15.6" spans="4:11">
      <c r="D5902" s="4">
        <v>3972</v>
      </c>
      <c r="E5902" s="4" t="s">
        <v>223</v>
      </c>
      <c r="J5902" s="3" t="s">
        <v>6122</v>
      </c>
      <c r="K5902" s="3" t="s">
        <v>223</v>
      </c>
    </row>
    <row r="5903" ht="15.6" spans="4:11">
      <c r="D5903" s="4">
        <v>3973</v>
      </c>
      <c r="E5903" s="4" t="s">
        <v>223</v>
      </c>
      <c r="J5903" s="3" t="s">
        <v>6123</v>
      </c>
      <c r="K5903" s="3" t="s">
        <v>223</v>
      </c>
    </row>
    <row r="5904" ht="15.6" spans="4:11">
      <c r="D5904" s="4">
        <v>3974</v>
      </c>
      <c r="E5904" s="4" t="s">
        <v>223</v>
      </c>
      <c r="J5904" s="3" t="s">
        <v>6124</v>
      </c>
      <c r="K5904" s="3" t="s">
        <v>223</v>
      </c>
    </row>
    <row r="5905" ht="15.6" spans="4:11">
      <c r="D5905" s="4">
        <v>3979</v>
      </c>
      <c r="E5905" s="4" t="s">
        <v>223</v>
      </c>
      <c r="J5905" s="3" t="s">
        <v>6125</v>
      </c>
      <c r="K5905" s="3" t="s">
        <v>223</v>
      </c>
    </row>
    <row r="5906" ht="15.6" spans="4:11">
      <c r="D5906" s="4">
        <v>3984</v>
      </c>
      <c r="E5906" s="4" t="s">
        <v>223</v>
      </c>
      <c r="J5906" s="3" t="s">
        <v>6126</v>
      </c>
      <c r="K5906" s="3" t="s">
        <v>223</v>
      </c>
    </row>
    <row r="5907" ht="15.6" spans="4:11">
      <c r="D5907" s="4">
        <v>3985</v>
      </c>
      <c r="E5907" s="4" t="s">
        <v>223</v>
      </c>
      <c r="J5907" s="3" t="s">
        <v>6127</v>
      </c>
      <c r="K5907" s="3" t="s">
        <v>223</v>
      </c>
    </row>
    <row r="5908" ht="15.6" spans="4:11">
      <c r="D5908" s="4">
        <v>3986</v>
      </c>
      <c r="E5908" s="4" t="s">
        <v>223</v>
      </c>
      <c r="J5908" s="3" t="s">
        <v>6128</v>
      </c>
      <c r="K5908" s="3" t="s">
        <v>223</v>
      </c>
    </row>
    <row r="5909" ht="15.6" spans="4:11">
      <c r="D5909" s="4">
        <v>3987</v>
      </c>
      <c r="E5909" s="4" t="s">
        <v>223</v>
      </c>
      <c r="J5909" s="3" t="s">
        <v>6129</v>
      </c>
      <c r="K5909" s="3" t="s">
        <v>223</v>
      </c>
    </row>
    <row r="5910" ht="15.6" spans="4:11">
      <c r="D5910" s="4">
        <v>3988</v>
      </c>
      <c r="E5910" s="4" t="s">
        <v>223</v>
      </c>
      <c r="J5910" s="3" t="s">
        <v>6130</v>
      </c>
      <c r="K5910" s="3" t="s">
        <v>223</v>
      </c>
    </row>
    <row r="5911" ht="15.6" spans="4:11">
      <c r="D5911" s="4">
        <v>3989</v>
      </c>
      <c r="E5911" s="4" t="s">
        <v>223</v>
      </c>
      <c r="J5911" s="3" t="s">
        <v>6131</v>
      </c>
      <c r="K5911" s="3" t="s">
        <v>223</v>
      </c>
    </row>
    <row r="5912" ht="15.6" spans="4:11">
      <c r="D5912" s="4">
        <v>3990</v>
      </c>
      <c r="E5912" s="4" t="s">
        <v>223</v>
      </c>
      <c r="J5912" s="3" t="s">
        <v>6132</v>
      </c>
      <c r="K5912" s="3" t="s">
        <v>223</v>
      </c>
    </row>
    <row r="5913" ht="15.6" spans="4:11">
      <c r="D5913" s="4">
        <v>3991</v>
      </c>
      <c r="E5913" s="4" t="s">
        <v>223</v>
      </c>
      <c r="J5913" s="3" t="s">
        <v>6133</v>
      </c>
      <c r="K5913" s="3" t="s">
        <v>223</v>
      </c>
    </row>
    <row r="5914" ht="15.6" spans="4:11">
      <c r="D5914" s="4">
        <v>3992</v>
      </c>
      <c r="E5914" s="4" t="s">
        <v>223</v>
      </c>
      <c r="J5914" s="3" t="s">
        <v>6134</v>
      </c>
      <c r="K5914" s="3" t="s">
        <v>223</v>
      </c>
    </row>
    <row r="5915" ht="15.6" spans="4:11">
      <c r="D5915" s="4">
        <v>3993</v>
      </c>
      <c r="E5915" s="4" t="s">
        <v>223</v>
      </c>
      <c r="J5915" s="3" t="s">
        <v>6135</v>
      </c>
      <c r="K5915" s="3" t="s">
        <v>223</v>
      </c>
    </row>
    <row r="5916" ht="15.6" spans="4:11">
      <c r="D5916" s="4">
        <v>3994</v>
      </c>
      <c r="E5916" s="4" t="s">
        <v>223</v>
      </c>
      <c r="J5916" s="3" t="s">
        <v>6136</v>
      </c>
      <c r="K5916" s="3" t="s">
        <v>223</v>
      </c>
    </row>
    <row r="5917" ht="15.6" spans="4:11">
      <c r="D5917" s="4">
        <v>3995</v>
      </c>
      <c r="E5917" s="4" t="s">
        <v>223</v>
      </c>
      <c r="J5917" s="3" t="s">
        <v>6137</v>
      </c>
      <c r="K5917" s="3" t="s">
        <v>223</v>
      </c>
    </row>
    <row r="5918" ht="15.6" spans="4:11">
      <c r="D5918" s="4">
        <v>3996</v>
      </c>
      <c r="E5918" s="4" t="s">
        <v>223</v>
      </c>
      <c r="J5918" s="3" t="s">
        <v>6138</v>
      </c>
      <c r="K5918" s="3" t="s">
        <v>223</v>
      </c>
    </row>
    <row r="5919" ht="15.6" spans="4:11">
      <c r="D5919" s="4">
        <v>3997</v>
      </c>
      <c r="E5919" s="4" t="s">
        <v>223</v>
      </c>
      <c r="J5919" s="3" t="s">
        <v>6139</v>
      </c>
      <c r="K5919" s="3" t="s">
        <v>223</v>
      </c>
    </row>
    <row r="5920" ht="15.6" spans="4:11">
      <c r="D5920" s="4">
        <v>3998</v>
      </c>
      <c r="E5920" s="4" t="s">
        <v>223</v>
      </c>
      <c r="J5920" s="3" t="s">
        <v>6140</v>
      </c>
      <c r="K5920" s="3" t="s">
        <v>223</v>
      </c>
    </row>
    <row r="5921" ht="15.6" spans="4:11">
      <c r="D5921" s="4">
        <v>3999</v>
      </c>
      <c r="E5921" s="4" t="s">
        <v>223</v>
      </c>
      <c r="J5921" s="3" t="s">
        <v>6141</v>
      </c>
      <c r="K5921" s="3" t="s">
        <v>223</v>
      </c>
    </row>
    <row r="5922" ht="15.6" spans="4:11">
      <c r="D5922" s="4">
        <v>4309</v>
      </c>
      <c r="E5922" s="4" t="s">
        <v>223</v>
      </c>
      <c r="J5922" s="3" t="s">
        <v>6142</v>
      </c>
      <c r="K5922" s="3" t="s">
        <v>223</v>
      </c>
    </row>
    <row r="5923" ht="15.6" spans="4:11">
      <c r="D5923" s="4">
        <v>4310</v>
      </c>
      <c r="E5923" s="4" t="s">
        <v>223</v>
      </c>
      <c r="J5923" s="3" t="s">
        <v>6143</v>
      </c>
      <c r="K5923" s="3" t="s">
        <v>223</v>
      </c>
    </row>
    <row r="5924" ht="15.6" spans="4:11">
      <c r="D5924" s="4">
        <v>4311</v>
      </c>
      <c r="E5924" s="4" t="s">
        <v>223</v>
      </c>
      <c r="J5924" s="3" t="s">
        <v>6144</v>
      </c>
      <c r="K5924" s="3" t="s">
        <v>223</v>
      </c>
    </row>
    <row r="5925" ht="15.6" spans="4:11">
      <c r="D5925" s="4">
        <v>4312</v>
      </c>
      <c r="E5925" s="4" t="s">
        <v>223</v>
      </c>
      <c r="J5925" s="3" t="s">
        <v>6145</v>
      </c>
      <c r="K5925" s="3" t="s">
        <v>223</v>
      </c>
    </row>
    <row r="5926" ht="15.6" spans="4:11">
      <c r="D5926" s="4">
        <v>4313</v>
      </c>
      <c r="E5926" s="4" t="s">
        <v>223</v>
      </c>
      <c r="J5926" s="3" t="s">
        <v>6146</v>
      </c>
      <c r="K5926" s="3" t="s">
        <v>223</v>
      </c>
    </row>
    <row r="5927" ht="15.6" spans="4:11">
      <c r="D5927" s="4">
        <v>4314</v>
      </c>
      <c r="E5927" s="4" t="s">
        <v>223</v>
      </c>
      <c r="J5927" s="3" t="s">
        <v>6147</v>
      </c>
      <c r="K5927" s="3" t="s">
        <v>223</v>
      </c>
    </row>
    <row r="5928" ht="15.6" spans="4:11">
      <c r="D5928" s="4">
        <v>4315</v>
      </c>
      <c r="E5928" s="4" t="s">
        <v>223</v>
      </c>
      <c r="J5928" s="3" t="s">
        <v>6148</v>
      </c>
      <c r="K5928" s="3" t="s">
        <v>223</v>
      </c>
    </row>
    <row r="5929" ht="15.6" spans="4:11">
      <c r="D5929" s="4">
        <v>4316</v>
      </c>
      <c r="E5929" s="4" t="s">
        <v>223</v>
      </c>
      <c r="J5929" s="3" t="s">
        <v>6149</v>
      </c>
      <c r="K5929" s="3" t="s">
        <v>223</v>
      </c>
    </row>
    <row r="5930" ht="15.6" spans="4:11">
      <c r="D5930" s="4">
        <v>4317</v>
      </c>
      <c r="E5930" s="4" t="s">
        <v>223</v>
      </c>
      <c r="J5930" s="3" t="s">
        <v>6150</v>
      </c>
      <c r="K5930" s="3" t="s">
        <v>223</v>
      </c>
    </row>
    <row r="5931" ht="15.6" spans="4:11">
      <c r="D5931" s="4">
        <v>4318</v>
      </c>
      <c r="E5931" s="4" t="s">
        <v>223</v>
      </c>
      <c r="J5931" s="3" t="s">
        <v>6151</v>
      </c>
      <c r="K5931" s="3" t="s">
        <v>223</v>
      </c>
    </row>
    <row r="5932" ht="15.6" spans="4:11">
      <c r="D5932" s="4">
        <v>4319</v>
      </c>
      <c r="E5932" s="4" t="s">
        <v>223</v>
      </c>
      <c r="J5932" s="3" t="s">
        <v>6152</v>
      </c>
      <c r="K5932" s="3" t="s">
        <v>223</v>
      </c>
    </row>
    <row r="5933" ht="15.6" spans="4:11">
      <c r="D5933" s="4">
        <v>4320</v>
      </c>
      <c r="E5933" s="4" t="s">
        <v>223</v>
      </c>
      <c r="J5933" s="3" t="s">
        <v>6153</v>
      </c>
      <c r="K5933" s="3" t="s">
        <v>223</v>
      </c>
    </row>
    <row r="5934" ht="15.6" spans="4:11">
      <c r="D5934" s="4">
        <v>4321</v>
      </c>
      <c r="E5934" s="4" t="s">
        <v>223</v>
      </c>
      <c r="J5934" s="3" t="s">
        <v>6154</v>
      </c>
      <c r="K5934" s="3" t="s">
        <v>223</v>
      </c>
    </row>
    <row r="5935" ht="15.6" spans="4:11">
      <c r="D5935" s="4">
        <v>4322</v>
      </c>
      <c r="E5935" s="4" t="s">
        <v>223</v>
      </c>
      <c r="J5935" s="3" t="s">
        <v>6155</v>
      </c>
      <c r="K5935" s="3" t="s">
        <v>223</v>
      </c>
    </row>
    <row r="5936" ht="15.6" spans="4:11">
      <c r="D5936" s="4">
        <v>4323</v>
      </c>
      <c r="E5936" s="4" t="s">
        <v>223</v>
      </c>
      <c r="J5936" s="3" t="s">
        <v>6156</v>
      </c>
      <c r="K5936" s="3" t="s">
        <v>223</v>
      </c>
    </row>
    <row r="5937" ht="15.6" spans="4:11">
      <c r="D5937" s="4">
        <v>4324</v>
      </c>
      <c r="E5937" s="4" t="s">
        <v>223</v>
      </c>
      <c r="J5937" s="3" t="s">
        <v>6157</v>
      </c>
      <c r="K5937" s="3" t="s">
        <v>223</v>
      </c>
    </row>
    <row r="5938" ht="15.6" spans="4:11">
      <c r="D5938" s="4">
        <v>4325</v>
      </c>
      <c r="E5938" s="4" t="s">
        <v>223</v>
      </c>
      <c r="J5938" s="3" t="s">
        <v>6158</v>
      </c>
      <c r="K5938" s="3" t="s">
        <v>223</v>
      </c>
    </row>
    <row r="5939" ht="15.6" spans="4:11">
      <c r="D5939" s="4">
        <v>4326</v>
      </c>
      <c r="E5939" s="4" t="s">
        <v>223</v>
      </c>
      <c r="J5939" s="3" t="s">
        <v>6159</v>
      </c>
      <c r="K5939" s="3" t="s">
        <v>223</v>
      </c>
    </row>
    <row r="5940" ht="15.6" spans="4:11">
      <c r="D5940" s="4">
        <v>4327</v>
      </c>
      <c r="E5940" s="4" t="s">
        <v>223</v>
      </c>
      <c r="J5940" s="3" t="s">
        <v>6160</v>
      </c>
      <c r="K5940" s="3" t="s">
        <v>223</v>
      </c>
    </row>
    <row r="5941" ht="15.6" spans="4:11">
      <c r="D5941" s="4">
        <v>4328</v>
      </c>
      <c r="E5941" s="4" t="s">
        <v>223</v>
      </c>
      <c r="J5941" s="3" t="s">
        <v>6161</v>
      </c>
      <c r="K5941" s="3" t="s">
        <v>223</v>
      </c>
    </row>
    <row r="5942" ht="15.6" spans="4:11">
      <c r="D5942" s="4">
        <v>4329</v>
      </c>
      <c r="E5942" s="4" t="s">
        <v>223</v>
      </c>
      <c r="J5942" s="3" t="s">
        <v>6162</v>
      </c>
      <c r="K5942" s="3" t="s">
        <v>223</v>
      </c>
    </row>
    <row r="5943" ht="15.6" spans="4:11">
      <c r="D5943" s="4">
        <v>4330</v>
      </c>
      <c r="E5943" s="4" t="s">
        <v>223</v>
      </c>
      <c r="J5943" s="3" t="s">
        <v>6163</v>
      </c>
      <c r="K5943" s="3" t="s">
        <v>223</v>
      </c>
    </row>
    <row r="5944" ht="15.6" spans="4:11">
      <c r="D5944" s="4">
        <v>4331</v>
      </c>
      <c r="E5944" s="4" t="s">
        <v>223</v>
      </c>
      <c r="J5944" s="3" t="s">
        <v>6164</v>
      </c>
      <c r="K5944" s="3" t="s">
        <v>223</v>
      </c>
    </row>
    <row r="5945" ht="15.6" spans="4:11">
      <c r="D5945" s="4">
        <v>4332</v>
      </c>
      <c r="E5945" s="4" t="s">
        <v>223</v>
      </c>
      <c r="J5945" s="3" t="s">
        <v>6165</v>
      </c>
      <c r="K5945" s="3" t="s">
        <v>223</v>
      </c>
    </row>
    <row r="5946" ht="15.6" spans="4:11">
      <c r="D5946" s="4">
        <v>4333</v>
      </c>
      <c r="E5946" s="4" t="s">
        <v>223</v>
      </c>
      <c r="J5946" s="3" t="s">
        <v>6166</v>
      </c>
      <c r="K5946" s="3" t="s">
        <v>223</v>
      </c>
    </row>
    <row r="5947" ht="15.6" spans="4:11">
      <c r="D5947" s="4">
        <v>4334</v>
      </c>
      <c r="E5947" s="4" t="s">
        <v>223</v>
      </c>
      <c r="J5947" s="3" t="s">
        <v>6167</v>
      </c>
      <c r="K5947" s="3" t="s">
        <v>223</v>
      </c>
    </row>
    <row r="5948" ht="15.6" spans="4:11">
      <c r="D5948" s="4">
        <v>4335</v>
      </c>
      <c r="E5948" s="4" t="s">
        <v>223</v>
      </c>
      <c r="J5948" s="3" t="s">
        <v>6168</v>
      </c>
      <c r="K5948" s="3" t="s">
        <v>223</v>
      </c>
    </row>
    <row r="5949" ht="15.6" spans="4:11">
      <c r="D5949" s="4">
        <v>4336</v>
      </c>
      <c r="E5949" s="4" t="s">
        <v>223</v>
      </c>
      <c r="J5949" s="3" t="s">
        <v>6169</v>
      </c>
      <c r="K5949" s="3" t="s">
        <v>223</v>
      </c>
    </row>
    <row r="5950" ht="15.6" spans="4:11">
      <c r="D5950" s="4">
        <v>4337</v>
      </c>
      <c r="E5950" s="4" t="s">
        <v>223</v>
      </c>
      <c r="J5950" s="3" t="s">
        <v>6170</v>
      </c>
      <c r="K5950" s="3" t="s">
        <v>223</v>
      </c>
    </row>
    <row r="5951" ht="15.6" spans="4:11">
      <c r="D5951" s="4">
        <v>4338</v>
      </c>
      <c r="E5951" s="4" t="s">
        <v>223</v>
      </c>
      <c r="J5951" s="3" t="s">
        <v>6171</v>
      </c>
      <c r="K5951" s="3" t="s">
        <v>223</v>
      </c>
    </row>
    <row r="5952" ht="15.6" spans="4:11">
      <c r="D5952" s="4">
        <v>4339</v>
      </c>
      <c r="E5952" s="4" t="s">
        <v>223</v>
      </c>
      <c r="J5952" s="3" t="s">
        <v>6172</v>
      </c>
      <c r="K5952" s="3" t="s">
        <v>223</v>
      </c>
    </row>
    <row r="5953" ht="15.6" spans="4:11">
      <c r="D5953" s="4">
        <v>4340</v>
      </c>
      <c r="E5953" s="4" t="s">
        <v>223</v>
      </c>
      <c r="J5953" s="3" t="s">
        <v>6173</v>
      </c>
      <c r="K5953" s="3" t="s">
        <v>223</v>
      </c>
    </row>
    <row r="5954" ht="15.6" spans="4:11">
      <c r="D5954" s="4">
        <v>4341</v>
      </c>
      <c r="E5954" s="4" t="s">
        <v>223</v>
      </c>
      <c r="J5954" s="3" t="s">
        <v>6174</v>
      </c>
      <c r="K5954" s="3" t="s">
        <v>223</v>
      </c>
    </row>
    <row r="5955" ht="15.6" spans="4:11">
      <c r="D5955" s="4">
        <v>4342</v>
      </c>
      <c r="E5955" s="4" t="s">
        <v>223</v>
      </c>
      <c r="J5955" s="3" t="s">
        <v>6175</v>
      </c>
      <c r="K5955" s="3" t="s">
        <v>223</v>
      </c>
    </row>
    <row r="5956" ht="15.6" spans="4:11">
      <c r="D5956" s="4">
        <v>4343</v>
      </c>
      <c r="E5956" s="4" t="s">
        <v>223</v>
      </c>
      <c r="J5956" s="3" t="s">
        <v>6176</v>
      </c>
      <c r="K5956" s="3" t="s">
        <v>223</v>
      </c>
    </row>
    <row r="5957" ht="15.6" spans="4:11">
      <c r="D5957" s="4">
        <v>4344</v>
      </c>
      <c r="E5957" s="4" t="s">
        <v>223</v>
      </c>
      <c r="J5957" s="3" t="s">
        <v>6177</v>
      </c>
      <c r="K5957" s="3" t="s">
        <v>223</v>
      </c>
    </row>
    <row r="5958" ht="15.6" spans="4:11">
      <c r="D5958" s="4">
        <v>4345</v>
      </c>
      <c r="E5958" s="4" t="s">
        <v>223</v>
      </c>
      <c r="J5958" s="3" t="s">
        <v>6178</v>
      </c>
      <c r="K5958" s="3" t="s">
        <v>223</v>
      </c>
    </row>
    <row r="5959" ht="15.6" spans="4:11">
      <c r="D5959" s="4">
        <v>4346</v>
      </c>
      <c r="E5959" s="4" t="s">
        <v>223</v>
      </c>
      <c r="J5959" s="3" t="s">
        <v>6179</v>
      </c>
      <c r="K5959" s="3" t="s">
        <v>223</v>
      </c>
    </row>
    <row r="5960" ht="15.6" spans="4:11">
      <c r="D5960" s="4">
        <v>4347</v>
      </c>
      <c r="E5960" s="4" t="s">
        <v>223</v>
      </c>
      <c r="J5960" s="3" t="s">
        <v>6180</v>
      </c>
      <c r="K5960" s="3" t="s">
        <v>223</v>
      </c>
    </row>
    <row r="5961" ht="15.6" spans="4:11">
      <c r="D5961" s="4">
        <v>4348</v>
      </c>
      <c r="E5961" s="4" t="s">
        <v>223</v>
      </c>
      <c r="J5961" s="3" t="s">
        <v>6181</v>
      </c>
      <c r="K5961" s="3" t="s">
        <v>223</v>
      </c>
    </row>
    <row r="5962" ht="15.6" spans="4:11">
      <c r="D5962" s="4">
        <v>4349</v>
      </c>
      <c r="E5962" s="4" t="s">
        <v>223</v>
      </c>
      <c r="J5962" s="3" t="s">
        <v>6182</v>
      </c>
      <c r="K5962" s="3" t="s">
        <v>223</v>
      </c>
    </row>
    <row r="5963" ht="15.6" spans="4:11">
      <c r="D5963" s="4">
        <v>4350</v>
      </c>
      <c r="E5963" s="4" t="s">
        <v>223</v>
      </c>
      <c r="J5963" s="3" t="s">
        <v>6183</v>
      </c>
      <c r="K5963" s="3" t="s">
        <v>223</v>
      </c>
    </row>
    <row r="5964" ht="15.6" spans="4:11">
      <c r="D5964" s="4">
        <v>4351</v>
      </c>
      <c r="E5964" s="4" t="s">
        <v>223</v>
      </c>
      <c r="J5964" s="3" t="s">
        <v>6184</v>
      </c>
      <c r="K5964" s="3" t="s">
        <v>223</v>
      </c>
    </row>
    <row r="5965" ht="15.6" spans="4:11">
      <c r="D5965" s="4">
        <v>4352</v>
      </c>
      <c r="E5965" s="4" t="s">
        <v>223</v>
      </c>
      <c r="J5965" s="3" t="s">
        <v>6185</v>
      </c>
      <c r="K5965" s="3" t="s">
        <v>223</v>
      </c>
    </row>
    <row r="5966" ht="15.6" spans="4:11">
      <c r="D5966" s="4">
        <v>4353</v>
      </c>
      <c r="E5966" s="4" t="s">
        <v>223</v>
      </c>
      <c r="J5966" s="3" t="s">
        <v>6186</v>
      </c>
      <c r="K5966" s="3" t="s">
        <v>223</v>
      </c>
    </row>
    <row r="5967" ht="15.6" spans="4:11">
      <c r="D5967" s="4">
        <v>4354</v>
      </c>
      <c r="E5967" s="4" t="s">
        <v>223</v>
      </c>
      <c r="J5967" s="3" t="s">
        <v>6187</v>
      </c>
      <c r="K5967" s="3" t="s">
        <v>223</v>
      </c>
    </row>
    <row r="5968" ht="15.6" spans="4:11">
      <c r="D5968" s="4">
        <v>4355</v>
      </c>
      <c r="E5968" s="4" t="s">
        <v>223</v>
      </c>
      <c r="J5968" s="3" t="s">
        <v>6188</v>
      </c>
      <c r="K5968" s="3" t="s">
        <v>223</v>
      </c>
    </row>
    <row r="5969" ht="15.6" spans="4:11">
      <c r="D5969" s="4">
        <v>4356</v>
      </c>
      <c r="E5969" s="4" t="s">
        <v>223</v>
      </c>
      <c r="J5969" s="3" t="s">
        <v>6189</v>
      </c>
      <c r="K5969" s="3" t="s">
        <v>223</v>
      </c>
    </row>
    <row r="5970" ht="15.6" spans="4:11">
      <c r="D5970" s="4">
        <v>4357</v>
      </c>
      <c r="E5970" s="4" t="s">
        <v>223</v>
      </c>
      <c r="J5970" s="3" t="s">
        <v>6190</v>
      </c>
      <c r="K5970" s="3" t="s">
        <v>223</v>
      </c>
    </row>
    <row r="5971" ht="15.6" spans="4:11">
      <c r="D5971" s="4">
        <v>4358</v>
      </c>
      <c r="E5971" s="4" t="s">
        <v>223</v>
      </c>
      <c r="J5971" s="3" t="s">
        <v>6191</v>
      </c>
      <c r="K5971" s="3" t="s">
        <v>223</v>
      </c>
    </row>
    <row r="5972" ht="15.6" spans="4:11">
      <c r="D5972" s="4">
        <v>4359</v>
      </c>
      <c r="E5972" s="4" t="s">
        <v>223</v>
      </c>
      <c r="J5972" s="3" t="s">
        <v>6192</v>
      </c>
      <c r="K5972" s="3" t="s">
        <v>223</v>
      </c>
    </row>
    <row r="5973" ht="15.6" spans="4:11">
      <c r="D5973" s="4">
        <v>4360</v>
      </c>
      <c r="E5973" s="4" t="s">
        <v>223</v>
      </c>
      <c r="J5973" s="3" t="s">
        <v>6193</v>
      </c>
      <c r="K5973" s="3" t="s">
        <v>223</v>
      </c>
    </row>
    <row r="5974" ht="15.6" spans="4:11">
      <c r="D5974" s="4">
        <v>4361</v>
      </c>
      <c r="E5974" s="4" t="s">
        <v>223</v>
      </c>
      <c r="J5974" s="3" t="s">
        <v>6194</v>
      </c>
      <c r="K5974" s="3" t="s">
        <v>223</v>
      </c>
    </row>
    <row r="5975" ht="15.6" spans="4:11">
      <c r="D5975" s="4">
        <v>4362</v>
      </c>
      <c r="E5975" s="4" t="s">
        <v>223</v>
      </c>
      <c r="J5975" s="3" t="s">
        <v>6195</v>
      </c>
      <c r="K5975" s="3" t="s">
        <v>223</v>
      </c>
    </row>
    <row r="5976" ht="15.6" spans="4:11">
      <c r="D5976" s="4">
        <v>4363</v>
      </c>
      <c r="E5976" s="4" t="s">
        <v>223</v>
      </c>
      <c r="J5976" s="3" t="s">
        <v>6196</v>
      </c>
      <c r="K5976" s="3" t="s">
        <v>223</v>
      </c>
    </row>
    <row r="5977" ht="15.6" spans="4:11">
      <c r="D5977" s="4">
        <v>4364</v>
      </c>
      <c r="E5977" s="4" t="s">
        <v>223</v>
      </c>
      <c r="J5977" s="3" t="s">
        <v>6197</v>
      </c>
      <c r="K5977" s="3" t="s">
        <v>223</v>
      </c>
    </row>
    <row r="5978" ht="15.6" spans="4:11">
      <c r="D5978" s="4">
        <v>4365</v>
      </c>
      <c r="E5978" s="4" t="s">
        <v>223</v>
      </c>
      <c r="J5978" s="3" t="s">
        <v>6198</v>
      </c>
      <c r="K5978" s="3" t="s">
        <v>223</v>
      </c>
    </row>
    <row r="5979" ht="15.6" spans="4:11">
      <c r="D5979" s="4">
        <v>4366</v>
      </c>
      <c r="E5979" s="4" t="s">
        <v>223</v>
      </c>
      <c r="J5979" s="3" t="s">
        <v>6199</v>
      </c>
      <c r="K5979" s="3" t="s">
        <v>223</v>
      </c>
    </row>
    <row r="5980" ht="15.6" spans="4:11">
      <c r="D5980" s="4">
        <v>4367</v>
      </c>
      <c r="E5980" s="4" t="s">
        <v>223</v>
      </c>
      <c r="J5980" s="3" t="s">
        <v>6200</v>
      </c>
      <c r="K5980" s="3" t="s">
        <v>223</v>
      </c>
    </row>
    <row r="5981" ht="15.6" spans="4:11">
      <c r="D5981" s="4">
        <v>4368</v>
      </c>
      <c r="E5981" s="4" t="s">
        <v>223</v>
      </c>
      <c r="J5981" s="3" t="s">
        <v>6201</v>
      </c>
      <c r="K5981" s="3" t="s">
        <v>223</v>
      </c>
    </row>
    <row r="5982" ht="15.6" spans="4:11">
      <c r="D5982" s="4">
        <v>4369</v>
      </c>
      <c r="E5982" s="4" t="s">
        <v>223</v>
      </c>
      <c r="J5982" s="3" t="s">
        <v>6202</v>
      </c>
      <c r="K5982" s="3" t="s">
        <v>223</v>
      </c>
    </row>
    <row r="5983" ht="15.6" spans="4:11">
      <c r="D5983" s="4">
        <v>4370</v>
      </c>
      <c r="E5983" s="4" t="s">
        <v>223</v>
      </c>
      <c r="J5983" s="3" t="s">
        <v>6203</v>
      </c>
      <c r="K5983" s="3" t="s">
        <v>223</v>
      </c>
    </row>
    <row r="5984" ht="15.6" spans="4:11">
      <c r="D5984" s="4">
        <v>4371</v>
      </c>
      <c r="E5984" s="4" t="s">
        <v>223</v>
      </c>
      <c r="J5984" s="3" t="s">
        <v>6204</v>
      </c>
      <c r="K5984" s="3" t="s">
        <v>223</v>
      </c>
    </row>
    <row r="5985" ht="15.6" spans="4:11">
      <c r="D5985" s="4">
        <v>4372</v>
      </c>
      <c r="E5985" s="4" t="s">
        <v>223</v>
      </c>
      <c r="J5985" s="3" t="s">
        <v>6205</v>
      </c>
      <c r="K5985" s="3" t="s">
        <v>223</v>
      </c>
    </row>
    <row r="5986" ht="15.6" spans="4:11">
      <c r="D5986" s="4">
        <v>4373</v>
      </c>
      <c r="E5986" s="4" t="s">
        <v>223</v>
      </c>
      <c r="J5986" s="3" t="s">
        <v>6206</v>
      </c>
      <c r="K5986" s="3" t="s">
        <v>223</v>
      </c>
    </row>
    <row r="5987" ht="15.6" spans="4:11">
      <c r="D5987" s="4">
        <v>4374</v>
      </c>
      <c r="E5987" s="4" t="s">
        <v>223</v>
      </c>
      <c r="J5987" s="3" t="s">
        <v>6207</v>
      </c>
      <c r="K5987" s="3" t="s">
        <v>223</v>
      </c>
    </row>
    <row r="5988" ht="15.6" spans="4:11">
      <c r="D5988" s="4">
        <v>4375</v>
      </c>
      <c r="E5988" s="4" t="s">
        <v>223</v>
      </c>
      <c r="J5988" s="3" t="s">
        <v>6208</v>
      </c>
      <c r="K5988" s="3" t="s">
        <v>223</v>
      </c>
    </row>
    <row r="5989" ht="15.6" spans="4:11">
      <c r="D5989" s="4">
        <v>4376</v>
      </c>
      <c r="E5989" s="4" t="s">
        <v>223</v>
      </c>
      <c r="J5989" s="3" t="s">
        <v>6209</v>
      </c>
      <c r="K5989" s="3" t="s">
        <v>223</v>
      </c>
    </row>
    <row r="5990" ht="15.6" spans="4:11">
      <c r="D5990" s="4">
        <v>4377</v>
      </c>
      <c r="E5990" s="4" t="s">
        <v>223</v>
      </c>
      <c r="J5990" s="3" t="s">
        <v>6210</v>
      </c>
      <c r="K5990" s="3" t="s">
        <v>223</v>
      </c>
    </row>
    <row r="5991" ht="15.6" spans="4:11">
      <c r="D5991" s="4">
        <v>4378</v>
      </c>
      <c r="E5991" s="4" t="s">
        <v>223</v>
      </c>
      <c r="J5991" s="3" t="s">
        <v>6211</v>
      </c>
      <c r="K5991" s="3" t="s">
        <v>223</v>
      </c>
    </row>
    <row r="5992" ht="15.6" spans="4:11">
      <c r="D5992" s="4">
        <v>4379</v>
      </c>
      <c r="E5992" s="4" t="s">
        <v>223</v>
      </c>
      <c r="J5992" s="3" t="s">
        <v>6212</v>
      </c>
      <c r="K5992" s="3" t="s">
        <v>223</v>
      </c>
    </row>
    <row r="5993" ht="15.6" spans="4:11">
      <c r="D5993" s="4">
        <v>4380</v>
      </c>
      <c r="E5993" s="4" t="s">
        <v>223</v>
      </c>
      <c r="J5993" s="3" t="s">
        <v>6213</v>
      </c>
      <c r="K5993" s="3" t="s">
        <v>223</v>
      </c>
    </row>
    <row r="5994" ht="15.6" spans="4:11">
      <c r="D5994" s="4">
        <v>4381</v>
      </c>
      <c r="E5994" s="4" t="s">
        <v>223</v>
      </c>
      <c r="J5994" s="3" t="s">
        <v>6214</v>
      </c>
      <c r="K5994" s="3" t="s">
        <v>223</v>
      </c>
    </row>
    <row r="5995" ht="15.6" spans="4:11">
      <c r="D5995" s="4">
        <v>4382</v>
      </c>
      <c r="E5995" s="4" t="s">
        <v>223</v>
      </c>
      <c r="J5995" s="3" t="s">
        <v>6215</v>
      </c>
      <c r="K5995" s="3" t="s">
        <v>223</v>
      </c>
    </row>
    <row r="5996" ht="15.6" spans="4:11">
      <c r="D5996" s="4">
        <v>4383</v>
      </c>
      <c r="E5996" s="4" t="s">
        <v>223</v>
      </c>
      <c r="J5996" s="3" t="s">
        <v>6216</v>
      </c>
      <c r="K5996" s="3" t="s">
        <v>223</v>
      </c>
    </row>
    <row r="5997" ht="15.6" spans="4:11">
      <c r="D5997" s="4">
        <v>4384</v>
      </c>
      <c r="E5997" s="4" t="s">
        <v>223</v>
      </c>
      <c r="J5997" s="3" t="s">
        <v>6217</v>
      </c>
      <c r="K5997" s="3" t="s">
        <v>223</v>
      </c>
    </row>
    <row r="5998" ht="15.6" spans="4:11">
      <c r="D5998" s="4">
        <v>4385</v>
      </c>
      <c r="E5998" s="4" t="s">
        <v>223</v>
      </c>
      <c r="J5998" s="3" t="s">
        <v>6218</v>
      </c>
      <c r="K5998" s="3" t="s">
        <v>223</v>
      </c>
    </row>
    <row r="5999" ht="15.6" spans="4:11">
      <c r="D5999" s="4">
        <v>4386</v>
      </c>
      <c r="E5999" s="4" t="s">
        <v>223</v>
      </c>
      <c r="J5999" s="3" t="s">
        <v>6219</v>
      </c>
      <c r="K5999" s="3" t="s">
        <v>223</v>
      </c>
    </row>
    <row r="6000" ht="15.6" spans="4:11">
      <c r="D6000" s="4">
        <v>4387</v>
      </c>
      <c r="E6000" s="4" t="s">
        <v>223</v>
      </c>
      <c r="J6000" s="3" t="s">
        <v>6220</v>
      </c>
      <c r="K6000" s="3" t="s">
        <v>223</v>
      </c>
    </row>
    <row r="6001" ht="15.6" spans="4:11">
      <c r="D6001" s="4">
        <v>4388</v>
      </c>
      <c r="E6001" s="4" t="s">
        <v>223</v>
      </c>
      <c r="J6001" s="3" t="s">
        <v>6221</v>
      </c>
      <c r="K6001" s="3" t="s">
        <v>223</v>
      </c>
    </row>
    <row r="6002" ht="15.6" spans="4:11">
      <c r="D6002" s="4">
        <v>4389</v>
      </c>
      <c r="E6002" s="4" t="s">
        <v>223</v>
      </c>
      <c r="J6002" s="3" t="s">
        <v>6222</v>
      </c>
      <c r="K6002" s="3" t="s">
        <v>223</v>
      </c>
    </row>
    <row r="6003" ht="15.6" spans="4:11">
      <c r="D6003" s="4">
        <v>4390</v>
      </c>
      <c r="E6003" s="4" t="s">
        <v>223</v>
      </c>
      <c r="J6003" s="3" t="s">
        <v>6223</v>
      </c>
      <c r="K6003" s="3" t="s">
        <v>223</v>
      </c>
    </row>
    <row r="6004" ht="15.6" spans="4:11">
      <c r="D6004" s="4">
        <v>4391</v>
      </c>
      <c r="E6004" s="4" t="s">
        <v>223</v>
      </c>
      <c r="J6004" s="3" t="s">
        <v>6224</v>
      </c>
      <c r="K6004" s="3" t="s">
        <v>223</v>
      </c>
    </row>
    <row r="6005" ht="15.6" spans="4:11">
      <c r="D6005" s="4">
        <v>4392</v>
      </c>
      <c r="E6005" s="4" t="s">
        <v>223</v>
      </c>
      <c r="J6005" s="3" t="s">
        <v>6225</v>
      </c>
      <c r="K6005" s="3" t="s">
        <v>223</v>
      </c>
    </row>
    <row r="6006" ht="15.6" spans="4:11">
      <c r="D6006" s="4">
        <v>4393</v>
      </c>
      <c r="E6006" s="4" t="s">
        <v>223</v>
      </c>
      <c r="J6006" s="3" t="s">
        <v>6226</v>
      </c>
      <c r="K6006" s="3" t="s">
        <v>223</v>
      </c>
    </row>
    <row r="6007" ht="15.6" spans="4:11">
      <c r="D6007" s="4">
        <v>4394</v>
      </c>
      <c r="E6007" s="4" t="s">
        <v>223</v>
      </c>
      <c r="J6007" s="3" t="s">
        <v>6227</v>
      </c>
      <c r="K6007" s="3" t="s">
        <v>223</v>
      </c>
    </row>
    <row r="6008" ht="15.6" spans="4:11">
      <c r="D6008" s="4">
        <v>4395</v>
      </c>
      <c r="E6008" s="4" t="s">
        <v>223</v>
      </c>
      <c r="J6008" s="3" t="s">
        <v>6228</v>
      </c>
      <c r="K6008" s="3" t="s">
        <v>223</v>
      </c>
    </row>
    <row r="6009" ht="15.6" spans="4:11">
      <c r="D6009" s="4">
        <v>4396</v>
      </c>
      <c r="E6009" s="4" t="s">
        <v>223</v>
      </c>
      <c r="J6009" s="3" t="s">
        <v>6229</v>
      </c>
      <c r="K6009" s="3" t="s">
        <v>223</v>
      </c>
    </row>
    <row r="6010" ht="15.6" spans="4:11">
      <c r="D6010" s="4">
        <v>4397</v>
      </c>
      <c r="E6010" s="4" t="s">
        <v>223</v>
      </c>
      <c r="J6010" s="3" t="s">
        <v>6230</v>
      </c>
      <c r="K6010" s="3" t="s">
        <v>223</v>
      </c>
    </row>
    <row r="6011" ht="15.6" spans="4:11">
      <c r="D6011" s="4">
        <v>4398</v>
      </c>
      <c r="E6011" s="4" t="s">
        <v>223</v>
      </c>
      <c r="J6011" s="3" t="s">
        <v>6231</v>
      </c>
      <c r="K6011" s="3" t="s">
        <v>223</v>
      </c>
    </row>
    <row r="6012" ht="15.6" spans="4:11">
      <c r="D6012" s="4">
        <v>4399</v>
      </c>
      <c r="E6012" s="4" t="s">
        <v>223</v>
      </c>
      <c r="J6012" s="3" t="s">
        <v>6232</v>
      </c>
      <c r="K6012" s="3" t="s">
        <v>223</v>
      </c>
    </row>
    <row r="6013" ht="15.6" spans="4:11">
      <c r="D6013" s="4">
        <v>4400</v>
      </c>
      <c r="E6013" s="4" t="s">
        <v>223</v>
      </c>
      <c r="J6013" s="3" t="s">
        <v>6233</v>
      </c>
      <c r="K6013" s="3" t="s">
        <v>223</v>
      </c>
    </row>
    <row r="6014" ht="15.6" spans="4:11">
      <c r="D6014" s="4">
        <v>4401</v>
      </c>
      <c r="E6014" s="4" t="s">
        <v>223</v>
      </c>
      <c r="J6014" s="3" t="s">
        <v>6234</v>
      </c>
      <c r="K6014" s="3" t="s">
        <v>223</v>
      </c>
    </row>
    <row r="6015" ht="15.6" spans="4:11">
      <c r="D6015" s="4">
        <v>4402</v>
      </c>
      <c r="E6015" s="4" t="s">
        <v>223</v>
      </c>
      <c r="J6015" s="3" t="s">
        <v>6235</v>
      </c>
      <c r="K6015" s="3" t="s">
        <v>223</v>
      </c>
    </row>
    <row r="6016" ht="15.6" spans="4:11">
      <c r="D6016" s="4">
        <v>4403</v>
      </c>
      <c r="E6016" s="4" t="s">
        <v>223</v>
      </c>
      <c r="J6016" s="3" t="s">
        <v>6236</v>
      </c>
      <c r="K6016" s="3" t="s">
        <v>223</v>
      </c>
    </row>
    <row r="6017" ht="15.6" spans="4:11">
      <c r="D6017" s="4">
        <v>4404</v>
      </c>
      <c r="E6017" s="4" t="s">
        <v>223</v>
      </c>
      <c r="J6017" s="3" t="s">
        <v>6237</v>
      </c>
      <c r="K6017" s="3" t="s">
        <v>223</v>
      </c>
    </row>
    <row r="6018" ht="15.6" spans="4:11">
      <c r="D6018" s="4">
        <v>4405</v>
      </c>
      <c r="E6018" s="4" t="s">
        <v>223</v>
      </c>
      <c r="J6018" s="3" t="s">
        <v>6238</v>
      </c>
      <c r="K6018" s="3" t="s">
        <v>223</v>
      </c>
    </row>
    <row r="6019" ht="15.6" spans="4:11">
      <c r="D6019" s="4">
        <v>4406</v>
      </c>
      <c r="E6019" s="4" t="s">
        <v>223</v>
      </c>
      <c r="J6019" s="3" t="s">
        <v>6239</v>
      </c>
      <c r="K6019" s="3" t="s">
        <v>223</v>
      </c>
    </row>
    <row r="6020" ht="15.6" spans="4:11">
      <c r="D6020" s="4">
        <v>4407</v>
      </c>
      <c r="E6020" s="4" t="s">
        <v>223</v>
      </c>
      <c r="J6020" s="3" t="s">
        <v>6240</v>
      </c>
      <c r="K6020" s="3" t="s">
        <v>223</v>
      </c>
    </row>
    <row r="6021" ht="15.6" spans="4:11">
      <c r="D6021" s="4">
        <v>4408</v>
      </c>
      <c r="E6021" s="4" t="s">
        <v>223</v>
      </c>
      <c r="J6021" s="3" t="s">
        <v>6241</v>
      </c>
      <c r="K6021" s="3" t="s">
        <v>223</v>
      </c>
    </row>
    <row r="6022" ht="15.6" spans="4:11">
      <c r="D6022" s="4">
        <v>4409</v>
      </c>
      <c r="E6022" s="4" t="s">
        <v>223</v>
      </c>
      <c r="J6022" s="3" t="s">
        <v>6242</v>
      </c>
      <c r="K6022" s="3" t="s">
        <v>223</v>
      </c>
    </row>
    <row r="6023" ht="15.6" spans="4:11">
      <c r="D6023" s="4">
        <v>4410</v>
      </c>
      <c r="E6023" s="4" t="s">
        <v>223</v>
      </c>
      <c r="J6023" s="3" t="s">
        <v>6243</v>
      </c>
      <c r="K6023" s="3" t="s">
        <v>223</v>
      </c>
    </row>
    <row r="6024" ht="15.6" spans="4:11">
      <c r="D6024" s="4">
        <v>4411</v>
      </c>
      <c r="E6024" s="4" t="s">
        <v>223</v>
      </c>
      <c r="J6024" s="3" t="s">
        <v>6244</v>
      </c>
      <c r="K6024" s="3" t="s">
        <v>223</v>
      </c>
    </row>
    <row r="6025" ht="15.6" spans="4:11">
      <c r="D6025" s="4">
        <v>4412</v>
      </c>
      <c r="E6025" s="4" t="s">
        <v>223</v>
      </c>
      <c r="J6025" s="3" t="s">
        <v>6245</v>
      </c>
      <c r="K6025" s="3" t="s">
        <v>223</v>
      </c>
    </row>
    <row r="6026" ht="15.6" spans="4:11">
      <c r="D6026" s="4">
        <v>4413</v>
      </c>
      <c r="E6026" s="4" t="s">
        <v>223</v>
      </c>
      <c r="J6026" s="3" t="s">
        <v>6246</v>
      </c>
      <c r="K6026" s="3" t="s">
        <v>223</v>
      </c>
    </row>
    <row r="6027" ht="15.6" spans="4:11">
      <c r="D6027" s="4">
        <v>4414</v>
      </c>
      <c r="E6027" s="4" t="s">
        <v>223</v>
      </c>
      <c r="J6027" s="3" t="s">
        <v>6247</v>
      </c>
      <c r="K6027" s="3" t="s">
        <v>223</v>
      </c>
    </row>
    <row r="6028" ht="15.6" spans="4:11">
      <c r="D6028" s="4">
        <v>4415</v>
      </c>
      <c r="E6028" s="4" t="s">
        <v>223</v>
      </c>
      <c r="J6028" s="3" t="s">
        <v>6248</v>
      </c>
      <c r="K6028" s="3" t="s">
        <v>223</v>
      </c>
    </row>
    <row r="6029" ht="15.6" spans="4:11">
      <c r="D6029" s="4">
        <v>4416</v>
      </c>
      <c r="E6029" s="4" t="s">
        <v>223</v>
      </c>
      <c r="J6029" s="3" t="s">
        <v>6249</v>
      </c>
      <c r="K6029" s="3" t="s">
        <v>223</v>
      </c>
    </row>
    <row r="6030" ht="15.6" spans="4:11">
      <c r="D6030" s="4">
        <v>4417</v>
      </c>
      <c r="E6030" s="4" t="s">
        <v>223</v>
      </c>
      <c r="J6030" s="3" t="s">
        <v>6250</v>
      </c>
      <c r="K6030" s="3" t="s">
        <v>223</v>
      </c>
    </row>
    <row r="6031" ht="15.6" spans="4:11">
      <c r="D6031" s="4">
        <v>4418</v>
      </c>
      <c r="E6031" s="4" t="s">
        <v>223</v>
      </c>
      <c r="J6031" s="3" t="s">
        <v>6251</v>
      </c>
      <c r="K6031" s="3" t="s">
        <v>223</v>
      </c>
    </row>
    <row r="6032" ht="15.6" spans="4:11">
      <c r="D6032" s="4">
        <v>4419</v>
      </c>
      <c r="E6032" s="4" t="s">
        <v>223</v>
      </c>
      <c r="J6032" s="3" t="s">
        <v>6252</v>
      </c>
      <c r="K6032" s="3" t="s">
        <v>223</v>
      </c>
    </row>
    <row r="6033" ht="15.6" spans="4:11">
      <c r="D6033" s="4">
        <v>4420</v>
      </c>
      <c r="E6033" s="4" t="s">
        <v>223</v>
      </c>
      <c r="J6033" s="3" t="s">
        <v>6253</v>
      </c>
      <c r="K6033" s="3" t="s">
        <v>223</v>
      </c>
    </row>
    <row r="6034" ht="15.6" spans="4:11">
      <c r="D6034" s="4">
        <v>4421</v>
      </c>
      <c r="E6034" s="4" t="s">
        <v>223</v>
      </c>
      <c r="J6034" s="3" t="s">
        <v>6254</v>
      </c>
      <c r="K6034" s="3" t="s">
        <v>223</v>
      </c>
    </row>
    <row r="6035" ht="15.6" spans="4:11">
      <c r="D6035" s="4">
        <v>4422</v>
      </c>
      <c r="E6035" s="4" t="s">
        <v>223</v>
      </c>
      <c r="J6035" s="3" t="s">
        <v>6255</v>
      </c>
      <c r="K6035" s="3" t="s">
        <v>223</v>
      </c>
    </row>
    <row r="6036" ht="15.6" spans="4:11">
      <c r="D6036" s="4">
        <v>4423</v>
      </c>
      <c r="E6036" s="4" t="s">
        <v>223</v>
      </c>
      <c r="J6036" s="3" t="s">
        <v>6256</v>
      </c>
      <c r="K6036" s="3" t="s">
        <v>223</v>
      </c>
    </row>
    <row r="6037" ht="15.6" spans="4:11">
      <c r="D6037" s="4">
        <v>4424</v>
      </c>
      <c r="E6037" s="4" t="s">
        <v>223</v>
      </c>
      <c r="J6037" s="3" t="s">
        <v>6257</v>
      </c>
      <c r="K6037" s="3" t="s">
        <v>223</v>
      </c>
    </row>
    <row r="6038" ht="15.6" spans="4:11">
      <c r="D6038" s="4">
        <v>4425</v>
      </c>
      <c r="E6038" s="4" t="s">
        <v>223</v>
      </c>
      <c r="J6038" s="3" t="s">
        <v>6258</v>
      </c>
      <c r="K6038" s="3" t="s">
        <v>223</v>
      </c>
    </row>
    <row r="6039" ht="15.6" spans="4:11">
      <c r="D6039" s="4">
        <v>4426</v>
      </c>
      <c r="E6039" s="4" t="s">
        <v>223</v>
      </c>
      <c r="J6039" s="3" t="s">
        <v>6259</v>
      </c>
      <c r="K6039" s="3" t="s">
        <v>223</v>
      </c>
    </row>
    <row r="6040" ht="15.6" spans="4:11">
      <c r="D6040" s="4">
        <v>4427</v>
      </c>
      <c r="E6040" s="4" t="s">
        <v>223</v>
      </c>
      <c r="J6040" s="3" t="s">
        <v>6260</v>
      </c>
      <c r="K6040" s="3" t="s">
        <v>223</v>
      </c>
    </row>
    <row r="6041" ht="15.6" spans="4:11">
      <c r="D6041" s="4">
        <v>4428</v>
      </c>
      <c r="E6041" s="4" t="s">
        <v>223</v>
      </c>
      <c r="J6041" s="3" t="s">
        <v>6261</v>
      </c>
      <c r="K6041" s="3" t="s">
        <v>223</v>
      </c>
    </row>
    <row r="6042" ht="15.6" spans="4:11">
      <c r="D6042" s="4">
        <v>4429</v>
      </c>
      <c r="E6042" s="4" t="s">
        <v>223</v>
      </c>
      <c r="J6042" s="3" t="s">
        <v>6262</v>
      </c>
      <c r="K6042" s="3" t="s">
        <v>223</v>
      </c>
    </row>
    <row r="6043" ht="15.6" spans="4:11">
      <c r="D6043" s="4">
        <v>4430</v>
      </c>
      <c r="E6043" s="4" t="s">
        <v>223</v>
      </c>
      <c r="J6043" s="3" t="s">
        <v>6263</v>
      </c>
      <c r="K6043" s="3" t="s">
        <v>223</v>
      </c>
    </row>
    <row r="6044" ht="15.6" spans="4:11">
      <c r="D6044" s="4">
        <v>4431</v>
      </c>
      <c r="E6044" s="4" t="s">
        <v>223</v>
      </c>
      <c r="J6044" s="3" t="s">
        <v>6264</v>
      </c>
      <c r="K6044" s="3" t="s">
        <v>223</v>
      </c>
    </row>
    <row r="6045" ht="15.6" spans="4:11">
      <c r="D6045" s="4">
        <v>4432</v>
      </c>
      <c r="E6045" s="4" t="s">
        <v>223</v>
      </c>
      <c r="J6045" s="3" t="s">
        <v>6265</v>
      </c>
      <c r="K6045" s="3" t="s">
        <v>223</v>
      </c>
    </row>
    <row r="6046" ht="15.6" spans="4:11">
      <c r="D6046" s="4">
        <v>4433</v>
      </c>
      <c r="E6046" s="4" t="s">
        <v>223</v>
      </c>
      <c r="J6046" s="3" t="s">
        <v>6266</v>
      </c>
      <c r="K6046" s="3" t="s">
        <v>223</v>
      </c>
    </row>
    <row r="6047" ht="15.6" spans="4:11">
      <c r="D6047" s="4">
        <v>4434</v>
      </c>
      <c r="E6047" s="4" t="s">
        <v>223</v>
      </c>
      <c r="J6047" s="3" t="s">
        <v>6267</v>
      </c>
      <c r="K6047" s="3" t="s">
        <v>223</v>
      </c>
    </row>
    <row r="6048" ht="15.6" spans="4:11">
      <c r="D6048" s="4">
        <v>4435</v>
      </c>
      <c r="E6048" s="4" t="s">
        <v>223</v>
      </c>
      <c r="J6048" s="3" t="s">
        <v>6268</v>
      </c>
      <c r="K6048" s="3" t="s">
        <v>223</v>
      </c>
    </row>
    <row r="6049" ht="15.6" spans="4:11">
      <c r="D6049" s="4">
        <v>4436</v>
      </c>
      <c r="E6049" s="4" t="s">
        <v>223</v>
      </c>
      <c r="J6049" s="3" t="s">
        <v>6269</v>
      </c>
      <c r="K6049" s="3" t="s">
        <v>223</v>
      </c>
    </row>
    <row r="6050" ht="15.6" spans="4:11">
      <c r="D6050" s="4">
        <v>4437</v>
      </c>
      <c r="E6050" s="4" t="s">
        <v>223</v>
      </c>
      <c r="J6050" s="3" t="s">
        <v>6270</v>
      </c>
      <c r="K6050" s="3" t="s">
        <v>223</v>
      </c>
    </row>
    <row r="6051" ht="15.6" spans="4:11">
      <c r="D6051" s="4">
        <v>4438</v>
      </c>
      <c r="E6051" s="4" t="s">
        <v>223</v>
      </c>
      <c r="J6051" s="3" t="s">
        <v>6271</v>
      </c>
      <c r="K6051" s="3" t="s">
        <v>223</v>
      </c>
    </row>
    <row r="6052" ht="15.6" spans="4:11">
      <c r="D6052" s="4">
        <v>4439</v>
      </c>
      <c r="E6052" s="4" t="s">
        <v>223</v>
      </c>
      <c r="J6052" s="3" t="s">
        <v>6272</v>
      </c>
      <c r="K6052" s="3" t="s">
        <v>223</v>
      </c>
    </row>
    <row r="6053" ht="15.6" spans="4:11">
      <c r="D6053" s="4">
        <v>4440</v>
      </c>
      <c r="E6053" s="4" t="s">
        <v>223</v>
      </c>
      <c r="J6053" s="3" t="s">
        <v>6273</v>
      </c>
      <c r="K6053" s="3" t="s">
        <v>223</v>
      </c>
    </row>
    <row r="6054" ht="15.6" spans="4:11">
      <c r="D6054" s="4">
        <v>4441</v>
      </c>
      <c r="E6054" s="4" t="s">
        <v>223</v>
      </c>
      <c r="J6054" s="3" t="s">
        <v>6274</v>
      </c>
      <c r="K6054" s="3" t="s">
        <v>223</v>
      </c>
    </row>
    <row r="6055" ht="15.6" spans="4:11">
      <c r="D6055" s="4">
        <v>4442</v>
      </c>
      <c r="E6055" s="4" t="s">
        <v>223</v>
      </c>
      <c r="J6055" s="3" t="s">
        <v>6275</v>
      </c>
      <c r="K6055" s="3" t="s">
        <v>223</v>
      </c>
    </row>
    <row r="6056" ht="15.6" spans="4:11">
      <c r="D6056" s="4">
        <v>4443</v>
      </c>
      <c r="E6056" s="4" t="s">
        <v>223</v>
      </c>
      <c r="J6056" s="3" t="s">
        <v>6276</v>
      </c>
      <c r="K6056" s="3" t="s">
        <v>223</v>
      </c>
    </row>
    <row r="6057" ht="15.6" spans="4:11">
      <c r="D6057" s="4">
        <v>4444</v>
      </c>
      <c r="E6057" s="4" t="s">
        <v>223</v>
      </c>
      <c r="J6057" s="3" t="s">
        <v>6277</v>
      </c>
      <c r="K6057" s="3" t="s">
        <v>223</v>
      </c>
    </row>
    <row r="6058" ht="15.6" spans="4:11">
      <c r="D6058" s="4">
        <v>4445</v>
      </c>
      <c r="E6058" s="4" t="s">
        <v>223</v>
      </c>
      <c r="J6058" s="3" t="s">
        <v>6278</v>
      </c>
      <c r="K6058" s="3" t="s">
        <v>223</v>
      </c>
    </row>
    <row r="6059" ht="15.6" spans="4:11">
      <c r="D6059" s="4">
        <v>4446</v>
      </c>
      <c r="E6059" s="4" t="s">
        <v>223</v>
      </c>
      <c r="J6059" s="3" t="s">
        <v>6279</v>
      </c>
      <c r="K6059" s="3" t="s">
        <v>223</v>
      </c>
    </row>
    <row r="6060" ht="15.6" spans="4:11">
      <c r="D6060" s="4">
        <v>4447</v>
      </c>
      <c r="E6060" s="4" t="s">
        <v>223</v>
      </c>
      <c r="J6060" s="3" t="s">
        <v>6280</v>
      </c>
      <c r="K6060" s="3" t="s">
        <v>223</v>
      </c>
    </row>
    <row r="6061" ht="15.6" spans="4:11">
      <c r="D6061" s="4">
        <v>4448</v>
      </c>
      <c r="E6061" s="4" t="s">
        <v>223</v>
      </c>
      <c r="J6061" s="3" t="s">
        <v>6281</v>
      </c>
      <c r="K6061" s="3" t="s">
        <v>223</v>
      </c>
    </row>
    <row r="6062" ht="15.6" spans="4:11">
      <c r="D6062" s="4">
        <v>4449</v>
      </c>
      <c r="E6062" s="4" t="s">
        <v>223</v>
      </c>
      <c r="J6062" s="3" t="s">
        <v>6282</v>
      </c>
      <c r="K6062" s="3" t="s">
        <v>223</v>
      </c>
    </row>
    <row r="6063" ht="15.6" spans="4:11">
      <c r="D6063" s="4">
        <v>4450</v>
      </c>
      <c r="E6063" s="4" t="s">
        <v>223</v>
      </c>
      <c r="J6063" s="3" t="s">
        <v>6283</v>
      </c>
      <c r="K6063" s="3" t="s">
        <v>223</v>
      </c>
    </row>
    <row r="6064" ht="15.6" spans="4:11">
      <c r="D6064" s="4">
        <v>4451</v>
      </c>
      <c r="E6064" s="4" t="s">
        <v>223</v>
      </c>
      <c r="J6064" s="3" t="s">
        <v>6284</v>
      </c>
      <c r="K6064" s="3" t="s">
        <v>223</v>
      </c>
    </row>
    <row r="6065" ht="15.6" spans="4:11">
      <c r="D6065" s="4">
        <v>4452</v>
      </c>
      <c r="E6065" s="4" t="s">
        <v>223</v>
      </c>
      <c r="J6065" s="3" t="s">
        <v>6285</v>
      </c>
      <c r="K6065" s="3" t="s">
        <v>223</v>
      </c>
    </row>
    <row r="6066" ht="15.6" spans="4:11">
      <c r="D6066" s="4">
        <v>4453</v>
      </c>
      <c r="E6066" s="4" t="s">
        <v>223</v>
      </c>
      <c r="J6066" s="3" t="s">
        <v>6286</v>
      </c>
      <c r="K6066" s="3" t="s">
        <v>223</v>
      </c>
    </row>
    <row r="6067" ht="15.6" spans="4:11">
      <c r="D6067" s="4">
        <v>4454</v>
      </c>
      <c r="E6067" s="4" t="s">
        <v>223</v>
      </c>
      <c r="J6067" s="3" t="s">
        <v>6287</v>
      </c>
      <c r="K6067" s="3" t="s">
        <v>223</v>
      </c>
    </row>
    <row r="6068" ht="15.6" spans="4:11">
      <c r="D6068" s="4">
        <v>4455</v>
      </c>
      <c r="E6068" s="4" t="s">
        <v>223</v>
      </c>
      <c r="J6068" s="3" t="s">
        <v>6288</v>
      </c>
      <c r="K6068" s="3" t="s">
        <v>223</v>
      </c>
    </row>
    <row r="6069" ht="15.6" spans="4:11">
      <c r="D6069" s="4">
        <v>4456</v>
      </c>
      <c r="E6069" s="4" t="s">
        <v>223</v>
      </c>
      <c r="J6069" s="3" t="s">
        <v>6289</v>
      </c>
      <c r="K6069" s="3" t="s">
        <v>223</v>
      </c>
    </row>
    <row r="6070" ht="15.6" spans="4:11">
      <c r="D6070" s="4">
        <v>4457</v>
      </c>
      <c r="E6070" s="4" t="s">
        <v>223</v>
      </c>
      <c r="J6070" s="3" t="s">
        <v>6290</v>
      </c>
      <c r="K6070" s="3" t="s">
        <v>223</v>
      </c>
    </row>
    <row r="6071" ht="15.6" spans="4:11">
      <c r="D6071" s="4">
        <v>4458</v>
      </c>
      <c r="E6071" s="4" t="s">
        <v>223</v>
      </c>
      <c r="J6071" s="3" t="s">
        <v>6291</v>
      </c>
      <c r="K6071" s="3" t="s">
        <v>223</v>
      </c>
    </row>
    <row r="6072" ht="15.6" spans="4:11">
      <c r="D6072" s="4">
        <v>4459</v>
      </c>
      <c r="E6072" s="4" t="s">
        <v>223</v>
      </c>
      <c r="J6072" s="3" t="s">
        <v>6292</v>
      </c>
      <c r="K6072" s="3" t="s">
        <v>223</v>
      </c>
    </row>
    <row r="6073" ht="15.6" spans="4:11">
      <c r="D6073" s="4">
        <v>4460</v>
      </c>
      <c r="E6073" s="4" t="s">
        <v>223</v>
      </c>
      <c r="J6073" s="3" t="s">
        <v>6293</v>
      </c>
      <c r="K6073" s="3" t="s">
        <v>223</v>
      </c>
    </row>
    <row r="6074" ht="15.6" spans="4:11">
      <c r="D6074" s="4">
        <v>4461</v>
      </c>
      <c r="E6074" s="4" t="s">
        <v>223</v>
      </c>
      <c r="J6074" s="3" t="s">
        <v>6294</v>
      </c>
      <c r="K6074" s="3" t="s">
        <v>223</v>
      </c>
    </row>
    <row r="6075" ht="15.6" spans="4:11">
      <c r="D6075" s="4">
        <v>4462</v>
      </c>
      <c r="E6075" s="4" t="s">
        <v>223</v>
      </c>
      <c r="J6075" s="3" t="s">
        <v>6295</v>
      </c>
      <c r="K6075" s="3" t="s">
        <v>223</v>
      </c>
    </row>
    <row r="6076" ht="15.6" spans="4:11">
      <c r="D6076" s="4">
        <v>4463</v>
      </c>
      <c r="E6076" s="4" t="s">
        <v>223</v>
      </c>
      <c r="J6076" s="3" t="s">
        <v>6296</v>
      </c>
      <c r="K6076" s="3" t="s">
        <v>223</v>
      </c>
    </row>
    <row r="6077" ht="15.6" spans="4:11">
      <c r="D6077" s="4">
        <v>4464</v>
      </c>
      <c r="E6077" s="4" t="s">
        <v>223</v>
      </c>
      <c r="J6077" s="3" t="s">
        <v>6297</v>
      </c>
      <c r="K6077" s="3" t="s">
        <v>223</v>
      </c>
    </row>
    <row r="6078" ht="15.6" spans="4:11">
      <c r="D6078" s="4">
        <v>4465</v>
      </c>
      <c r="E6078" s="4" t="s">
        <v>223</v>
      </c>
      <c r="J6078" s="3" t="s">
        <v>6298</v>
      </c>
      <c r="K6078" s="3" t="s">
        <v>223</v>
      </c>
    </row>
    <row r="6079" ht="15.6" spans="4:11">
      <c r="D6079" s="4">
        <v>4466</v>
      </c>
      <c r="E6079" s="4" t="s">
        <v>223</v>
      </c>
      <c r="J6079" s="3" t="s">
        <v>6299</v>
      </c>
      <c r="K6079" s="3" t="s">
        <v>223</v>
      </c>
    </row>
    <row r="6080" ht="15.6" spans="4:11">
      <c r="D6080" s="4">
        <v>4467</v>
      </c>
      <c r="E6080" s="4" t="s">
        <v>223</v>
      </c>
      <c r="J6080" s="3" t="s">
        <v>6300</v>
      </c>
      <c r="K6080" s="3" t="s">
        <v>223</v>
      </c>
    </row>
    <row r="6081" ht="15.6" spans="4:11">
      <c r="D6081" s="4">
        <v>4468</v>
      </c>
      <c r="E6081" s="4" t="s">
        <v>223</v>
      </c>
      <c r="J6081" s="3" t="s">
        <v>6301</v>
      </c>
      <c r="K6081" s="3" t="s">
        <v>223</v>
      </c>
    </row>
    <row r="6082" ht="15.6" spans="4:11">
      <c r="D6082" s="4">
        <v>4469</v>
      </c>
      <c r="E6082" s="4" t="s">
        <v>223</v>
      </c>
      <c r="J6082" s="3" t="s">
        <v>6302</v>
      </c>
      <c r="K6082" s="3" t="s">
        <v>223</v>
      </c>
    </row>
    <row r="6083" ht="15.6" spans="4:11">
      <c r="D6083" s="4">
        <v>4470</v>
      </c>
      <c r="E6083" s="4" t="s">
        <v>223</v>
      </c>
      <c r="J6083" s="3" t="s">
        <v>6303</v>
      </c>
      <c r="K6083" s="3" t="s">
        <v>223</v>
      </c>
    </row>
    <row r="6084" ht="15.6" spans="4:11">
      <c r="D6084" s="4">
        <v>4471</v>
      </c>
      <c r="E6084" s="4" t="s">
        <v>223</v>
      </c>
      <c r="J6084" s="3" t="s">
        <v>6304</v>
      </c>
      <c r="K6084" s="3" t="s">
        <v>223</v>
      </c>
    </row>
    <row r="6085" ht="15.6" spans="4:11">
      <c r="D6085" s="4">
        <v>4472</v>
      </c>
      <c r="E6085" s="4" t="s">
        <v>223</v>
      </c>
      <c r="J6085" s="3" t="s">
        <v>6305</v>
      </c>
      <c r="K6085" s="3" t="s">
        <v>223</v>
      </c>
    </row>
    <row r="6086" ht="15.6" spans="4:11">
      <c r="D6086" s="4">
        <v>4473</v>
      </c>
      <c r="E6086" s="4" t="s">
        <v>223</v>
      </c>
      <c r="J6086" s="3" t="s">
        <v>6306</v>
      </c>
      <c r="K6086" s="3" t="s">
        <v>223</v>
      </c>
    </row>
    <row r="6087" ht="15.6" spans="4:11">
      <c r="D6087" s="4">
        <v>4474</v>
      </c>
      <c r="E6087" s="4" t="s">
        <v>223</v>
      </c>
      <c r="J6087" s="3" t="s">
        <v>6307</v>
      </c>
      <c r="K6087" s="3" t="s">
        <v>223</v>
      </c>
    </row>
    <row r="6088" ht="15.6" spans="4:11">
      <c r="D6088" s="4">
        <v>4475</v>
      </c>
      <c r="E6088" s="4" t="s">
        <v>223</v>
      </c>
      <c r="J6088" s="3" t="s">
        <v>6308</v>
      </c>
      <c r="K6088" s="3" t="s">
        <v>223</v>
      </c>
    </row>
    <row r="6089" ht="15.6" spans="4:11">
      <c r="D6089" s="4">
        <v>4476</v>
      </c>
      <c r="E6089" s="4" t="s">
        <v>223</v>
      </c>
      <c r="J6089" s="3" t="s">
        <v>6309</v>
      </c>
      <c r="K6089" s="3" t="s">
        <v>223</v>
      </c>
    </row>
    <row r="6090" ht="15.6" spans="4:11">
      <c r="D6090" s="4">
        <v>4477</v>
      </c>
      <c r="E6090" s="4" t="s">
        <v>223</v>
      </c>
      <c r="J6090" s="3" t="s">
        <v>6310</v>
      </c>
      <c r="K6090" s="3" t="s">
        <v>223</v>
      </c>
    </row>
    <row r="6091" ht="15.6" spans="4:11">
      <c r="D6091" s="4">
        <v>4478</v>
      </c>
      <c r="E6091" s="4" t="s">
        <v>223</v>
      </c>
      <c r="J6091" s="3" t="s">
        <v>6311</v>
      </c>
      <c r="K6091" s="3" t="s">
        <v>223</v>
      </c>
    </row>
    <row r="6092" ht="15.6" spans="4:11">
      <c r="D6092" s="4">
        <v>4479</v>
      </c>
      <c r="E6092" s="4" t="s">
        <v>223</v>
      </c>
      <c r="J6092" s="3" t="s">
        <v>6312</v>
      </c>
      <c r="K6092" s="3" t="s">
        <v>223</v>
      </c>
    </row>
    <row r="6093" ht="15.6" spans="4:11">
      <c r="D6093" s="4">
        <v>4480</v>
      </c>
      <c r="E6093" s="4" t="s">
        <v>223</v>
      </c>
      <c r="J6093" s="3" t="s">
        <v>6313</v>
      </c>
      <c r="K6093" s="3" t="s">
        <v>223</v>
      </c>
    </row>
    <row r="6094" ht="15.6" spans="4:11">
      <c r="D6094" s="4">
        <v>4481</v>
      </c>
      <c r="E6094" s="4" t="s">
        <v>223</v>
      </c>
      <c r="J6094" s="3" t="s">
        <v>6314</v>
      </c>
      <c r="K6094" s="3" t="s">
        <v>223</v>
      </c>
    </row>
    <row r="6095" ht="15.6" spans="4:11">
      <c r="D6095" s="4">
        <v>4482</v>
      </c>
      <c r="E6095" s="4" t="s">
        <v>223</v>
      </c>
      <c r="J6095" s="3" t="s">
        <v>6315</v>
      </c>
      <c r="K6095" s="3" t="s">
        <v>223</v>
      </c>
    </row>
    <row r="6096" ht="15.6" spans="4:11">
      <c r="D6096" s="4">
        <v>4483</v>
      </c>
      <c r="E6096" s="4" t="s">
        <v>223</v>
      </c>
      <c r="J6096" s="3" t="s">
        <v>6316</v>
      </c>
      <c r="K6096" s="3" t="s">
        <v>223</v>
      </c>
    </row>
    <row r="6097" ht="15.6" spans="4:11">
      <c r="D6097" s="4">
        <v>4484</v>
      </c>
      <c r="E6097" s="4" t="s">
        <v>223</v>
      </c>
      <c r="J6097" s="3" t="s">
        <v>6317</v>
      </c>
      <c r="K6097" s="3" t="s">
        <v>223</v>
      </c>
    </row>
    <row r="6098" ht="15.6" spans="4:11">
      <c r="D6098" s="4">
        <v>4485</v>
      </c>
      <c r="E6098" s="4" t="s">
        <v>223</v>
      </c>
      <c r="J6098" s="3" t="s">
        <v>6318</v>
      </c>
      <c r="K6098" s="3" t="s">
        <v>223</v>
      </c>
    </row>
    <row r="6099" ht="15.6" spans="4:11">
      <c r="D6099" s="4">
        <v>4486</v>
      </c>
      <c r="E6099" s="4" t="s">
        <v>223</v>
      </c>
      <c r="J6099" s="3" t="s">
        <v>6319</v>
      </c>
      <c r="K6099" s="3" t="s">
        <v>223</v>
      </c>
    </row>
    <row r="6100" ht="15.6" spans="4:11">
      <c r="D6100" s="4">
        <v>4487</v>
      </c>
      <c r="E6100" s="4" t="s">
        <v>223</v>
      </c>
      <c r="J6100" s="3" t="s">
        <v>6320</v>
      </c>
      <c r="K6100" s="3" t="s">
        <v>223</v>
      </c>
    </row>
    <row r="6101" ht="15.6" spans="4:11">
      <c r="D6101" s="4">
        <v>4488</v>
      </c>
      <c r="E6101" s="4" t="s">
        <v>223</v>
      </c>
      <c r="J6101" s="3" t="s">
        <v>6321</v>
      </c>
      <c r="K6101" s="3" t="s">
        <v>223</v>
      </c>
    </row>
    <row r="6102" ht="15.6" spans="4:11">
      <c r="D6102" s="4">
        <v>4489</v>
      </c>
      <c r="E6102" s="4" t="s">
        <v>223</v>
      </c>
      <c r="J6102" s="3" t="s">
        <v>6322</v>
      </c>
      <c r="K6102" s="3" t="s">
        <v>223</v>
      </c>
    </row>
    <row r="6103" ht="15.6" spans="4:11">
      <c r="D6103" s="4">
        <v>4490</v>
      </c>
      <c r="E6103" s="4" t="s">
        <v>223</v>
      </c>
      <c r="J6103" s="3" t="s">
        <v>6323</v>
      </c>
      <c r="K6103" s="3" t="s">
        <v>223</v>
      </c>
    </row>
    <row r="6104" ht="15.6" spans="4:11">
      <c r="D6104" s="4">
        <v>4491</v>
      </c>
      <c r="E6104" s="4" t="s">
        <v>223</v>
      </c>
      <c r="J6104" s="3" t="s">
        <v>6324</v>
      </c>
      <c r="K6104" s="3" t="s">
        <v>223</v>
      </c>
    </row>
    <row r="6105" ht="15.6" spans="4:11">
      <c r="D6105" s="4">
        <v>4492</v>
      </c>
      <c r="E6105" s="4" t="s">
        <v>223</v>
      </c>
      <c r="J6105" s="3" t="s">
        <v>6325</v>
      </c>
      <c r="K6105" s="3" t="s">
        <v>223</v>
      </c>
    </row>
    <row r="6106" ht="15.6" spans="4:11">
      <c r="D6106" s="4">
        <v>4493</v>
      </c>
      <c r="E6106" s="4" t="s">
        <v>223</v>
      </c>
      <c r="J6106" s="3" t="s">
        <v>6326</v>
      </c>
      <c r="K6106" s="3" t="s">
        <v>223</v>
      </c>
    </row>
    <row r="6107" ht="15.6" spans="4:11">
      <c r="D6107" s="4">
        <v>4494</v>
      </c>
      <c r="E6107" s="4" t="s">
        <v>223</v>
      </c>
      <c r="J6107" s="3" t="s">
        <v>6327</v>
      </c>
      <c r="K6107" s="3" t="s">
        <v>223</v>
      </c>
    </row>
    <row r="6108" ht="15.6" spans="4:11">
      <c r="D6108" s="4">
        <v>4495</v>
      </c>
      <c r="E6108" s="4" t="s">
        <v>223</v>
      </c>
      <c r="J6108" s="3" t="s">
        <v>6328</v>
      </c>
      <c r="K6108" s="3" t="s">
        <v>223</v>
      </c>
    </row>
    <row r="6109" ht="15.6" spans="4:11">
      <c r="D6109" s="4">
        <v>4496</v>
      </c>
      <c r="E6109" s="4" t="s">
        <v>223</v>
      </c>
      <c r="J6109" s="3" t="s">
        <v>6329</v>
      </c>
      <c r="K6109" s="3" t="s">
        <v>223</v>
      </c>
    </row>
    <row r="6110" ht="15.6" spans="4:11">
      <c r="D6110" s="4">
        <v>4497</v>
      </c>
      <c r="E6110" s="4" t="s">
        <v>223</v>
      </c>
      <c r="J6110" s="3" t="s">
        <v>6330</v>
      </c>
      <c r="K6110" s="3" t="s">
        <v>223</v>
      </c>
    </row>
    <row r="6111" ht="15.6" spans="4:11">
      <c r="D6111" s="4">
        <v>4498</v>
      </c>
      <c r="E6111" s="4" t="s">
        <v>223</v>
      </c>
      <c r="J6111" s="3" t="s">
        <v>6331</v>
      </c>
      <c r="K6111" s="3" t="s">
        <v>223</v>
      </c>
    </row>
    <row r="6112" ht="15.6" spans="4:11">
      <c r="D6112" s="4">
        <v>4499</v>
      </c>
      <c r="E6112" s="4" t="s">
        <v>223</v>
      </c>
      <c r="J6112" s="3" t="s">
        <v>6332</v>
      </c>
      <c r="K6112" s="3" t="s">
        <v>223</v>
      </c>
    </row>
    <row r="6113" ht="15.6" spans="4:11">
      <c r="D6113" s="4">
        <v>4580</v>
      </c>
      <c r="E6113" s="4" t="s">
        <v>223</v>
      </c>
      <c r="J6113" s="3" t="s">
        <v>6333</v>
      </c>
      <c r="K6113" s="3" t="s">
        <v>223</v>
      </c>
    </row>
    <row r="6114" ht="15.6" spans="4:11">
      <c r="D6114" s="4">
        <v>4581</v>
      </c>
      <c r="E6114" s="4" t="s">
        <v>223</v>
      </c>
      <c r="J6114" s="3" t="s">
        <v>6334</v>
      </c>
      <c r="K6114" s="3" t="s">
        <v>223</v>
      </c>
    </row>
    <row r="6115" ht="15.6" spans="4:11">
      <c r="D6115" s="4">
        <v>4582</v>
      </c>
      <c r="E6115" s="4" t="s">
        <v>223</v>
      </c>
      <c r="J6115" s="3" t="s">
        <v>6335</v>
      </c>
      <c r="K6115" s="3" t="s">
        <v>223</v>
      </c>
    </row>
    <row r="6116" ht="15.6" spans="4:11">
      <c r="D6116" s="4">
        <v>4583</v>
      </c>
      <c r="E6116" s="4" t="s">
        <v>223</v>
      </c>
      <c r="J6116" s="3" t="s">
        <v>6336</v>
      </c>
      <c r="K6116" s="3" t="s">
        <v>223</v>
      </c>
    </row>
    <row r="6117" ht="15.6" spans="4:11">
      <c r="D6117" s="4">
        <v>4584</v>
      </c>
      <c r="E6117" s="4" t="s">
        <v>223</v>
      </c>
      <c r="J6117" s="3" t="s">
        <v>6337</v>
      </c>
      <c r="K6117" s="3" t="s">
        <v>223</v>
      </c>
    </row>
    <row r="6118" ht="15.6" spans="4:11">
      <c r="D6118" s="4">
        <v>4585</v>
      </c>
      <c r="E6118" s="4" t="s">
        <v>223</v>
      </c>
      <c r="J6118" s="3" t="s">
        <v>6338</v>
      </c>
      <c r="K6118" s="3" t="s">
        <v>223</v>
      </c>
    </row>
    <row r="6119" ht="15.6" spans="4:11">
      <c r="D6119" s="4">
        <v>4586</v>
      </c>
      <c r="E6119" s="4" t="s">
        <v>223</v>
      </c>
      <c r="J6119" s="3" t="s">
        <v>6339</v>
      </c>
      <c r="K6119" s="3" t="s">
        <v>223</v>
      </c>
    </row>
    <row r="6120" ht="15.6" spans="4:11">
      <c r="D6120" s="4">
        <v>4587</v>
      </c>
      <c r="E6120" s="4" t="s">
        <v>223</v>
      </c>
      <c r="J6120" s="3" t="s">
        <v>6340</v>
      </c>
      <c r="K6120" s="3" t="s">
        <v>223</v>
      </c>
    </row>
    <row r="6121" ht="15.6" spans="4:11">
      <c r="D6121" s="4">
        <v>4588</v>
      </c>
      <c r="E6121" s="4" t="s">
        <v>223</v>
      </c>
      <c r="J6121" s="3" t="s">
        <v>6341</v>
      </c>
      <c r="K6121" s="3" t="s">
        <v>223</v>
      </c>
    </row>
    <row r="6122" ht="15.6" spans="4:11">
      <c r="D6122" s="4">
        <v>4589</v>
      </c>
      <c r="E6122" s="4" t="s">
        <v>223</v>
      </c>
      <c r="J6122" s="3" t="s">
        <v>6342</v>
      </c>
      <c r="K6122" s="3" t="s">
        <v>223</v>
      </c>
    </row>
    <row r="6123" ht="15.6" spans="4:11">
      <c r="D6123" s="4">
        <v>4590</v>
      </c>
      <c r="E6123" s="4" t="s">
        <v>223</v>
      </c>
      <c r="J6123" s="3" t="s">
        <v>6343</v>
      </c>
      <c r="K6123" s="3" t="s">
        <v>223</v>
      </c>
    </row>
    <row r="6124" ht="15.6" spans="4:11">
      <c r="D6124" s="4">
        <v>4591</v>
      </c>
      <c r="E6124" s="4" t="s">
        <v>223</v>
      </c>
      <c r="J6124" s="3" t="s">
        <v>6344</v>
      </c>
      <c r="K6124" s="3" t="s">
        <v>223</v>
      </c>
    </row>
    <row r="6125" ht="15.6" spans="4:11">
      <c r="D6125" s="4">
        <v>4592</v>
      </c>
      <c r="E6125" s="4" t="s">
        <v>223</v>
      </c>
      <c r="J6125" s="3" t="s">
        <v>6345</v>
      </c>
      <c r="K6125" s="3" t="s">
        <v>223</v>
      </c>
    </row>
    <row r="6126" ht="15.6" spans="4:11">
      <c r="D6126" s="4">
        <v>4593</v>
      </c>
      <c r="E6126" s="4" t="s">
        <v>223</v>
      </c>
      <c r="J6126" s="3" t="s">
        <v>6346</v>
      </c>
      <c r="K6126" s="3" t="s">
        <v>223</v>
      </c>
    </row>
    <row r="6127" ht="15.6" spans="4:11">
      <c r="D6127" s="4">
        <v>4594</v>
      </c>
      <c r="E6127" s="4" t="s">
        <v>223</v>
      </c>
      <c r="J6127" s="3" t="s">
        <v>6347</v>
      </c>
      <c r="K6127" s="3" t="s">
        <v>223</v>
      </c>
    </row>
    <row r="6128" ht="15.6" spans="4:11">
      <c r="D6128" s="4">
        <v>4595</v>
      </c>
      <c r="E6128" s="4" t="s">
        <v>223</v>
      </c>
      <c r="J6128" s="3" t="s">
        <v>6348</v>
      </c>
      <c r="K6128" s="3" t="s">
        <v>223</v>
      </c>
    </row>
    <row r="6129" ht="15.6" spans="4:11">
      <c r="D6129" s="4">
        <v>4596</v>
      </c>
      <c r="E6129" s="4" t="s">
        <v>223</v>
      </c>
      <c r="J6129" s="3" t="s">
        <v>6349</v>
      </c>
      <c r="K6129" s="3" t="s">
        <v>223</v>
      </c>
    </row>
    <row r="6130" ht="15.6" spans="4:11">
      <c r="D6130" s="4">
        <v>4597</v>
      </c>
      <c r="E6130" s="4" t="s">
        <v>223</v>
      </c>
      <c r="J6130" s="3" t="s">
        <v>6350</v>
      </c>
      <c r="K6130" s="3" t="s">
        <v>223</v>
      </c>
    </row>
    <row r="6131" ht="15.6" spans="4:11">
      <c r="D6131" s="4">
        <v>4598</v>
      </c>
      <c r="E6131" s="4" t="s">
        <v>223</v>
      </c>
      <c r="J6131" s="3" t="s">
        <v>6351</v>
      </c>
      <c r="K6131" s="3" t="s">
        <v>223</v>
      </c>
    </row>
    <row r="6132" ht="15.6" spans="4:11">
      <c r="D6132" s="4">
        <v>4599</v>
      </c>
      <c r="E6132" s="4" t="s">
        <v>223</v>
      </c>
      <c r="J6132" s="3" t="s">
        <v>6352</v>
      </c>
      <c r="K6132" s="3" t="s">
        <v>223</v>
      </c>
    </row>
    <row r="6133" ht="15.6" spans="4:11">
      <c r="D6133" s="4">
        <v>4600</v>
      </c>
      <c r="E6133" s="4" t="s">
        <v>223</v>
      </c>
      <c r="J6133" s="3" t="s">
        <v>6353</v>
      </c>
      <c r="K6133" s="3" t="s">
        <v>223</v>
      </c>
    </row>
    <row r="6134" ht="15.6" spans="4:11">
      <c r="D6134" s="4">
        <v>4601</v>
      </c>
      <c r="E6134" s="4" t="s">
        <v>223</v>
      </c>
      <c r="J6134" s="3" t="s">
        <v>6354</v>
      </c>
      <c r="K6134" s="3" t="s">
        <v>223</v>
      </c>
    </row>
    <row r="6135" ht="15.6" spans="4:11">
      <c r="D6135" s="4">
        <v>4602</v>
      </c>
      <c r="E6135" s="4" t="s">
        <v>223</v>
      </c>
      <c r="J6135" s="3" t="s">
        <v>6355</v>
      </c>
      <c r="K6135" s="3" t="s">
        <v>223</v>
      </c>
    </row>
    <row r="6136" ht="15.6" spans="4:11">
      <c r="D6136" s="4">
        <v>4603</v>
      </c>
      <c r="E6136" s="4" t="s">
        <v>223</v>
      </c>
      <c r="J6136" s="3" t="s">
        <v>6356</v>
      </c>
      <c r="K6136" s="3" t="s">
        <v>223</v>
      </c>
    </row>
    <row r="6137" ht="15.6" spans="4:11">
      <c r="D6137" s="4">
        <v>4604</v>
      </c>
      <c r="E6137" s="4" t="s">
        <v>223</v>
      </c>
      <c r="J6137" s="3" t="s">
        <v>6357</v>
      </c>
      <c r="K6137" s="3" t="s">
        <v>223</v>
      </c>
    </row>
    <row r="6138" ht="15.6" spans="4:11">
      <c r="D6138" s="4">
        <v>4605</v>
      </c>
      <c r="E6138" s="4" t="s">
        <v>223</v>
      </c>
      <c r="J6138" s="3" t="s">
        <v>6358</v>
      </c>
      <c r="K6138" s="3" t="s">
        <v>223</v>
      </c>
    </row>
    <row r="6139" ht="15.6" spans="4:11">
      <c r="D6139" s="4">
        <v>4606</v>
      </c>
      <c r="E6139" s="4" t="s">
        <v>223</v>
      </c>
      <c r="J6139" s="3" t="s">
        <v>6359</v>
      </c>
      <c r="K6139" s="3" t="s">
        <v>223</v>
      </c>
    </row>
    <row r="6140" ht="15.6" spans="4:11">
      <c r="D6140" s="4">
        <v>4607</v>
      </c>
      <c r="E6140" s="4" t="s">
        <v>223</v>
      </c>
      <c r="J6140" s="3" t="s">
        <v>6360</v>
      </c>
      <c r="K6140" s="3" t="s">
        <v>223</v>
      </c>
    </row>
    <row r="6141" ht="15.6" spans="4:11">
      <c r="D6141" s="4">
        <v>4608</v>
      </c>
      <c r="E6141" s="4" t="s">
        <v>223</v>
      </c>
      <c r="J6141" s="3" t="s">
        <v>6361</v>
      </c>
      <c r="K6141" s="3" t="s">
        <v>223</v>
      </c>
    </row>
    <row r="6142" ht="15.6" spans="4:11">
      <c r="D6142" s="4">
        <v>4609</v>
      </c>
      <c r="E6142" s="4" t="s">
        <v>223</v>
      </c>
      <c r="J6142" s="3" t="s">
        <v>6362</v>
      </c>
      <c r="K6142" s="3" t="s">
        <v>223</v>
      </c>
    </row>
    <row r="6143" ht="15.6" spans="4:11">
      <c r="D6143" s="4">
        <v>4610</v>
      </c>
      <c r="E6143" s="4" t="s">
        <v>223</v>
      </c>
      <c r="J6143" s="3" t="s">
        <v>6363</v>
      </c>
      <c r="K6143" s="3" t="s">
        <v>223</v>
      </c>
    </row>
    <row r="6144" ht="15.6" spans="4:11">
      <c r="D6144" s="4">
        <v>4611</v>
      </c>
      <c r="E6144" s="4" t="s">
        <v>223</v>
      </c>
      <c r="J6144" s="3" t="s">
        <v>6364</v>
      </c>
      <c r="K6144" s="3" t="s">
        <v>223</v>
      </c>
    </row>
    <row r="6145" ht="15.6" spans="4:11">
      <c r="D6145" s="4">
        <v>4612</v>
      </c>
      <c r="E6145" s="4" t="s">
        <v>223</v>
      </c>
      <c r="J6145" s="3" t="s">
        <v>6365</v>
      </c>
      <c r="K6145" s="3" t="s">
        <v>223</v>
      </c>
    </row>
    <row r="6146" ht="15.6" spans="4:11">
      <c r="D6146" s="4">
        <v>4613</v>
      </c>
      <c r="E6146" s="4" t="s">
        <v>223</v>
      </c>
      <c r="J6146" s="3" t="s">
        <v>6366</v>
      </c>
      <c r="K6146" s="3" t="s">
        <v>223</v>
      </c>
    </row>
    <row r="6147" ht="15.6" spans="4:11">
      <c r="D6147" s="4">
        <v>4614</v>
      </c>
      <c r="E6147" s="4" t="s">
        <v>223</v>
      </c>
      <c r="J6147" s="3" t="s">
        <v>6367</v>
      </c>
      <c r="K6147" s="3" t="s">
        <v>223</v>
      </c>
    </row>
    <row r="6148" ht="15.6" spans="4:11">
      <c r="D6148" s="4">
        <v>4615</v>
      </c>
      <c r="E6148" s="4" t="s">
        <v>223</v>
      </c>
      <c r="J6148" s="3" t="s">
        <v>6368</v>
      </c>
      <c r="K6148" s="3" t="s">
        <v>223</v>
      </c>
    </row>
    <row r="6149" ht="15.6" spans="4:11">
      <c r="D6149" s="4">
        <v>4616</v>
      </c>
      <c r="E6149" s="4" t="s">
        <v>223</v>
      </c>
      <c r="J6149" s="3" t="s">
        <v>6369</v>
      </c>
      <c r="K6149" s="3" t="s">
        <v>223</v>
      </c>
    </row>
    <row r="6150" ht="15.6" spans="4:11">
      <c r="D6150" s="4">
        <v>4617</v>
      </c>
      <c r="E6150" s="4" t="s">
        <v>223</v>
      </c>
      <c r="J6150" s="3" t="s">
        <v>6370</v>
      </c>
      <c r="K6150" s="3" t="s">
        <v>223</v>
      </c>
    </row>
    <row r="6151" ht="15.6" spans="4:11">
      <c r="D6151" s="4">
        <v>4618</v>
      </c>
      <c r="E6151" s="4" t="s">
        <v>223</v>
      </c>
      <c r="J6151" s="3" t="s">
        <v>6371</v>
      </c>
      <c r="K6151" s="3" t="s">
        <v>223</v>
      </c>
    </row>
    <row r="6152" ht="15.6" spans="4:11">
      <c r="D6152" s="4">
        <v>4619</v>
      </c>
      <c r="E6152" s="4" t="s">
        <v>223</v>
      </c>
      <c r="J6152" s="3" t="s">
        <v>6372</v>
      </c>
      <c r="K6152" s="3" t="s">
        <v>223</v>
      </c>
    </row>
    <row r="6153" ht="15.6" spans="4:11">
      <c r="D6153" s="4">
        <v>4620</v>
      </c>
      <c r="E6153" s="4" t="s">
        <v>223</v>
      </c>
      <c r="J6153" s="3" t="s">
        <v>6373</v>
      </c>
      <c r="K6153" s="3" t="s">
        <v>223</v>
      </c>
    </row>
    <row r="6154" ht="15.6" spans="4:11">
      <c r="D6154" s="4">
        <v>4621</v>
      </c>
      <c r="E6154" s="4" t="s">
        <v>223</v>
      </c>
      <c r="J6154" s="3" t="s">
        <v>6374</v>
      </c>
      <c r="K6154" s="3" t="s">
        <v>223</v>
      </c>
    </row>
    <row r="6155" ht="15.6" spans="4:11">
      <c r="D6155" s="4">
        <v>4622</v>
      </c>
      <c r="E6155" s="4" t="s">
        <v>223</v>
      </c>
      <c r="J6155" s="3" t="s">
        <v>6375</v>
      </c>
      <c r="K6155" s="3" t="s">
        <v>223</v>
      </c>
    </row>
    <row r="6156" ht="15.6" spans="4:11">
      <c r="D6156" s="4">
        <v>4623</v>
      </c>
      <c r="E6156" s="4" t="s">
        <v>223</v>
      </c>
      <c r="J6156" s="3" t="s">
        <v>6376</v>
      </c>
      <c r="K6156" s="3" t="s">
        <v>223</v>
      </c>
    </row>
    <row r="6157" ht="15.6" spans="4:11">
      <c r="D6157" s="4">
        <v>4624</v>
      </c>
      <c r="E6157" s="4" t="s">
        <v>223</v>
      </c>
      <c r="J6157" s="3" t="s">
        <v>6377</v>
      </c>
      <c r="K6157" s="3" t="s">
        <v>223</v>
      </c>
    </row>
    <row r="6158" ht="15.6" spans="4:11">
      <c r="D6158" s="4">
        <v>4625</v>
      </c>
      <c r="E6158" s="4" t="s">
        <v>223</v>
      </c>
      <c r="J6158" s="3" t="s">
        <v>6378</v>
      </c>
      <c r="K6158" s="3" t="s">
        <v>223</v>
      </c>
    </row>
    <row r="6159" ht="15.6" spans="4:11">
      <c r="D6159" s="4">
        <v>4626</v>
      </c>
      <c r="E6159" s="4" t="s">
        <v>223</v>
      </c>
      <c r="J6159" s="3" t="s">
        <v>6379</v>
      </c>
      <c r="K6159" s="3" t="s">
        <v>223</v>
      </c>
    </row>
    <row r="6160" ht="15.6" spans="4:11">
      <c r="D6160" s="4">
        <v>4627</v>
      </c>
      <c r="E6160" s="4" t="s">
        <v>223</v>
      </c>
      <c r="J6160" s="3" t="s">
        <v>6380</v>
      </c>
      <c r="K6160" s="3" t="s">
        <v>223</v>
      </c>
    </row>
    <row r="6161" ht="15.6" spans="4:11">
      <c r="D6161" s="4">
        <v>4628</v>
      </c>
      <c r="E6161" s="4" t="s">
        <v>223</v>
      </c>
      <c r="J6161" s="3" t="s">
        <v>6381</v>
      </c>
      <c r="K6161" s="3" t="s">
        <v>223</v>
      </c>
    </row>
    <row r="6162" ht="15.6" spans="4:11">
      <c r="D6162" s="4">
        <v>4629</v>
      </c>
      <c r="E6162" s="4" t="s">
        <v>223</v>
      </c>
      <c r="J6162" s="3" t="s">
        <v>6382</v>
      </c>
      <c r="K6162" s="3" t="s">
        <v>223</v>
      </c>
    </row>
    <row r="6163" ht="15.6" spans="4:11">
      <c r="D6163" s="4">
        <v>4630</v>
      </c>
      <c r="E6163" s="4" t="s">
        <v>223</v>
      </c>
      <c r="J6163" s="3" t="s">
        <v>6383</v>
      </c>
      <c r="K6163" s="3" t="s">
        <v>223</v>
      </c>
    </row>
    <row r="6164" ht="15.6" spans="4:11">
      <c r="D6164" s="4">
        <v>4631</v>
      </c>
      <c r="E6164" s="4" t="s">
        <v>223</v>
      </c>
      <c r="J6164" s="3" t="s">
        <v>6384</v>
      </c>
      <c r="K6164" s="3" t="s">
        <v>223</v>
      </c>
    </row>
    <row r="6165" ht="15.6" spans="4:11">
      <c r="D6165" s="4">
        <v>4632</v>
      </c>
      <c r="E6165" s="4" t="s">
        <v>223</v>
      </c>
      <c r="J6165" s="3" t="s">
        <v>6385</v>
      </c>
      <c r="K6165" s="3" t="s">
        <v>223</v>
      </c>
    </row>
    <row r="6166" ht="15.6" spans="4:11">
      <c r="D6166" s="4">
        <v>4633</v>
      </c>
      <c r="E6166" s="4" t="s">
        <v>223</v>
      </c>
      <c r="J6166" s="3" t="s">
        <v>6386</v>
      </c>
      <c r="K6166" s="3" t="s">
        <v>223</v>
      </c>
    </row>
    <row r="6167" ht="15.6" spans="4:11">
      <c r="D6167" s="4">
        <v>4634</v>
      </c>
      <c r="E6167" s="4" t="s">
        <v>223</v>
      </c>
      <c r="J6167" s="3" t="s">
        <v>6387</v>
      </c>
      <c r="K6167" s="3" t="s">
        <v>223</v>
      </c>
    </row>
    <row r="6168" ht="15.6" spans="4:11">
      <c r="D6168" s="4">
        <v>4635</v>
      </c>
      <c r="E6168" s="4" t="s">
        <v>223</v>
      </c>
      <c r="J6168" s="3" t="s">
        <v>6388</v>
      </c>
      <c r="K6168" s="3" t="s">
        <v>223</v>
      </c>
    </row>
    <row r="6169" ht="15.6" spans="4:11">
      <c r="D6169" s="4">
        <v>4636</v>
      </c>
      <c r="E6169" s="4" t="s">
        <v>223</v>
      </c>
      <c r="J6169" s="3" t="s">
        <v>6389</v>
      </c>
      <c r="K6169" s="3" t="s">
        <v>223</v>
      </c>
    </row>
    <row r="6170" ht="15.6" spans="4:11">
      <c r="D6170" s="4">
        <v>4637</v>
      </c>
      <c r="E6170" s="4" t="s">
        <v>223</v>
      </c>
      <c r="J6170" s="3" t="s">
        <v>6390</v>
      </c>
      <c r="K6170" s="3" t="s">
        <v>223</v>
      </c>
    </row>
    <row r="6171" ht="15.6" spans="4:11">
      <c r="D6171" s="4">
        <v>4638</v>
      </c>
      <c r="E6171" s="4" t="s">
        <v>223</v>
      </c>
      <c r="J6171" s="3" t="s">
        <v>6391</v>
      </c>
      <c r="K6171" s="3" t="s">
        <v>223</v>
      </c>
    </row>
    <row r="6172" ht="15.6" spans="4:11">
      <c r="D6172" s="4">
        <v>4639</v>
      </c>
      <c r="E6172" s="4" t="s">
        <v>223</v>
      </c>
      <c r="J6172" s="3" t="s">
        <v>6392</v>
      </c>
      <c r="K6172" s="3" t="s">
        <v>223</v>
      </c>
    </row>
    <row r="6173" ht="15.6" spans="4:11">
      <c r="D6173" s="4">
        <v>4640</v>
      </c>
      <c r="E6173" s="4" t="s">
        <v>223</v>
      </c>
      <c r="J6173" s="3" t="s">
        <v>6393</v>
      </c>
      <c r="K6173" s="3" t="s">
        <v>223</v>
      </c>
    </row>
    <row r="6174" ht="15.6" spans="4:11">
      <c r="D6174" s="4">
        <v>4641</v>
      </c>
      <c r="E6174" s="4" t="s">
        <v>223</v>
      </c>
      <c r="J6174" s="3" t="s">
        <v>6394</v>
      </c>
      <c r="K6174" s="3" t="s">
        <v>223</v>
      </c>
    </row>
    <row r="6175" ht="15.6" spans="4:11">
      <c r="D6175" s="4">
        <v>4642</v>
      </c>
      <c r="E6175" s="4" t="s">
        <v>223</v>
      </c>
      <c r="J6175" s="3" t="s">
        <v>6395</v>
      </c>
      <c r="K6175" s="3" t="s">
        <v>223</v>
      </c>
    </row>
    <row r="6176" ht="15.6" spans="4:11">
      <c r="D6176" s="4">
        <v>4643</v>
      </c>
      <c r="E6176" s="4" t="s">
        <v>223</v>
      </c>
      <c r="J6176" s="3" t="s">
        <v>6396</v>
      </c>
      <c r="K6176" s="3" t="s">
        <v>223</v>
      </c>
    </row>
    <row r="6177" ht="15.6" spans="4:11">
      <c r="D6177" s="4">
        <v>4644</v>
      </c>
      <c r="E6177" s="4" t="s">
        <v>223</v>
      </c>
      <c r="J6177" s="3" t="s">
        <v>6397</v>
      </c>
      <c r="K6177" s="3" t="s">
        <v>223</v>
      </c>
    </row>
    <row r="6178" ht="15.6" spans="4:11">
      <c r="D6178" s="4">
        <v>4645</v>
      </c>
      <c r="E6178" s="4" t="s">
        <v>223</v>
      </c>
      <c r="J6178" s="3" t="s">
        <v>6398</v>
      </c>
      <c r="K6178" s="3" t="s">
        <v>223</v>
      </c>
    </row>
    <row r="6179" ht="15.6" spans="4:11">
      <c r="D6179" s="4">
        <v>4646</v>
      </c>
      <c r="E6179" s="4" t="s">
        <v>223</v>
      </c>
      <c r="J6179" s="3" t="s">
        <v>6399</v>
      </c>
      <c r="K6179" s="3" t="s">
        <v>223</v>
      </c>
    </row>
    <row r="6180" ht="15.6" spans="4:11">
      <c r="D6180" s="4">
        <v>4647</v>
      </c>
      <c r="E6180" s="4" t="s">
        <v>223</v>
      </c>
      <c r="J6180" s="3" t="s">
        <v>6400</v>
      </c>
      <c r="K6180" s="3" t="s">
        <v>223</v>
      </c>
    </row>
    <row r="6181" ht="15.6" spans="4:11">
      <c r="D6181" s="4">
        <v>4648</v>
      </c>
      <c r="E6181" s="4" t="s">
        <v>223</v>
      </c>
      <c r="J6181" s="3" t="s">
        <v>6401</v>
      </c>
      <c r="K6181" s="3" t="s">
        <v>223</v>
      </c>
    </row>
    <row r="6182" ht="15.6" spans="4:11">
      <c r="D6182" s="4">
        <v>4649</v>
      </c>
      <c r="E6182" s="4" t="s">
        <v>223</v>
      </c>
      <c r="J6182" s="3" t="s">
        <v>6402</v>
      </c>
      <c r="K6182" s="3" t="s">
        <v>223</v>
      </c>
    </row>
    <row r="6183" ht="15.6" spans="4:11">
      <c r="D6183" s="4">
        <v>4650</v>
      </c>
      <c r="E6183" s="4" t="s">
        <v>223</v>
      </c>
      <c r="J6183" s="3" t="s">
        <v>6403</v>
      </c>
      <c r="K6183" s="3" t="s">
        <v>223</v>
      </c>
    </row>
    <row r="6184" ht="15.6" spans="4:11">
      <c r="D6184" s="4">
        <v>4651</v>
      </c>
      <c r="E6184" s="4" t="s">
        <v>223</v>
      </c>
      <c r="J6184" s="3" t="s">
        <v>6404</v>
      </c>
      <c r="K6184" s="3" t="s">
        <v>223</v>
      </c>
    </row>
    <row r="6185" ht="15.6" spans="4:11">
      <c r="D6185" s="4">
        <v>4652</v>
      </c>
      <c r="E6185" s="4" t="s">
        <v>223</v>
      </c>
      <c r="J6185" s="3" t="s">
        <v>6405</v>
      </c>
      <c r="K6185" s="3" t="s">
        <v>223</v>
      </c>
    </row>
    <row r="6186" ht="15.6" spans="4:11">
      <c r="D6186" s="4">
        <v>4653</v>
      </c>
      <c r="E6186" s="4" t="s">
        <v>223</v>
      </c>
      <c r="J6186" s="3" t="s">
        <v>6406</v>
      </c>
      <c r="K6186" s="3" t="s">
        <v>223</v>
      </c>
    </row>
    <row r="6187" ht="15.6" spans="4:11">
      <c r="D6187" s="4">
        <v>4654</v>
      </c>
      <c r="E6187" s="4" t="s">
        <v>223</v>
      </c>
      <c r="J6187" s="3" t="s">
        <v>6407</v>
      </c>
      <c r="K6187" s="3" t="s">
        <v>223</v>
      </c>
    </row>
    <row r="6188" ht="15.6" spans="4:11">
      <c r="D6188" s="4">
        <v>4655</v>
      </c>
      <c r="E6188" s="4" t="s">
        <v>223</v>
      </c>
      <c r="J6188" s="3" t="s">
        <v>6408</v>
      </c>
      <c r="K6188" s="3" t="s">
        <v>223</v>
      </c>
    </row>
    <row r="6189" ht="15.6" spans="4:11">
      <c r="D6189" s="4">
        <v>4656</v>
      </c>
      <c r="E6189" s="4" t="s">
        <v>223</v>
      </c>
      <c r="J6189" s="3" t="s">
        <v>6409</v>
      </c>
      <c r="K6189" s="3" t="s">
        <v>223</v>
      </c>
    </row>
    <row r="6190" ht="15.6" spans="4:11">
      <c r="D6190" s="4">
        <v>4657</v>
      </c>
      <c r="E6190" s="4" t="s">
        <v>223</v>
      </c>
      <c r="J6190" s="3" t="s">
        <v>6410</v>
      </c>
      <c r="K6190" s="3" t="s">
        <v>223</v>
      </c>
    </row>
    <row r="6191" ht="15.6" spans="4:11">
      <c r="D6191" s="4">
        <v>4658</v>
      </c>
      <c r="E6191" s="4" t="s">
        <v>223</v>
      </c>
      <c r="J6191" s="3" t="s">
        <v>6411</v>
      </c>
      <c r="K6191" s="3" t="s">
        <v>223</v>
      </c>
    </row>
    <row r="6192" ht="15.6" spans="4:11">
      <c r="D6192" s="4">
        <v>4659</v>
      </c>
      <c r="E6192" s="4" t="s">
        <v>223</v>
      </c>
      <c r="J6192" s="3" t="s">
        <v>6412</v>
      </c>
      <c r="K6192" s="3" t="s">
        <v>223</v>
      </c>
    </row>
    <row r="6193" ht="15.6" spans="4:11">
      <c r="D6193" s="4">
        <v>4660</v>
      </c>
      <c r="E6193" s="4" t="s">
        <v>223</v>
      </c>
      <c r="J6193" s="3" t="s">
        <v>6413</v>
      </c>
      <c r="K6193" s="3" t="s">
        <v>223</v>
      </c>
    </row>
    <row r="6194" ht="15.6" spans="4:11">
      <c r="D6194" s="4">
        <v>4661</v>
      </c>
      <c r="E6194" s="4" t="s">
        <v>223</v>
      </c>
      <c r="J6194" s="3" t="s">
        <v>6414</v>
      </c>
      <c r="K6194" s="3" t="s">
        <v>223</v>
      </c>
    </row>
    <row r="6195" ht="15.6" spans="4:11">
      <c r="D6195" s="4">
        <v>4662</v>
      </c>
      <c r="E6195" s="4" t="s">
        <v>223</v>
      </c>
      <c r="J6195" s="3" t="s">
        <v>6415</v>
      </c>
      <c r="K6195" s="3" t="s">
        <v>223</v>
      </c>
    </row>
    <row r="6196" ht="15.6" spans="4:11">
      <c r="D6196" s="4">
        <v>4663</v>
      </c>
      <c r="E6196" s="4" t="s">
        <v>223</v>
      </c>
      <c r="J6196" s="3" t="s">
        <v>6416</v>
      </c>
      <c r="K6196" s="3" t="s">
        <v>223</v>
      </c>
    </row>
    <row r="6197" ht="15.6" spans="4:11">
      <c r="D6197" s="4">
        <v>4664</v>
      </c>
      <c r="E6197" s="4" t="s">
        <v>223</v>
      </c>
      <c r="J6197" s="3" t="s">
        <v>6417</v>
      </c>
      <c r="K6197" s="3" t="s">
        <v>223</v>
      </c>
    </row>
    <row r="6198" ht="15.6" spans="4:11">
      <c r="D6198" s="4">
        <v>4665</v>
      </c>
      <c r="E6198" s="4" t="s">
        <v>223</v>
      </c>
      <c r="J6198" s="3" t="s">
        <v>6418</v>
      </c>
      <c r="K6198" s="3" t="s">
        <v>223</v>
      </c>
    </row>
    <row r="6199" ht="15.6" spans="4:11">
      <c r="D6199" s="4">
        <v>4666</v>
      </c>
      <c r="E6199" s="4" t="s">
        <v>223</v>
      </c>
      <c r="J6199" s="3" t="s">
        <v>6419</v>
      </c>
      <c r="K6199" s="3" t="s">
        <v>223</v>
      </c>
    </row>
    <row r="6200" ht="15.6" spans="4:11">
      <c r="D6200" s="4">
        <v>4667</v>
      </c>
      <c r="E6200" s="4" t="s">
        <v>223</v>
      </c>
      <c r="J6200" s="3" t="s">
        <v>6420</v>
      </c>
      <c r="K6200" s="3" t="s">
        <v>223</v>
      </c>
    </row>
    <row r="6201" ht="15.6" spans="4:11">
      <c r="D6201" s="4">
        <v>4668</v>
      </c>
      <c r="E6201" s="4" t="s">
        <v>223</v>
      </c>
      <c r="J6201" s="3" t="s">
        <v>6421</v>
      </c>
      <c r="K6201" s="3" t="s">
        <v>223</v>
      </c>
    </row>
    <row r="6202" ht="15.6" spans="4:11">
      <c r="D6202" s="4">
        <v>4669</v>
      </c>
      <c r="E6202" s="4" t="s">
        <v>223</v>
      </c>
      <c r="J6202" s="3" t="s">
        <v>6422</v>
      </c>
      <c r="K6202" s="3" t="s">
        <v>223</v>
      </c>
    </row>
    <row r="6203" ht="15.6" spans="4:11">
      <c r="D6203" s="4">
        <v>4670</v>
      </c>
      <c r="E6203" s="4" t="s">
        <v>223</v>
      </c>
      <c r="J6203" s="3" t="s">
        <v>6423</v>
      </c>
      <c r="K6203" s="3" t="s">
        <v>223</v>
      </c>
    </row>
    <row r="6204" ht="15.6" spans="4:11">
      <c r="D6204" s="4">
        <v>4671</v>
      </c>
      <c r="E6204" s="4" t="s">
        <v>223</v>
      </c>
      <c r="J6204" s="3" t="s">
        <v>6424</v>
      </c>
      <c r="K6204" s="3" t="s">
        <v>223</v>
      </c>
    </row>
    <row r="6205" ht="15.6" spans="4:11">
      <c r="D6205" s="4">
        <v>4672</v>
      </c>
      <c r="E6205" s="4" t="s">
        <v>223</v>
      </c>
      <c r="J6205" s="3" t="s">
        <v>6425</v>
      </c>
      <c r="K6205" s="3" t="s">
        <v>223</v>
      </c>
    </row>
    <row r="6206" ht="15.6" spans="4:11">
      <c r="D6206" s="4">
        <v>4673</v>
      </c>
      <c r="E6206" s="4" t="s">
        <v>223</v>
      </c>
      <c r="J6206" s="3" t="s">
        <v>6426</v>
      </c>
      <c r="K6206" s="3" t="s">
        <v>223</v>
      </c>
    </row>
    <row r="6207" ht="15.6" spans="4:11">
      <c r="D6207" s="4">
        <v>4674</v>
      </c>
      <c r="E6207" s="4" t="s">
        <v>223</v>
      </c>
      <c r="J6207" s="3" t="s">
        <v>6427</v>
      </c>
      <c r="K6207" s="3" t="s">
        <v>223</v>
      </c>
    </row>
    <row r="6208" ht="15.6" spans="4:11">
      <c r="D6208" s="4">
        <v>4675</v>
      </c>
      <c r="E6208" s="4" t="s">
        <v>223</v>
      </c>
      <c r="J6208" s="3" t="s">
        <v>6428</v>
      </c>
      <c r="K6208" s="3" t="s">
        <v>223</v>
      </c>
    </row>
    <row r="6209" ht="15.6" spans="4:11">
      <c r="D6209" s="4">
        <v>4676</v>
      </c>
      <c r="E6209" s="4" t="s">
        <v>223</v>
      </c>
      <c r="J6209" s="3" t="s">
        <v>6429</v>
      </c>
      <c r="K6209" s="3" t="s">
        <v>223</v>
      </c>
    </row>
    <row r="6210" ht="15.6" spans="4:11">
      <c r="D6210" s="4">
        <v>4677</v>
      </c>
      <c r="E6210" s="4" t="s">
        <v>223</v>
      </c>
      <c r="J6210" s="3" t="s">
        <v>6430</v>
      </c>
      <c r="K6210" s="3" t="s">
        <v>223</v>
      </c>
    </row>
    <row r="6211" ht="15.6" spans="4:11">
      <c r="D6211" s="4">
        <v>4678</v>
      </c>
      <c r="E6211" s="4" t="s">
        <v>223</v>
      </c>
      <c r="J6211" s="3" t="s">
        <v>6431</v>
      </c>
      <c r="K6211" s="3" t="s">
        <v>223</v>
      </c>
    </row>
    <row r="6212" ht="15.6" spans="4:11">
      <c r="D6212" s="4">
        <v>4679</v>
      </c>
      <c r="E6212" s="4" t="s">
        <v>223</v>
      </c>
      <c r="J6212" s="3" t="s">
        <v>6432</v>
      </c>
      <c r="K6212" s="3" t="s">
        <v>223</v>
      </c>
    </row>
    <row r="6213" ht="15.6" spans="4:11">
      <c r="D6213" s="4">
        <v>4680</v>
      </c>
      <c r="E6213" s="4" t="s">
        <v>223</v>
      </c>
      <c r="J6213" s="3" t="s">
        <v>6433</v>
      </c>
      <c r="K6213" s="3" t="s">
        <v>223</v>
      </c>
    </row>
    <row r="6214" ht="15.6" spans="4:11">
      <c r="D6214" s="4">
        <v>4681</v>
      </c>
      <c r="E6214" s="4" t="s">
        <v>223</v>
      </c>
      <c r="J6214" s="3" t="s">
        <v>6434</v>
      </c>
      <c r="K6214" s="3" t="s">
        <v>223</v>
      </c>
    </row>
    <row r="6215" ht="15.6" spans="4:11">
      <c r="D6215" s="4">
        <v>4682</v>
      </c>
      <c r="E6215" s="4" t="s">
        <v>223</v>
      </c>
      <c r="J6215" s="3" t="s">
        <v>6435</v>
      </c>
      <c r="K6215" s="3" t="s">
        <v>223</v>
      </c>
    </row>
    <row r="6216" ht="15.6" spans="4:11">
      <c r="D6216" s="4">
        <v>4683</v>
      </c>
      <c r="E6216" s="4" t="s">
        <v>223</v>
      </c>
      <c r="J6216" s="3" t="s">
        <v>6436</v>
      </c>
      <c r="K6216" s="3" t="s">
        <v>223</v>
      </c>
    </row>
    <row r="6217" ht="15.6" spans="4:11">
      <c r="D6217" s="4">
        <v>4684</v>
      </c>
      <c r="E6217" s="4" t="s">
        <v>223</v>
      </c>
      <c r="J6217" s="3" t="s">
        <v>6437</v>
      </c>
      <c r="K6217" s="3" t="s">
        <v>223</v>
      </c>
    </row>
    <row r="6218" ht="15.6" spans="4:11">
      <c r="D6218" s="4">
        <v>4685</v>
      </c>
      <c r="E6218" s="4" t="s">
        <v>223</v>
      </c>
      <c r="J6218" s="3" t="s">
        <v>6438</v>
      </c>
      <c r="K6218" s="3" t="s">
        <v>223</v>
      </c>
    </row>
    <row r="6219" ht="15.6" spans="4:11">
      <c r="D6219" s="4">
        <v>4686</v>
      </c>
      <c r="E6219" s="4" t="s">
        <v>223</v>
      </c>
      <c r="J6219" s="3" t="s">
        <v>6439</v>
      </c>
      <c r="K6219" s="3" t="s">
        <v>223</v>
      </c>
    </row>
    <row r="6220" ht="15.6" spans="4:11">
      <c r="D6220" s="4">
        <v>4687</v>
      </c>
      <c r="E6220" s="4" t="s">
        <v>223</v>
      </c>
      <c r="J6220" s="3" t="s">
        <v>6440</v>
      </c>
      <c r="K6220" s="3" t="s">
        <v>223</v>
      </c>
    </row>
    <row r="6221" ht="15.6" spans="4:11">
      <c r="D6221" s="4">
        <v>4688</v>
      </c>
      <c r="E6221" s="4" t="s">
        <v>223</v>
      </c>
      <c r="J6221" s="3" t="s">
        <v>6441</v>
      </c>
      <c r="K6221" s="3" t="s">
        <v>223</v>
      </c>
    </row>
    <row r="6222" ht="15.6" spans="4:11">
      <c r="D6222" s="4">
        <v>4689</v>
      </c>
      <c r="E6222" s="4" t="s">
        <v>223</v>
      </c>
      <c r="J6222" s="3" t="s">
        <v>6442</v>
      </c>
      <c r="K6222" s="3" t="s">
        <v>223</v>
      </c>
    </row>
    <row r="6223" ht="15.6" spans="4:11">
      <c r="D6223" s="4">
        <v>4690</v>
      </c>
      <c r="E6223" s="4" t="s">
        <v>223</v>
      </c>
      <c r="J6223" s="3" t="s">
        <v>6443</v>
      </c>
      <c r="K6223" s="3" t="s">
        <v>223</v>
      </c>
    </row>
    <row r="6224" ht="15.6" spans="4:11">
      <c r="D6224" s="4">
        <v>4691</v>
      </c>
      <c r="E6224" s="4" t="s">
        <v>223</v>
      </c>
      <c r="J6224" s="3" t="s">
        <v>6444</v>
      </c>
      <c r="K6224" s="3" t="s">
        <v>223</v>
      </c>
    </row>
    <row r="6225" ht="15.6" spans="4:11">
      <c r="D6225" s="4">
        <v>4692</v>
      </c>
      <c r="E6225" s="4" t="s">
        <v>223</v>
      </c>
      <c r="J6225" s="3" t="s">
        <v>6445</v>
      </c>
      <c r="K6225" s="3" t="s">
        <v>223</v>
      </c>
    </row>
    <row r="6226" ht="15.6" spans="4:11">
      <c r="D6226" s="4">
        <v>4693</v>
      </c>
      <c r="E6226" s="4" t="s">
        <v>223</v>
      </c>
      <c r="J6226" s="3" t="s">
        <v>6446</v>
      </c>
      <c r="K6226" s="3" t="s">
        <v>223</v>
      </c>
    </row>
    <row r="6227" ht="15.6" spans="4:11">
      <c r="D6227" s="4">
        <v>4694</v>
      </c>
      <c r="E6227" s="4" t="s">
        <v>223</v>
      </c>
      <c r="J6227" s="3" t="s">
        <v>6447</v>
      </c>
      <c r="K6227" s="3" t="s">
        <v>223</v>
      </c>
    </row>
    <row r="6228" ht="15.6" spans="4:11">
      <c r="D6228" s="4">
        <v>4695</v>
      </c>
      <c r="E6228" s="4" t="s">
        <v>223</v>
      </c>
      <c r="J6228" s="3" t="s">
        <v>6448</v>
      </c>
      <c r="K6228" s="3" t="s">
        <v>223</v>
      </c>
    </row>
    <row r="6229" ht="15.6" spans="4:11">
      <c r="D6229" s="4">
        <v>4696</v>
      </c>
      <c r="E6229" s="4" t="s">
        <v>223</v>
      </c>
      <c r="J6229" s="3" t="s">
        <v>6449</v>
      </c>
      <c r="K6229" s="3" t="s">
        <v>223</v>
      </c>
    </row>
    <row r="6230" ht="15.6" spans="4:11">
      <c r="D6230" s="4">
        <v>4697</v>
      </c>
      <c r="E6230" s="4" t="s">
        <v>223</v>
      </c>
      <c r="J6230" s="3" t="s">
        <v>6450</v>
      </c>
      <c r="K6230" s="3" t="s">
        <v>223</v>
      </c>
    </row>
    <row r="6231" ht="15.6" spans="4:11">
      <c r="D6231" s="4">
        <v>4698</v>
      </c>
      <c r="E6231" s="4" t="s">
        <v>223</v>
      </c>
      <c r="J6231" s="3" t="s">
        <v>6451</v>
      </c>
      <c r="K6231" s="3" t="s">
        <v>223</v>
      </c>
    </row>
    <row r="6232" ht="15.6" spans="4:11">
      <c r="D6232" s="4">
        <v>4699</v>
      </c>
      <c r="E6232" s="4" t="s">
        <v>223</v>
      </c>
      <c r="J6232" s="3" t="s">
        <v>6452</v>
      </c>
      <c r="K6232" s="3" t="s">
        <v>223</v>
      </c>
    </row>
    <row r="6233" ht="15.6" spans="4:11">
      <c r="D6233" s="4">
        <v>4700</v>
      </c>
      <c r="E6233" s="4" t="s">
        <v>223</v>
      </c>
      <c r="J6233" s="3" t="s">
        <v>6453</v>
      </c>
      <c r="K6233" s="3" t="s">
        <v>223</v>
      </c>
    </row>
    <row r="6234" ht="15.6" spans="4:11">
      <c r="D6234" s="4">
        <v>4701</v>
      </c>
      <c r="E6234" s="4" t="s">
        <v>223</v>
      </c>
      <c r="J6234" s="3" t="s">
        <v>6454</v>
      </c>
      <c r="K6234" s="3" t="s">
        <v>223</v>
      </c>
    </row>
    <row r="6235" ht="15.6" spans="4:11">
      <c r="D6235" s="4">
        <v>4702</v>
      </c>
      <c r="E6235" s="4" t="s">
        <v>223</v>
      </c>
      <c r="J6235" s="3" t="s">
        <v>6455</v>
      </c>
      <c r="K6235" s="3" t="s">
        <v>223</v>
      </c>
    </row>
    <row r="6236" ht="15.6" spans="4:11">
      <c r="D6236" s="4">
        <v>4703</v>
      </c>
      <c r="E6236" s="4" t="s">
        <v>223</v>
      </c>
      <c r="J6236" s="3" t="s">
        <v>6456</v>
      </c>
      <c r="K6236" s="3" t="s">
        <v>223</v>
      </c>
    </row>
    <row r="6237" ht="15.6" spans="4:11">
      <c r="D6237" s="4">
        <v>4704</v>
      </c>
      <c r="E6237" s="4" t="s">
        <v>223</v>
      </c>
      <c r="J6237" s="3" t="s">
        <v>6457</v>
      </c>
      <c r="K6237" s="3" t="s">
        <v>223</v>
      </c>
    </row>
    <row r="6238" ht="15.6" spans="4:11">
      <c r="D6238" s="4">
        <v>4705</v>
      </c>
      <c r="E6238" s="4" t="s">
        <v>223</v>
      </c>
      <c r="J6238" s="3" t="s">
        <v>6458</v>
      </c>
      <c r="K6238" s="3" t="s">
        <v>223</v>
      </c>
    </row>
    <row r="6239" ht="15.6" spans="4:11">
      <c r="D6239" s="4">
        <v>4706</v>
      </c>
      <c r="E6239" s="4" t="s">
        <v>223</v>
      </c>
      <c r="J6239" s="3" t="s">
        <v>6459</v>
      </c>
      <c r="K6239" s="3" t="s">
        <v>223</v>
      </c>
    </row>
    <row r="6240" ht="15.6" spans="4:11">
      <c r="D6240" s="4">
        <v>4707</v>
      </c>
      <c r="E6240" s="4" t="s">
        <v>223</v>
      </c>
      <c r="J6240" s="3" t="s">
        <v>6460</v>
      </c>
      <c r="K6240" s="3" t="s">
        <v>223</v>
      </c>
    </row>
    <row r="6241" ht="15.6" spans="4:11">
      <c r="D6241" s="4">
        <v>4708</v>
      </c>
      <c r="E6241" s="4" t="s">
        <v>223</v>
      </c>
      <c r="J6241" s="3" t="s">
        <v>6461</v>
      </c>
      <c r="K6241" s="3" t="s">
        <v>223</v>
      </c>
    </row>
    <row r="6242" ht="15.6" spans="4:11">
      <c r="D6242" s="4">
        <v>4709</v>
      </c>
      <c r="E6242" s="4" t="s">
        <v>223</v>
      </c>
      <c r="J6242" s="3" t="s">
        <v>6462</v>
      </c>
      <c r="K6242" s="3" t="s">
        <v>223</v>
      </c>
    </row>
    <row r="6243" ht="15.6" spans="4:11">
      <c r="D6243" s="4">
        <v>4710</v>
      </c>
      <c r="E6243" s="4" t="s">
        <v>223</v>
      </c>
      <c r="J6243" s="3" t="s">
        <v>6463</v>
      </c>
      <c r="K6243" s="3" t="s">
        <v>223</v>
      </c>
    </row>
    <row r="6244" ht="15.6" spans="4:11">
      <c r="D6244" s="4">
        <v>4711</v>
      </c>
      <c r="E6244" s="4" t="s">
        <v>223</v>
      </c>
      <c r="J6244" s="3" t="s">
        <v>6464</v>
      </c>
      <c r="K6244" s="3" t="s">
        <v>223</v>
      </c>
    </row>
    <row r="6245" ht="15.6" spans="4:11">
      <c r="D6245" s="4">
        <v>4712</v>
      </c>
      <c r="E6245" s="4" t="s">
        <v>223</v>
      </c>
      <c r="J6245" s="3" t="s">
        <v>6465</v>
      </c>
      <c r="K6245" s="3" t="s">
        <v>223</v>
      </c>
    </row>
    <row r="6246" ht="15.6" spans="4:11">
      <c r="D6246" s="4">
        <v>4713</v>
      </c>
      <c r="E6246" s="4" t="s">
        <v>223</v>
      </c>
      <c r="J6246" s="3" t="s">
        <v>6466</v>
      </c>
      <c r="K6246" s="3" t="s">
        <v>223</v>
      </c>
    </row>
    <row r="6247" ht="15.6" spans="4:11">
      <c r="D6247" s="4">
        <v>4714</v>
      </c>
      <c r="E6247" s="4" t="s">
        <v>223</v>
      </c>
      <c r="J6247" s="3" t="s">
        <v>6467</v>
      </c>
      <c r="K6247" s="3" t="s">
        <v>223</v>
      </c>
    </row>
    <row r="6248" ht="15.6" spans="4:11">
      <c r="D6248" s="4">
        <v>4715</v>
      </c>
      <c r="E6248" s="4" t="s">
        <v>223</v>
      </c>
      <c r="J6248" s="3" t="s">
        <v>6468</v>
      </c>
      <c r="K6248" s="3" t="s">
        <v>223</v>
      </c>
    </row>
    <row r="6249" ht="15.6" spans="4:11">
      <c r="D6249" s="4">
        <v>4716</v>
      </c>
      <c r="E6249" s="4" t="s">
        <v>223</v>
      </c>
      <c r="J6249" s="3" t="s">
        <v>6469</v>
      </c>
      <c r="K6249" s="3" t="s">
        <v>223</v>
      </c>
    </row>
    <row r="6250" ht="15.6" spans="4:11">
      <c r="D6250" s="4">
        <v>4717</v>
      </c>
      <c r="E6250" s="4" t="s">
        <v>223</v>
      </c>
      <c r="J6250" s="3" t="s">
        <v>6470</v>
      </c>
      <c r="K6250" s="3" t="s">
        <v>223</v>
      </c>
    </row>
    <row r="6251" ht="15.6" spans="4:11">
      <c r="D6251" s="4">
        <v>4718</v>
      </c>
      <c r="E6251" s="4" t="s">
        <v>223</v>
      </c>
      <c r="J6251" s="3" t="s">
        <v>6471</v>
      </c>
      <c r="K6251" s="3" t="s">
        <v>223</v>
      </c>
    </row>
    <row r="6252" ht="15.6" spans="4:11">
      <c r="D6252" s="4">
        <v>4719</v>
      </c>
      <c r="E6252" s="4" t="s">
        <v>223</v>
      </c>
      <c r="J6252" s="3" t="s">
        <v>6472</v>
      </c>
      <c r="K6252" s="3" t="s">
        <v>223</v>
      </c>
    </row>
    <row r="6253" ht="15.6" spans="4:11">
      <c r="D6253" s="4">
        <v>4720</v>
      </c>
      <c r="E6253" s="4" t="s">
        <v>223</v>
      </c>
      <c r="J6253" s="3" t="s">
        <v>6473</v>
      </c>
      <c r="K6253" s="3" t="s">
        <v>223</v>
      </c>
    </row>
    <row r="6254" ht="15.6" spans="4:11">
      <c r="D6254" s="4">
        <v>4721</v>
      </c>
      <c r="E6254" s="4" t="s">
        <v>223</v>
      </c>
      <c r="J6254" s="3" t="s">
        <v>6474</v>
      </c>
      <c r="K6254" s="3" t="s">
        <v>223</v>
      </c>
    </row>
    <row r="6255" ht="15.6" spans="4:11">
      <c r="D6255" s="4">
        <v>4722</v>
      </c>
      <c r="E6255" s="4" t="s">
        <v>223</v>
      </c>
      <c r="J6255" s="3" t="s">
        <v>6475</v>
      </c>
      <c r="K6255" s="3" t="s">
        <v>223</v>
      </c>
    </row>
    <row r="6256" ht="15.6" spans="4:11">
      <c r="D6256" s="4">
        <v>4723</v>
      </c>
      <c r="E6256" s="4" t="s">
        <v>223</v>
      </c>
      <c r="J6256" s="3" t="s">
        <v>6476</v>
      </c>
      <c r="K6256" s="3" t="s">
        <v>223</v>
      </c>
    </row>
    <row r="6257" ht="15.6" spans="4:11">
      <c r="D6257" s="4">
        <v>4724</v>
      </c>
      <c r="E6257" s="4" t="s">
        <v>223</v>
      </c>
      <c r="J6257" s="3" t="s">
        <v>6477</v>
      </c>
      <c r="K6257" s="3" t="s">
        <v>223</v>
      </c>
    </row>
    <row r="6258" ht="15.6" spans="4:11">
      <c r="D6258" s="4">
        <v>4725</v>
      </c>
      <c r="E6258" s="4" t="s">
        <v>223</v>
      </c>
      <c r="J6258" s="3" t="s">
        <v>6478</v>
      </c>
      <c r="K6258" s="3" t="s">
        <v>223</v>
      </c>
    </row>
    <row r="6259" ht="15.6" spans="4:11">
      <c r="D6259" s="4">
        <v>4726</v>
      </c>
      <c r="E6259" s="4" t="s">
        <v>223</v>
      </c>
      <c r="J6259" s="3" t="s">
        <v>6479</v>
      </c>
      <c r="K6259" s="3" t="s">
        <v>223</v>
      </c>
    </row>
    <row r="6260" ht="15.6" spans="4:11">
      <c r="D6260" s="4">
        <v>4727</v>
      </c>
      <c r="E6260" s="4" t="s">
        <v>223</v>
      </c>
      <c r="J6260" s="3" t="s">
        <v>6480</v>
      </c>
      <c r="K6260" s="3" t="s">
        <v>223</v>
      </c>
    </row>
    <row r="6261" ht="15.6" spans="4:11">
      <c r="D6261" s="4">
        <v>4728</v>
      </c>
      <c r="E6261" s="4" t="s">
        <v>223</v>
      </c>
      <c r="J6261" s="3" t="s">
        <v>6481</v>
      </c>
      <c r="K6261" s="3" t="s">
        <v>223</v>
      </c>
    </row>
    <row r="6262" ht="15.6" spans="4:11">
      <c r="D6262" s="4">
        <v>4729</v>
      </c>
      <c r="E6262" s="4" t="s">
        <v>223</v>
      </c>
      <c r="J6262" s="3" t="s">
        <v>6482</v>
      </c>
      <c r="K6262" s="3" t="s">
        <v>223</v>
      </c>
    </row>
    <row r="6263" ht="15.6" spans="4:11">
      <c r="D6263" s="4">
        <v>4730</v>
      </c>
      <c r="E6263" s="4" t="s">
        <v>223</v>
      </c>
      <c r="J6263" s="3" t="s">
        <v>6483</v>
      </c>
      <c r="K6263" s="3" t="s">
        <v>223</v>
      </c>
    </row>
    <row r="6264" ht="15.6" spans="4:11">
      <c r="D6264" s="4">
        <v>4731</v>
      </c>
      <c r="E6264" s="4" t="s">
        <v>223</v>
      </c>
      <c r="J6264" s="3" t="s">
        <v>6484</v>
      </c>
      <c r="K6264" s="3" t="s">
        <v>223</v>
      </c>
    </row>
    <row r="6265" ht="15.6" spans="4:11">
      <c r="D6265" s="4">
        <v>4732</v>
      </c>
      <c r="E6265" s="4" t="s">
        <v>223</v>
      </c>
      <c r="J6265" s="3" t="s">
        <v>6485</v>
      </c>
      <c r="K6265" s="3" t="s">
        <v>223</v>
      </c>
    </row>
    <row r="6266" ht="15.6" spans="4:11">
      <c r="D6266" s="4">
        <v>4733</v>
      </c>
      <c r="E6266" s="4" t="s">
        <v>223</v>
      </c>
      <c r="J6266" s="3" t="s">
        <v>6486</v>
      </c>
      <c r="K6266" s="3" t="s">
        <v>223</v>
      </c>
    </row>
    <row r="6267" ht="15.6" spans="4:11">
      <c r="D6267" s="4">
        <v>4734</v>
      </c>
      <c r="E6267" s="4" t="s">
        <v>223</v>
      </c>
      <c r="J6267" s="3" t="s">
        <v>6487</v>
      </c>
      <c r="K6267" s="3" t="s">
        <v>223</v>
      </c>
    </row>
    <row r="6268" ht="15.6" spans="4:11">
      <c r="D6268" s="4">
        <v>4735</v>
      </c>
      <c r="E6268" s="4" t="s">
        <v>223</v>
      </c>
      <c r="J6268" s="3" t="s">
        <v>6488</v>
      </c>
      <c r="K6268" s="3" t="s">
        <v>223</v>
      </c>
    </row>
    <row r="6269" ht="15.6" spans="4:11">
      <c r="D6269" s="4">
        <v>4736</v>
      </c>
      <c r="E6269" s="4" t="s">
        <v>223</v>
      </c>
      <c r="J6269" s="3" t="s">
        <v>6489</v>
      </c>
      <c r="K6269" s="3" t="s">
        <v>223</v>
      </c>
    </row>
    <row r="6270" ht="15.6" spans="4:11">
      <c r="D6270" s="4">
        <v>4737</v>
      </c>
      <c r="E6270" s="4" t="s">
        <v>223</v>
      </c>
      <c r="J6270" s="3" t="s">
        <v>6490</v>
      </c>
      <c r="K6270" s="3" t="s">
        <v>223</v>
      </c>
    </row>
    <row r="6271" ht="15.6" spans="4:11">
      <c r="D6271" s="4">
        <v>4738</v>
      </c>
      <c r="E6271" s="4" t="s">
        <v>223</v>
      </c>
      <c r="J6271" s="3" t="s">
        <v>6491</v>
      </c>
      <c r="K6271" s="3" t="s">
        <v>223</v>
      </c>
    </row>
    <row r="6272" ht="15.6" spans="4:11">
      <c r="D6272" s="4">
        <v>4739</v>
      </c>
      <c r="E6272" s="4" t="s">
        <v>223</v>
      </c>
      <c r="J6272" s="3" t="s">
        <v>6492</v>
      </c>
      <c r="K6272" s="3" t="s">
        <v>223</v>
      </c>
    </row>
    <row r="6273" ht="15.6" spans="4:11">
      <c r="D6273" s="4">
        <v>4740</v>
      </c>
      <c r="E6273" s="4" t="s">
        <v>223</v>
      </c>
      <c r="J6273" s="3" t="s">
        <v>6493</v>
      </c>
      <c r="K6273" s="3" t="s">
        <v>223</v>
      </c>
    </row>
    <row r="6274" ht="15.6" spans="4:11">
      <c r="D6274" s="4">
        <v>4741</v>
      </c>
      <c r="E6274" s="4" t="s">
        <v>223</v>
      </c>
      <c r="J6274" s="3" t="s">
        <v>6494</v>
      </c>
      <c r="K6274" s="3" t="s">
        <v>223</v>
      </c>
    </row>
    <row r="6275" ht="15.6" spans="4:11">
      <c r="D6275" s="4">
        <v>4742</v>
      </c>
      <c r="E6275" s="4" t="s">
        <v>223</v>
      </c>
      <c r="J6275" s="3" t="s">
        <v>6495</v>
      </c>
      <c r="K6275" s="3" t="s">
        <v>223</v>
      </c>
    </row>
    <row r="6276" ht="15.6" spans="4:11">
      <c r="D6276" s="4">
        <v>4743</v>
      </c>
      <c r="E6276" s="4" t="s">
        <v>223</v>
      </c>
      <c r="J6276" s="3" t="s">
        <v>6496</v>
      </c>
      <c r="K6276" s="3" t="s">
        <v>223</v>
      </c>
    </row>
    <row r="6277" ht="15.6" spans="4:11">
      <c r="D6277" s="4">
        <v>4744</v>
      </c>
      <c r="E6277" s="4" t="s">
        <v>223</v>
      </c>
      <c r="J6277" s="3" t="s">
        <v>6497</v>
      </c>
      <c r="K6277" s="3" t="s">
        <v>223</v>
      </c>
    </row>
    <row r="6278" ht="15.6" spans="4:11">
      <c r="D6278" s="4">
        <v>4745</v>
      </c>
      <c r="E6278" s="4" t="s">
        <v>223</v>
      </c>
      <c r="J6278" s="3" t="s">
        <v>6498</v>
      </c>
      <c r="K6278" s="3" t="s">
        <v>223</v>
      </c>
    </row>
    <row r="6279" ht="15.6" spans="4:11">
      <c r="D6279" s="4">
        <v>4746</v>
      </c>
      <c r="E6279" s="4" t="s">
        <v>223</v>
      </c>
      <c r="J6279" s="3" t="s">
        <v>6499</v>
      </c>
      <c r="K6279" s="3" t="s">
        <v>223</v>
      </c>
    </row>
    <row r="6280" ht="15.6" spans="4:11">
      <c r="D6280" s="4">
        <v>4747</v>
      </c>
      <c r="E6280" s="4" t="s">
        <v>223</v>
      </c>
      <c r="J6280" s="3" t="s">
        <v>6500</v>
      </c>
      <c r="K6280" s="3" t="s">
        <v>223</v>
      </c>
    </row>
    <row r="6281" ht="15.6" spans="4:11">
      <c r="D6281" s="4">
        <v>4748</v>
      </c>
      <c r="E6281" s="4" t="s">
        <v>223</v>
      </c>
      <c r="J6281" s="3" t="s">
        <v>6501</v>
      </c>
      <c r="K6281" s="3" t="s">
        <v>223</v>
      </c>
    </row>
    <row r="6282" ht="15.6" spans="4:11">
      <c r="D6282" s="4">
        <v>4749</v>
      </c>
      <c r="E6282" s="4" t="s">
        <v>223</v>
      </c>
      <c r="J6282" s="3" t="s">
        <v>6502</v>
      </c>
      <c r="K6282" s="3" t="s">
        <v>223</v>
      </c>
    </row>
    <row r="6283" ht="15.6" spans="4:11">
      <c r="D6283" s="4">
        <v>4750</v>
      </c>
      <c r="E6283" s="4" t="s">
        <v>223</v>
      </c>
      <c r="J6283" s="3" t="s">
        <v>6503</v>
      </c>
      <c r="K6283" s="3" t="s">
        <v>223</v>
      </c>
    </row>
    <row r="6284" ht="15.6" spans="4:11">
      <c r="D6284" s="4">
        <v>4751</v>
      </c>
      <c r="E6284" s="4" t="s">
        <v>223</v>
      </c>
      <c r="J6284" s="3" t="s">
        <v>6504</v>
      </c>
      <c r="K6284" s="3" t="s">
        <v>223</v>
      </c>
    </row>
    <row r="6285" ht="15.6" spans="4:11">
      <c r="D6285" s="4">
        <v>4752</v>
      </c>
      <c r="E6285" s="4" t="s">
        <v>223</v>
      </c>
      <c r="J6285" s="3" t="s">
        <v>6505</v>
      </c>
      <c r="K6285" s="3" t="s">
        <v>223</v>
      </c>
    </row>
    <row r="6286" ht="15.6" spans="4:11">
      <c r="D6286" s="4">
        <v>4753</v>
      </c>
      <c r="E6286" s="4" t="s">
        <v>223</v>
      </c>
      <c r="J6286" s="3" t="s">
        <v>6506</v>
      </c>
      <c r="K6286" s="3" t="s">
        <v>223</v>
      </c>
    </row>
    <row r="6287" ht="15.6" spans="4:11">
      <c r="D6287" s="4">
        <v>4754</v>
      </c>
      <c r="E6287" s="4" t="s">
        <v>223</v>
      </c>
      <c r="J6287" s="3" t="s">
        <v>6507</v>
      </c>
      <c r="K6287" s="3" t="s">
        <v>223</v>
      </c>
    </row>
    <row r="6288" ht="15.6" spans="4:11">
      <c r="D6288" s="4">
        <v>4755</v>
      </c>
      <c r="E6288" s="4" t="s">
        <v>223</v>
      </c>
      <c r="J6288" s="3" t="s">
        <v>6508</v>
      </c>
      <c r="K6288" s="3" t="s">
        <v>223</v>
      </c>
    </row>
    <row r="6289" ht="15.6" spans="4:11">
      <c r="D6289" s="4">
        <v>4756</v>
      </c>
      <c r="E6289" s="4" t="s">
        <v>223</v>
      </c>
      <c r="J6289" s="3" t="s">
        <v>6509</v>
      </c>
      <c r="K6289" s="3" t="s">
        <v>223</v>
      </c>
    </row>
    <row r="6290" ht="15.6" spans="4:11">
      <c r="D6290" s="4">
        <v>4757</v>
      </c>
      <c r="E6290" s="4" t="s">
        <v>223</v>
      </c>
      <c r="J6290" s="3" t="s">
        <v>6510</v>
      </c>
      <c r="K6290" s="3" t="s">
        <v>223</v>
      </c>
    </row>
    <row r="6291" ht="15.6" spans="4:11">
      <c r="D6291" s="4">
        <v>4758</v>
      </c>
      <c r="E6291" s="4" t="s">
        <v>223</v>
      </c>
      <c r="J6291" s="3" t="s">
        <v>6511</v>
      </c>
      <c r="K6291" s="3" t="s">
        <v>223</v>
      </c>
    </row>
    <row r="6292" ht="15.6" spans="4:11">
      <c r="D6292" s="4">
        <v>4759</v>
      </c>
      <c r="E6292" s="4" t="s">
        <v>223</v>
      </c>
      <c r="J6292" s="3" t="s">
        <v>6512</v>
      </c>
      <c r="K6292" s="3" t="s">
        <v>223</v>
      </c>
    </row>
    <row r="6293" ht="15.6" spans="4:11">
      <c r="D6293" s="4">
        <v>4760</v>
      </c>
      <c r="E6293" s="4" t="s">
        <v>223</v>
      </c>
      <c r="J6293" s="3" t="s">
        <v>6513</v>
      </c>
      <c r="K6293" s="3" t="s">
        <v>223</v>
      </c>
    </row>
    <row r="6294" ht="15.6" spans="4:11">
      <c r="D6294" s="4">
        <v>4761</v>
      </c>
      <c r="E6294" s="4" t="s">
        <v>223</v>
      </c>
      <c r="J6294" s="3" t="s">
        <v>6514</v>
      </c>
      <c r="K6294" s="3" t="s">
        <v>223</v>
      </c>
    </row>
    <row r="6295" ht="15.6" spans="4:11">
      <c r="D6295" s="4">
        <v>4762</v>
      </c>
      <c r="E6295" s="4" t="s">
        <v>223</v>
      </c>
      <c r="J6295" s="3" t="s">
        <v>6515</v>
      </c>
      <c r="K6295" s="3" t="s">
        <v>223</v>
      </c>
    </row>
    <row r="6296" ht="15.6" spans="4:11">
      <c r="D6296" s="4">
        <v>4763</v>
      </c>
      <c r="E6296" s="4" t="s">
        <v>223</v>
      </c>
      <c r="J6296" s="3" t="s">
        <v>6516</v>
      </c>
      <c r="K6296" s="3" t="s">
        <v>223</v>
      </c>
    </row>
    <row r="6297" ht="15.6" spans="4:11">
      <c r="D6297" s="4">
        <v>4764</v>
      </c>
      <c r="E6297" s="4" t="s">
        <v>223</v>
      </c>
      <c r="J6297" s="3" t="s">
        <v>6517</v>
      </c>
      <c r="K6297" s="3" t="s">
        <v>223</v>
      </c>
    </row>
    <row r="6298" ht="15.6" spans="4:11">
      <c r="D6298" s="4">
        <v>4765</v>
      </c>
      <c r="E6298" s="4" t="s">
        <v>223</v>
      </c>
      <c r="J6298" s="3" t="s">
        <v>6518</v>
      </c>
      <c r="K6298" s="3" t="s">
        <v>223</v>
      </c>
    </row>
    <row r="6299" ht="15.6" spans="4:11">
      <c r="D6299" s="4">
        <v>4766</v>
      </c>
      <c r="E6299" s="4" t="s">
        <v>223</v>
      </c>
      <c r="J6299" s="3" t="s">
        <v>6519</v>
      </c>
      <c r="K6299" s="3" t="s">
        <v>223</v>
      </c>
    </row>
    <row r="6300" ht="15.6" spans="4:11">
      <c r="D6300" s="4">
        <v>4767</v>
      </c>
      <c r="E6300" s="4" t="s">
        <v>223</v>
      </c>
      <c r="J6300" s="3" t="s">
        <v>6520</v>
      </c>
      <c r="K6300" s="3" t="s">
        <v>223</v>
      </c>
    </row>
    <row r="6301" ht="15.6" spans="4:11">
      <c r="D6301" s="4">
        <v>4768</v>
      </c>
      <c r="E6301" s="4" t="s">
        <v>223</v>
      </c>
      <c r="J6301" s="3" t="s">
        <v>6521</v>
      </c>
      <c r="K6301" s="3" t="s">
        <v>223</v>
      </c>
    </row>
    <row r="6302" ht="15.6" spans="4:11">
      <c r="D6302" s="4">
        <v>4769</v>
      </c>
      <c r="E6302" s="4" t="s">
        <v>223</v>
      </c>
      <c r="J6302" s="3" t="s">
        <v>6522</v>
      </c>
      <c r="K6302" s="3" t="s">
        <v>223</v>
      </c>
    </row>
    <row r="6303" ht="15.6" spans="4:11">
      <c r="D6303" s="4">
        <v>4770</v>
      </c>
      <c r="E6303" s="4" t="s">
        <v>223</v>
      </c>
      <c r="J6303" s="3" t="s">
        <v>6523</v>
      </c>
      <c r="K6303" s="3" t="s">
        <v>223</v>
      </c>
    </row>
    <row r="6304" ht="15.6" spans="4:11">
      <c r="D6304" s="4">
        <v>4771</v>
      </c>
      <c r="E6304" s="4" t="s">
        <v>223</v>
      </c>
      <c r="J6304" s="3" t="s">
        <v>6524</v>
      </c>
      <c r="K6304" s="3" t="s">
        <v>223</v>
      </c>
    </row>
    <row r="6305" ht="15.6" spans="4:11">
      <c r="D6305" s="4">
        <v>4772</v>
      </c>
      <c r="E6305" s="4" t="s">
        <v>223</v>
      </c>
      <c r="J6305" s="3" t="s">
        <v>6525</v>
      </c>
      <c r="K6305" s="3" t="s">
        <v>223</v>
      </c>
    </row>
    <row r="6306" ht="15.6" spans="4:11">
      <c r="D6306" s="4">
        <v>4773</v>
      </c>
      <c r="E6306" s="4" t="s">
        <v>223</v>
      </c>
      <c r="J6306" s="3" t="s">
        <v>6526</v>
      </c>
      <c r="K6306" s="3" t="s">
        <v>223</v>
      </c>
    </row>
    <row r="6307" ht="15.6" spans="4:11">
      <c r="D6307" s="4">
        <v>4774</v>
      </c>
      <c r="E6307" s="4" t="s">
        <v>223</v>
      </c>
      <c r="J6307" s="3" t="s">
        <v>6527</v>
      </c>
      <c r="K6307" s="3" t="s">
        <v>223</v>
      </c>
    </row>
    <row r="6308" ht="15.6" spans="4:11">
      <c r="D6308" s="4">
        <v>4775</v>
      </c>
      <c r="E6308" s="4" t="s">
        <v>223</v>
      </c>
      <c r="J6308" s="3" t="s">
        <v>6528</v>
      </c>
      <c r="K6308" s="3" t="s">
        <v>223</v>
      </c>
    </row>
    <row r="6309" ht="15.6" spans="4:11">
      <c r="D6309" s="4">
        <v>4776</v>
      </c>
      <c r="E6309" s="4" t="s">
        <v>223</v>
      </c>
      <c r="J6309" s="3" t="s">
        <v>6529</v>
      </c>
      <c r="K6309" s="3" t="s">
        <v>223</v>
      </c>
    </row>
    <row r="6310" ht="15.6" spans="4:11">
      <c r="D6310" s="4">
        <v>4777</v>
      </c>
      <c r="E6310" s="4" t="s">
        <v>223</v>
      </c>
      <c r="J6310" s="3" t="s">
        <v>6530</v>
      </c>
      <c r="K6310" s="3" t="s">
        <v>223</v>
      </c>
    </row>
    <row r="6311" ht="15.6" spans="4:11">
      <c r="D6311" s="4">
        <v>4778</v>
      </c>
      <c r="E6311" s="4" t="s">
        <v>223</v>
      </c>
      <c r="J6311" s="3" t="s">
        <v>6531</v>
      </c>
      <c r="K6311" s="3" t="s">
        <v>223</v>
      </c>
    </row>
    <row r="6312" ht="15.6" spans="4:11">
      <c r="D6312" s="4">
        <v>4779</v>
      </c>
      <c r="E6312" s="4" t="s">
        <v>223</v>
      </c>
      <c r="J6312" s="3" t="s">
        <v>6532</v>
      </c>
      <c r="K6312" s="3" t="s">
        <v>223</v>
      </c>
    </row>
    <row r="6313" ht="15.6" spans="4:11">
      <c r="D6313" s="4">
        <v>4780</v>
      </c>
      <c r="E6313" s="4" t="s">
        <v>223</v>
      </c>
      <c r="J6313" s="3" t="s">
        <v>6533</v>
      </c>
      <c r="K6313" s="3" t="s">
        <v>223</v>
      </c>
    </row>
    <row r="6314" ht="15.6" spans="4:11">
      <c r="D6314" s="4">
        <v>4781</v>
      </c>
      <c r="E6314" s="4" t="s">
        <v>223</v>
      </c>
      <c r="J6314" s="3" t="s">
        <v>6534</v>
      </c>
      <c r="K6314" s="3" t="s">
        <v>223</v>
      </c>
    </row>
    <row r="6315" ht="15.6" spans="4:11">
      <c r="D6315" s="4">
        <v>4782</v>
      </c>
      <c r="E6315" s="4" t="s">
        <v>223</v>
      </c>
      <c r="J6315" s="3" t="s">
        <v>6535</v>
      </c>
      <c r="K6315" s="3" t="s">
        <v>223</v>
      </c>
    </row>
    <row r="6316" ht="15.6" spans="4:11">
      <c r="D6316" s="4">
        <v>4783</v>
      </c>
      <c r="E6316" s="4" t="s">
        <v>223</v>
      </c>
      <c r="J6316" s="3" t="s">
        <v>6536</v>
      </c>
      <c r="K6316" s="3" t="s">
        <v>223</v>
      </c>
    </row>
    <row r="6317" ht="15.6" spans="4:11">
      <c r="D6317" s="4">
        <v>4784</v>
      </c>
      <c r="E6317" s="4" t="s">
        <v>223</v>
      </c>
      <c r="J6317" s="3" t="s">
        <v>6537</v>
      </c>
      <c r="K6317" s="3" t="s">
        <v>223</v>
      </c>
    </row>
    <row r="6318" ht="15.6" spans="4:11">
      <c r="D6318" s="4">
        <v>4785</v>
      </c>
      <c r="E6318" s="4" t="s">
        <v>223</v>
      </c>
      <c r="J6318" s="3" t="s">
        <v>6538</v>
      </c>
      <c r="K6318" s="3" t="s">
        <v>223</v>
      </c>
    </row>
    <row r="6319" ht="15.6" spans="4:11">
      <c r="D6319" s="4">
        <v>4786</v>
      </c>
      <c r="E6319" s="4" t="s">
        <v>223</v>
      </c>
      <c r="J6319" s="3" t="s">
        <v>6539</v>
      </c>
      <c r="K6319" s="3" t="s">
        <v>223</v>
      </c>
    </row>
    <row r="6320" ht="15.6" spans="4:11">
      <c r="D6320" s="4">
        <v>4787</v>
      </c>
      <c r="E6320" s="4" t="s">
        <v>223</v>
      </c>
      <c r="J6320" s="3" t="s">
        <v>6540</v>
      </c>
      <c r="K6320" s="3" t="s">
        <v>223</v>
      </c>
    </row>
    <row r="6321" ht="15.6" spans="4:11">
      <c r="D6321" s="4">
        <v>4788</v>
      </c>
      <c r="E6321" s="4" t="s">
        <v>223</v>
      </c>
      <c r="J6321" s="3" t="s">
        <v>6541</v>
      </c>
      <c r="K6321" s="3" t="s">
        <v>223</v>
      </c>
    </row>
    <row r="6322" ht="15.6" spans="4:11">
      <c r="D6322" s="4">
        <v>4789</v>
      </c>
      <c r="E6322" s="4" t="s">
        <v>223</v>
      </c>
      <c r="J6322" s="3" t="s">
        <v>6542</v>
      </c>
      <c r="K6322" s="3" t="s">
        <v>223</v>
      </c>
    </row>
    <row r="6323" ht="15.6" spans="4:11">
      <c r="D6323" s="4">
        <v>4790</v>
      </c>
      <c r="E6323" s="4" t="s">
        <v>223</v>
      </c>
      <c r="J6323" s="3" t="s">
        <v>6543</v>
      </c>
      <c r="K6323" s="3" t="s">
        <v>223</v>
      </c>
    </row>
    <row r="6324" ht="15.6" spans="4:11">
      <c r="D6324" s="4">
        <v>4791</v>
      </c>
      <c r="E6324" s="4" t="s">
        <v>223</v>
      </c>
      <c r="J6324" s="3" t="s">
        <v>6544</v>
      </c>
      <c r="K6324" s="3" t="s">
        <v>223</v>
      </c>
    </row>
    <row r="6325" ht="15.6" spans="4:11">
      <c r="D6325" s="4">
        <v>4792</v>
      </c>
      <c r="E6325" s="4" t="s">
        <v>223</v>
      </c>
      <c r="J6325" s="3" t="s">
        <v>6545</v>
      </c>
      <c r="K6325" s="3" t="s">
        <v>223</v>
      </c>
    </row>
    <row r="6326" ht="15.6" spans="4:11">
      <c r="D6326" s="4">
        <v>4793</v>
      </c>
      <c r="E6326" s="4" t="s">
        <v>223</v>
      </c>
      <c r="J6326" s="3" t="s">
        <v>6546</v>
      </c>
      <c r="K6326" s="3" t="s">
        <v>223</v>
      </c>
    </row>
    <row r="6327" ht="15.6" spans="4:11">
      <c r="D6327" s="4">
        <v>4794</v>
      </c>
      <c r="E6327" s="4" t="s">
        <v>223</v>
      </c>
      <c r="J6327" s="3" t="s">
        <v>6547</v>
      </c>
      <c r="K6327" s="3" t="s">
        <v>223</v>
      </c>
    </row>
    <row r="6328" ht="15.6" spans="4:11">
      <c r="D6328" s="4">
        <v>4795</v>
      </c>
      <c r="E6328" s="4" t="s">
        <v>223</v>
      </c>
      <c r="J6328" s="3" t="s">
        <v>6548</v>
      </c>
      <c r="K6328" s="3" t="s">
        <v>223</v>
      </c>
    </row>
    <row r="6329" ht="15.6" spans="4:11">
      <c r="D6329" s="4">
        <v>4796</v>
      </c>
      <c r="E6329" s="4" t="s">
        <v>223</v>
      </c>
      <c r="J6329" s="3" t="s">
        <v>6549</v>
      </c>
      <c r="K6329" s="3" t="s">
        <v>223</v>
      </c>
    </row>
    <row r="6330" ht="15.6" spans="4:11">
      <c r="D6330" s="4">
        <v>4797</v>
      </c>
      <c r="E6330" s="4" t="s">
        <v>223</v>
      </c>
      <c r="J6330" s="3" t="s">
        <v>6550</v>
      </c>
      <c r="K6330" s="3" t="s">
        <v>223</v>
      </c>
    </row>
    <row r="6331" ht="15.6" spans="4:11">
      <c r="D6331" s="4">
        <v>4798</v>
      </c>
      <c r="E6331" s="4" t="s">
        <v>223</v>
      </c>
      <c r="J6331" s="3" t="s">
        <v>6551</v>
      </c>
      <c r="K6331" s="3" t="s">
        <v>223</v>
      </c>
    </row>
    <row r="6332" ht="15.6" spans="4:11">
      <c r="D6332" s="4">
        <v>4799</v>
      </c>
      <c r="E6332" s="4" t="s">
        <v>223</v>
      </c>
      <c r="J6332" s="3" t="s">
        <v>6552</v>
      </c>
      <c r="K6332" s="3" t="s">
        <v>223</v>
      </c>
    </row>
    <row r="6333" ht="15.6" spans="4:11">
      <c r="D6333" s="4">
        <v>4800</v>
      </c>
      <c r="E6333" s="4" t="s">
        <v>223</v>
      </c>
      <c r="J6333" s="3" t="s">
        <v>6553</v>
      </c>
      <c r="K6333" s="3" t="s">
        <v>223</v>
      </c>
    </row>
    <row r="6334" ht="15.6" spans="4:11">
      <c r="D6334" s="4">
        <v>4801</v>
      </c>
      <c r="E6334" s="4" t="s">
        <v>223</v>
      </c>
      <c r="J6334" s="3" t="s">
        <v>6554</v>
      </c>
      <c r="K6334" s="3" t="s">
        <v>223</v>
      </c>
    </row>
    <row r="6335" ht="15.6" spans="4:11">
      <c r="D6335" s="4">
        <v>4802</v>
      </c>
      <c r="E6335" s="4" t="s">
        <v>223</v>
      </c>
      <c r="J6335" s="3" t="s">
        <v>6555</v>
      </c>
      <c r="K6335" s="3" t="s">
        <v>223</v>
      </c>
    </row>
    <row r="6336" ht="15.6" spans="4:11">
      <c r="D6336" s="4">
        <v>4803</v>
      </c>
      <c r="E6336" s="4" t="s">
        <v>223</v>
      </c>
      <c r="J6336" s="3" t="s">
        <v>6556</v>
      </c>
      <c r="K6336" s="3" t="s">
        <v>223</v>
      </c>
    </row>
    <row r="6337" ht="15.6" spans="4:11">
      <c r="D6337" s="4">
        <v>4804</v>
      </c>
      <c r="E6337" s="4" t="s">
        <v>223</v>
      </c>
      <c r="J6337" s="3" t="s">
        <v>6557</v>
      </c>
      <c r="K6337" s="3" t="s">
        <v>223</v>
      </c>
    </row>
    <row r="6338" ht="15.6" spans="4:11">
      <c r="D6338" s="4">
        <v>4805</v>
      </c>
      <c r="E6338" s="4" t="s">
        <v>223</v>
      </c>
      <c r="J6338" s="3" t="s">
        <v>6558</v>
      </c>
      <c r="K6338" s="3" t="s">
        <v>223</v>
      </c>
    </row>
    <row r="6339" ht="15.6" spans="4:11">
      <c r="D6339" s="4">
        <v>4806</v>
      </c>
      <c r="E6339" s="4" t="s">
        <v>223</v>
      </c>
      <c r="J6339" s="3" t="s">
        <v>6559</v>
      </c>
      <c r="K6339" s="3" t="s">
        <v>223</v>
      </c>
    </row>
    <row r="6340" ht="15.6" spans="4:11">
      <c r="D6340" s="4">
        <v>4807</v>
      </c>
      <c r="E6340" s="4" t="s">
        <v>223</v>
      </c>
      <c r="J6340" s="3" t="s">
        <v>6560</v>
      </c>
      <c r="K6340" s="3" t="s">
        <v>223</v>
      </c>
    </row>
    <row r="6341" ht="15.6" spans="4:11">
      <c r="D6341" s="4">
        <v>4808</v>
      </c>
      <c r="E6341" s="4" t="s">
        <v>223</v>
      </c>
      <c r="J6341" s="3" t="s">
        <v>6561</v>
      </c>
      <c r="K6341" s="3" t="s">
        <v>223</v>
      </c>
    </row>
    <row r="6342" ht="15.6" spans="4:11">
      <c r="D6342" s="4">
        <v>4809</v>
      </c>
      <c r="E6342" s="4" t="s">
        <v>223</v>
      </c>
      <c r="J6342" s="3" t="s">
        <v>6562</v>
      </c>
      <c r="K6342" s="3" t="s">
        <v>223</v>
      </c>
    </row>
    <row r="6343" ht="15.6" spans="4:11">
      <c r="D6343" s="4">
        <v>4810</v>
      </c>
      <c r="E6343" s="4" t="s">
        <v>223</v>
      </c>
      <c r="J6343" s="3" t="s">
        <v>6563</v>
      </c>
      <c r="K6343" s="3" t="s">
        <v>223</v>
      </c>
    </row>
    <row r="6344" ht="15.6" spans="4:11">
      <c r="D6344" s="4">
        <v>4811</v>
      </c>
      <c r="E6344" s="4" t="s">
        <v>223</v>
      </c>
      <c r="J6344" s="3" t="s">
        <v>6564</v>
      </c>
      <c r="K6344" s="3" t="s">
        <v>223</v>
      </c>
    </row>
    <row r="6345" ht="15.6" spans="4:11">
      <c r="D6345" s="4">
        <v>4812</v>
      </c>
      <c r="E6345" s="4" t="s">
        <v>223</v>
      </c>
      <c r="J6345" s="3" t="s">
        <v>6565</v>
      </c>
      <c r="K6345" s="3" t="s">
        <v>223</v>
      </c>
    </row>
    <row r="6346" ht="15.6" spans="4:11">
      <c r="D6346" s="4">
        <v>4813</v>
      </c>
      <c r="E6346" s="4" t="s">
        <v>223</v>
      </c>
      <c r="J6346" s="3" t="s">
        <v>6566</v>
      </c>
      <c r="K6346" s="3" t="s">
        <v>223</v>
      </c>
    </row>
    <row r="6347" ht="15.6" spans="4:11">
      <c r="D6347" s="4">
        <v>4814</v>
      </c>
      <c r="E6347" s="4" t="s">
        <v>223</v>
      </c>
      <c r="J6347" s="3" t="s">
        <v>6567</v>
      </c>
      <c r="K6347" s="3" t="s">
        <v>223</v>
      </c>
    </row>
    <row r="6348" ht="15.6" spans="4:11">
      <c r="D6348" s="4">
        <v>4815</v>
      </c>
      <c r="E6348" s="4" t="s">
        <v>223</v>
      </c>
      <c r="J6348" s="3" t="s">
        <v>6568</v>
      </c>
      <c r="K6348" s="3" t="s">
        <v>223</v>
      </c>
    </row>
    <row r="6349" ht="15.6" spans="4:11">
      <c r="D6349" s="4">
        <v>4816</v>
      </c>
      <c r="E6349" s="4" t="s">
        <v>223</v>
      </c>
      <c r="J6349" s="3" t="s">
        <v>6569</v>
      </c>
      <c r="K6349" s="3" t="s">
        <v>223</v>
      </c>
    </row>
    <row r="6350" ht="15.6" spans="4:11">
      <c r="D6350" s="4">
        <v>4817</v>
      </c>
      <c r="E6350" s="4" t="s">
        <v>223</v>
      </c>
      <c r="J6350" s="3" t="s">
        <v>6570</v>
      </c>
      <c r="K6350" s="3" t="s">
        <v>223</v>
      </c>
    </row>
    <row r="6351" ht="15.6" spans="4:11">
      <c r="D6351" s="4">
        <v>4818</v>
      </c>
      <c r="E6351" s="4" t="s">
        <v>223</v>
      </c>
      <c r="J6351" s="3" t="s">
        <v>6571</v>
      </c>
      <c r="K6351" s="3" t="s">
        <v>223</v>
      </c>
    </row>
    <row r="6352" ht="15.6" spans="4:11">
      <c r="D6352" s="4">
        <v>4819</v>
      </c>
      <c r="E6352" s="4" t="s">
        <v>223</v>
      </c>
      <c r="J6352" s="3" t="s">
        <v>6572</v>
      </c>
      <c r="K6352" s="3" t="s">
        <v>223</v>
      </c>
    </row>
    <row r="6353" ht="15.6" spans="4:11">
      <c r="D6353" s="4">
        <v>4820</v>
      </c>
      <c r="E6353" s="4" t="s">
        <v>223</v>
      </c>
      <c r="J6353" s="3" t="s">
        <v>6573</v>
      </c>
      <c r="K6353" s="3" t="s">
        <v>223</v>
      </c>
    </row>
    <row r="6354" ht="15.6" spans="4:11">
      <c r="D6354" s="4">
        <v>4821</v>
      </c>
      <c r="E6354" s="4" t="s">
        <v>223</v>
      </c>
      <c r="J6354" s="3" t="s">
        <v>6574</v>
      </c>
      <c r="K6354" s="3" t="s">
        <v>223</v>
      </c>
    </row>
    <row r="6355" ht="15.6" spans="4:11">
      <c r="D6355" s="4">
        <v>4822</v>
      </c>
      <c r="E6355" s="4" t="s">
        <v>223</v>
      </c>
      <c r="J6355" s="3" t="s">
        <v>6575</v>
      </c>
      <c r="K6355" s="3" t="s">
        <v>223</v>
      </c>
    </row>
    <row r="6356" ht="15.6" spans="4:11">
      <c r="D6356" s="4">
        <v>4823</v>
      </c>
      <c r="E6356" s="4" t="s">
        <v>223</v>
      </c>
      <c r="J6356" s="3" t="s">
        <v>6576</v>
      </c>
      <c r="K6356" s="3" t="s">
        <v>223</v>
      </c>
    </row>
    <row r="6357" ht="15.6" spans="4:11">
      <c r="D6357" s="4">
        <v>4824</v>
      </c>
      <c r="E6357" s="4" t="s">
        <v>223</v>
      </c>
      <c r="J6357" s="3" t="s">
        <v>6577</v>
      </c>
      <c r="K6357" s="3" t="s">
        <v>223</v>
      </c>
    </row>
    <row r="6358" ht="15.6" spans="4:11">
      <c r="D6358" s="4">
        <v>4825</v>
      </c>
      <c r="E6358" s="4" t="s">
        <v>223</v>
      </c>
      <c r="J6358" s="3" t="s">
        <v>6578</v>
      </c>
      <c r="K6358" s="3" t="s">
        <v>223</v>
      </c>
    </row>
    <row r="6359" ht="15.6" spans="4:11">
      <c r="D6359" s="4">
        <v>4826</v>
      </c>
      <c r="E6359" s="4" t="s">
        <v>223</v>
      </c>
      <c r="J6359" s="3" t="s">
        <v>6579</v>
      </c>
      <c r="K6359" s="3" t="s">
        <v>223</v>
      </c>
    </row>
    <row r="6360" ht="15.6" spans="4:11">
      <c r="D6360" s="4">
        <v>4827</v>
      </c>
      <c r="E6360" s="4" t="s">
        <v>223</v>
      </c>
      <c r="J6360" s="3" t="s">
        <v>6580</v>
      </c>
      <c r="K6360" s="3" t="s">
        <v>223</v>
      </c>
    </row>
    <row r="6361" ht="15.6" spans="4:11">
      <c r="D6361" s="4">
        <v>4828</v>
      </c>
      <c r="E6361" s="4" t="s">
        <v>223</v>
      </c>
      <c r="J6361" s="3" t="s">
        <v>6581</v>
      </c>
      <c r="K6361" s="3" t="s">
        <v>223</v>
      </c>
    </row>
    <row r="6362" ht="15.6" spans="4:11">
      <c r="D6362" s="4">
        <v>4829</v>
      </c>
      <c r="E6362" s="4" t="s">
        <v>223</v>
      </c>
      <c r="J6362" s="3" t="s">
        <v>6582</v>
      </c>
      <c r="K6362" s="3" t="s">
        <v>223</v>
      </c>
    </row>
    <row r="6363" ht="15.6" spans="4:11">
      <c r="D6363" s="4">
        <v>4830</v>
      </c>
      <c r="E6363" s="4" t="s">
        <v>223</v>
      </c>
      <c r="J6363" s="3" t="s">
        <v>6583</v>
      </c>
      <c r="K6363" s="3" t="s">
        <v>223</v>
      </c>
    </row>
    <row r="6364" ht="15.6" spans="4:11">
      <c r="D6364" s="4">
        <v>4831</v>
      </c>
      <c r="E6364" s="4" t="s">
        <v>223</v>
      </c>
      <c r="J6364" s="3" t="s">
        <v>6584</v>
      </c>
      <c r="K6364" s="3" t="s">
        <v>223</v>
      </c>
    </row>
    <row r="6365" ht="15.6" spans="4:11">
      <c r="D6365" s="4">
        <v>4832</v>
      </c>
      <c r="E6365" s="4" t="s">
        <v>223</v>
      </c>
      <c r="J6365" s="3" t="s">
        <v>6585</v>
      </c>
      <c r="K6365" s="3" t="s">
        <v>223</v>
      </c>
    </row>
    <row r="6366" ht="15.6" spans="4:11">
      <c r="D6366" s="4">
        <v>4833</v>
      </c>
      <c r="E6366" s="4" t="s">
        <v>223</v>
      </c>
      <c r="J6366" s="3" t="s">
        <v>6586</v>
      </c>
      <c r="K6366" s="3" t="s">
        <v>223</v>
      </c>
    </row>
    <row r="6367" ht="15.6" spans="4:11">
      <c r="D6367" s="4">
        <v>4834</v>
      </c>
      <c r="E6367" s="4" t="s">
        <v>223</v>
      </c>
      <c r="J6367" s="3" t="s">
        <v>6587</v>
      </c>
      <c r="K6367" s="3" t="s">
        <v>223</v>
      </c>
    </row>
    <row r="6368" ht="15.6" spans="4:11">
      <c r="D6368" s="4">
        <v>4835</v>
      </c>
      <c r="E6368" s="4" t="s">
        <v>223</v>
      </c>
      <c r="J6368" s="3" t="s">
        <v>6588</v>
      </c>
      <c r="K6368" s="3" t="s">
        <v>223</v>
      </c>
    </row>
    <row r="6369" ht="15.6" spans="4:11">
      <c r="D6369" s="4">
        <v>4836</v>
      </c>
      <c r="E6369" s="4" t="s">
        <v>223</v>
      </c>
      <c r="J6369" s="3" t="s">
        <v>6589</v>
      </c>
      <c r="K6369" s="3" t="s">
        <v>223</v>
      </c>
    </row>
    <row r="6370" ht="15.6" spans="4:11">
      <c r="D6370" s="4">
        <v>4837</v>
      </c>
      <c r="E6370" s="4" t="s">
        <v>223</v>
      </c>
      <c r="J6370" s="3" t="s">
        <v>6590</v>
      </c>
      <c r="K6370" s="3" t="s">
        <v>223</v>
      </c>
    </row>
    <row r="6371" ht="15.6" spans="4:11">
      <c r="D6371" s="4">
        <v>4838</v>
      </c>
      <c r="E6371" s="4" t="s">
        <v>223</v>
      </c>
      <c r="J6371" s="3" t="s">
        <v>6591</v>
      </c>
      <c r="K6371" s="3" t="s">
        <v>223</v>
      </c>
    </row>
    <row r="6372" ht="15.6" spans="4:11">
      <c r="D6372" s="4">
        <v>4839</v>
      </c>
      <c r="E6372" s="4" t="s">
        <v>223</v>
      </c>
      <c r="J6372" s="3" t="s">
        <v>6592</v>
      </c>
      <c r="K6372" s="3" t="s">
        <v>223</v>
      </c>
    </row>
    <row r="6373" ht="15.6" spans="4:11">
      <c r="D6373" s="4">
        <v>4840</v>
      </c>
      <c r="E6373" s="4" t="s">
        <v>223</v>
      </c>
      <c r="J6373" s="3" t="s">
        <v>6593</v>
      </c>
      <c r="K6373" s="3" t="s">
        <v>223</v>
      </c>
    </row>
    <row r="6374" ht="15.6" spans="4:11">
      <c r="D6374" s="4">
        <v>4841</v>
      </c>
      <c r="E6374" s="4" t="s">
        <v>223</v>
      </c>
      <c r="J6374" s="3" t="s">
        <v>6594</v>
      </c>
      <c r="K6374" s="3" t="s">
        <v>223</v>
      </c>
    </row>
    <row r="6375" ht="15.6" spans="4:11">
      <c r="D6375" s="4">
        <v>4842</v>
      </c>
      <c r="E6375" s="4" t="s">
        <v>223</v>
      </c>
      <c r="J6375" s="3" t="s">
        <v>6595</v>
      </c>
      <c r="K6375" s="3" t="s">
        <v>223</v>
      </c>
    </row>
    <row r="6376" ht="15.6" spans="4:11">
      <c r="D6376" s="4">
        <v>4843</v>
      </c>
      <c r="E6376" s="4" t="s">
        <v>223</v>
      </c>
      <c r="J6376" s="3" t="s">
        <v>6596</v>
      </c>
      <c r="K6376" s="3" t="s">
        <v>223</v>
      </c>
    </row>
    <row r="6377" ht="15.6" spans="4:11">
      <c r="D6377" s="4">
        <v>4844</v>
      </c>
      <c r="E6377" s="4" t="s">
        <v>223</v>
      </c>
      <c r="J6377" s="3" t="s">
        <v>6597</v>
      </c>
      <c r="K6377" s="3" t="s">
        <v>223</v>
      </c>
    </row>
    <row r="6378" ht="15.6" spans="4:11">
      <c r="D6378" s="4">
        <v>4845</v>
      </c>
      <c r="E6378" s="4" t="s">
        <v>223</v>
      </c>
      <c r="J6378" s="3" t="s">
        <v>6598</v>
      </c>
      <c r="K6378" s="3" t="s">
        <v>223</v>
      </c>
    </row>
    <row r="6379" ht="15.6" spans="4:11">
      <c r="D6379" s="4">
        <v>4846</v>
      </c>
      <c r="E6379" s="4" t="s">
        <v>223</v>
      </c>
      <c r="J6379" s="3" t="s">
        <v>6599</v>
      </c>
      <c r="K6379" s="3" t="s">
        <v>223</v>
      </c>
    </row>
    <row r="6380" ht="15.6" spans="4:11">
      <c r="D6380" s="4">
        <v>4847</v>
      </c>
      <c r="E6380" s="4" t="s">
        <v>223</v>
      </c>
      <c r="J6380" s="3" t="s">
        <v>6600</v>
      </c>
      <c r="K6380" s="3" t="s">
        <v>223</v>
      </c>
    </row>
    <row r="6381" ht="15.6" spans="4:11">
      <c r="D6381" s="4">
        <v>4848</v>
      </c>
      <c r="E6381" s="4" t="s">
        <v>223</v>
      </c>
      <c r="J6381" s="3" t="s">
        <v>6601</v>
      </c>
      <c r="K6381" s="3" t="s">
        <v>223</v>
      </c>
    </row>
    <row r="6382" ht="15.6" spans="4:11">
      <c r="D6382" s="4">
        <v>4849</v>
      </c>
      <c r="E6382" s="4" t="s">
        <v>223</v>
      </c>
      <c r="J6382" s="3" t="s">
        <v>6602</v>
      </c>
      <c r="K6382" s="3" t="s">
        <v>223</v>
      </c>
    </row>
    <row r="6383" ht="15.6" spans="4:11">
      <c r="D6383" s="4">
        <v>4850</v>
      </c>
      <c r="E6383" s="4" t="s">
        <v>223</v>
      </c>
      <c r="J6383" s="3" t="s">
        <v>6603</v>
      </c>
      <c r="K6383" s="3" t="s">
        <v>223</v>
      </c>
    </row>
    <row r="6384" ht="15.6" spans="4:11">
      <c r="D6384" s="4">
        <v>4851</v>
      </c>
      <c r="E6384" s="4" t="s">
        <v>223</v>
      </c>
      <c r="J6384" s="3" t="s">
        <v>6604</v>
      </c>
      <c r="K6384" s="3" t="s">
        <v>223</v>
      </c>
    </row>
    <row r="6385" ht="15.6" spans="4:11">
      <c r="D6385" s="4">
        <v>4852</v>
      </c>
      <c r="E6385" s="4" t="s">
        <v>223</v>
      </c>
      <c r="J6385" s="3" t="s">
        <v>6605</v>
      </c>
      <c r="K6385" s="3" t="s">
        <v>223</v>
      </c>
    </row>
    <row r="6386" ht="15.6" spans="4:11">
      <c r="D6386" s="4">
        <v>4853</v>
      </c>
      <c r="E6386" s="4" t="s">
        <v>223</v>
      </c>
      <c r="J6386" s="3" t="s">
        <v>6606</v>
      </c>
      <c r="K6386" s="3" t="s">
        <v>223</v>
      </c>
    </row>
    <row r="6387" ht="15.6" spans="4:11">
      <c r="D6387" s="4">
        <v>4854</v>
      </c>
      <c r="E6387" s="4" t="s">
        <v>223</v>
      </c>
      <c r="J6387" s="3" t="s">
        <v>6607</v>
      </c>
      <c r="K6387" s="3" t="s">
        <v>223</v>
      </c>
    </row>
    <row r="6388" ht="15.6" spans="4:11">
      <c r="D6388" s="4">
        <v>4855</v>
      </c>
      <c r="E6388" s="4" t="s">
        <v>223</v>
      </c>
      <c r="J6388" s="3" t="s">
        <v>6608</v>
      </c>
      <c r="K6388" s="3" t="s">
        <v>223</v>
      </c>
    </row>
    <row r="6389" ht="15.6" spans="4:11">
      <c r="D6389" s="4">
        <v>4856</v>
      </c>
      <c r="E6389" s="4" t="s">
        <v>223</v>
      </c>
      <c r="J6389" s="3" t="s">
        <v>6609</v>
      </c>
      <c r="K6389" s="3" t="s">
        <v>223</v>
      </c>
    </row>
    <row r="6390" ht="15.6" spans="4:11">
      <c r="D6390" s="4">
        <v>4857</v>
      </c>
      <c r="E6390" s="4" t="s">
        <v>223</v>
      </c>
      <c r="J6390" s="3" t="s">
        <v>6610</v>
      </c>
      <c r="K6390" s="3" t="s">
        <v>223</v>
      </c>
    </row>
    <row r="6391" ht="15.6" spans="4:11">
      <c r="D6391" s="4">
        <v>4858</v>
      </c>
      <c r="E6391" s="4" t="s">
        <v>223</v>
      </c>
      <c r="J6391" s="3" t="s">
        <v>6611</v>
      </c>
      <c r="K6391" s="3" t="s">
        <v>223</v>
      </c>
    </row>
    <row r="6392" ht="15.6" spans="4:11">
      <c r="D6392" s="4">
        <v>4859</v>
      </c>
      <c r="E6392" s="4" t="s">
        <v>223</v>
      </c>
      <c r="J6392" s="3" t="s">
        <v>6612</v>
      </c>
      <c r="K6392" s="3" t="s">
        <v>223</v>
      </c>
    </row>
    <row r="6393" ht="15.6" spans="4:11">
      <c r="D6393" s="4">
        <v>4860</v>
      </c>
      <c r="E6393" s="4" t="s">
        <v>223</v>
      </c>
      <c r="J6393" s="3" t="s">
        <v>6613</v>
      </c>
      <c r="K6393" s="3" t="s">
        <v>223</v>
      </c>
    </row>
    <row r="6394" ht="15.6" spans="4:11">
      <c r="D6394" s="4">
        <v>4861</v>
      </c>
      <c r="E6394" s="4" t="s">
        <v>223</v>
      </c>
      <c r="J6394" s="3" t="s">
        <v>6614</v>
      </c>
      <c r="K6394" s="3" t="s">
        <v>223</v>
      </c>
    </row>
    <row r="6395" ht="15.6" spans="4:11">
      <c r="D6395" s="4">
        <v>4862</v>
      </c>
      <c r="E6395" s="4" t="s">
        <v>223</v>
      </c>
      <c r="J6395" s="3" t="s">
        <v>6615</v>
      </c>
      <c r="K6395" s="3" t="s">
        <v>223</v>
      </c>
    </row>
    <row r="6396" ht="15.6" spans="4:11">
      <c r="D6396" s="4">
        <v>4863</v>
      </c>
      <c r="E6396" s="4" t="s">
        <v>223</v>
      </c>
      <c r="J6396" s="3" t="s">
        <v>6616</v>
      </c>
      <c r="K6396" s="3" t="s">
        <v>223</v>
      </c>
    </row>
    <row r="6397" ht="15.6" spans="4:11">
      <c r="D6397" s="4">
        <v>4864</v>
      </c>
      <c r="E6397" s="4" t="s">
        <v>223</v>
      </c>
      <c r="J6397" s="3" t="s">
        <v>6617</v>
      </c>
      <c r="K6397" s="3" t="s">
        <v>223</v>
      </c>
    </row>
    <row r="6398" ht="15.6" spans="4:11">
      <c r="D6398" s="4">
        <v>4865</v>
      </c>
      <c r="E6398" s="4" t="s">
        <v>223</v>
      </c>
      <c r="J6398" s="3" t="s">
        <v>6618</v>
      </c>
      <c r="K6398" s="3" t="s">
        <v>223</v>
      </c>
    </row>
    <row r="6399" ht="15.6" spans="4:11">
      <c r="D6399" s="4">
        <v>4866</v>
      </c>
      <c r="E6399" s="4" t="s">
        <v>223</v>
      </c>
      <c r="J6399" s="3" t="s">
        <v>6619</v>
      </c>
      <c r="K6399" s="3" t="s">
        <v>223</v>
      </c>
    </row>
    <row r="6400" ht="15.6" spans="4:11">
      <c r="D6400" s="4">
        <v>4867</v>
      </c>
      <c r="E6400" s="4" t="s">
        <v>223</v>
      </c>
      <c r="J6400" s="3" t="s">
        <v>6620</v>
      </c>
      <c r="K6400" s="3" t="s">
        <v>223</v>
      </c>
    </row>
    <row r="6401" ht="15.6" spans="4:11">
      <c r="D6401" s="4">
        <v>4868</v>
      </c>
      <c r="E6401" s="4" t="s">
        <v>223</v>
      </c>
      <c r="J6401" s="3" t="s">
        <v>6621</v>
      </c>
      <c r="K6401" s="3" t="s">
        <v>223</v>
      </c>
    </row>
    <row r="6402" ht="15.6" spans="4:11">
      <c r="D6402" s="4">
        <v>4869</v>
      </c>
      <c r="E6402" s="4" t="s">
        <v>223</v>
      </c>
      <c r="J6402" s="3" t="s">
        <v>6622</v>
      </c>
      <c r="K6402" s="3" t="s">
        <v>223</v>
      </c>
    </row>
    <row r="6403" ht="15.6" spans="4:11">
      <c r="D6403" s="4">
        <v>4870</v>
      </c>
      <c r="E6403" s="4" t="s">
        <v>223</v>
      </c>
      <c r="J6403" s="3" t="s">
        <v>6623</v>
      </c>
      <c r="K6403" s="3" t="s">
        <v>223</v>
      </c>
    </row>
    <row r="6404" ht="15.6" spans="4:11">
      <c r="D6404" s="4">
        <v>4871</v>
      </c>
      <c r="E6404" s="4" t="s">
        <v>223</v>
      </c>
      <c r="J6404" s="3" t="s">
        <v>6624</v>
      </c>
      <c r="K6404" s="3" t="s">
        <v>223</v>
      </c>
    </row>
    <row r="6405" ht="15.6" spans="4:11">
      <c r="D6405" s="4">
        <v>4872</v>
      </c>
      <c r="E6405" s="4" t="s">
        <v>223</v>
      </c>
      <c r="J6405" s="3" t="s">
        <v>6625</v>
      </c>
      <c r="K6405" s="3" t="s">
        <v>223</v>
      </c>
    </row>
    <row r="6406" ht="15.6" spans="4:11">
      <c r="D6406" s="4">
        <v>4873</v>
      </c>
      <c r="E6406" s="4" t="s">
        <v>223</v>
      </c>
      <c r="J6406" s="3" t="s">
        <v>6626</v>
      </c>
      <c r="K6406" s="3" t="s">
        <v>223</v>
      </c>
    </row>
    <row r="6407" ht="15.6" spans="4:11">
      <c r="D6407" s="4">
        <v>4874</v>
      </c>
      <c r="E6407" s="4" t="s">
        <v>223</v>
      </c>
      <c r="J6407" s="3" t="s">
        <v>6627</v>
      </c>
      <c r="K6407" s="3" t="s">
        <v>223</v>
      </c>
    </row>
    <row r="6408" ht="15.6" spans="4:11">
      <c r="D6408" s="4">
        <v>4875</v>
      </c>
      <c r="E6408" s="4" t="s">
        <v>223</v>
      </c>
      <c r="J6408" s="3" t="s">
        <v>6628</v>
      </c>
      <c r="K6408" s="3" t="s">
        <v>223</v>
      </c>
    </row>
    <row r="6409" ht="15.6" spans="4:11">
      <c r="D6409" s="4">
        <v>4876</v>
      </c>
      <c r="E6409" s="4" t="s">
        <v>223</v>
      </c>
      <c r="J6409" s="3" t="s">
        <v>6629</v>
      </c>
      <c r="K6409" s="3" t="s">
        <v>223</v>
      </c>
    </row>
    <row r="6410" ht="15.6" spans="4:11">
      <c r="D6410" s="4">
        <v>4877</v>
      </c>
      <c r="E6410" s="4" t="s">
        <v>223</v>
      </c>
      <c r="J6410" s="3" t="s">
        <v>6630</v>
      </c>
      <c r="K6410" s="3" t="s">
        <v>223</v>
      </c>
    </row>
    <row r="6411" ht="15.6" spans="4:11">
      <c r="D6411" s="4">
        <v>4878</v>
      </c>
      <c r="E6411" s="4" t="s">
        <v>223</v>
      </c>
      <c r="J6411" s="3" t="s">
        <v>6631</v>
      </c>
      <c r="K6411" s="3" t="s">
        <v>223</v>
      </c>
    </row>
    <row r="6412" ht="15.6" spans="4:11">
      <c r="D6412" s="4">
        <v>4879</v>
      </c>
      <c r="E6412" s="4" t="s">
        <v>223</v>
      </c>
      <c r="J6412" s="3" t="s">
        <v>6632</v>
      </c>
      <c r="K6412" s="3" t="s">
        <v>223</v>
      </c>
    </row>
    <row r="6413" ht="15.6" spans="4:11">
      <c r="D6413" s="4">
        <v>4880</v>
      </c>
      <c r="E6413" s="4" t="s">
        <v>223</v>
      </c>
      <c r="J6413" s="3" t="s">
        <v>6633</v>
      </c>
      <c r="K6413" s="3" t="s">
        <v>223</v>
      </c>
    </row>
    <row r="6414" ht="15.6" spans="4:11">
      <c r="D6414" s="4">
        <v>4881</v>
      </c>
      <c r="E6414" s="4" t="s">
        <v>223</v>
      </c>
      <c r="J6414" s="3" t="s">
        <v>6634</v>
      </c>
      <c r="K6414" s="3" t="s">
        <v>223</v>
      </c>
    </row>
    <row r="6415" ht="15.6" spans="4:11">
      <c r="D6415" s="4">
        <v>4882</v>
      </c>
      <c r="E6415" s="4" t="s">
        <v>223</v>
      </c>
      <c r="J6415" s="3" t="s">
        <v>6635</v>
      </c>
      <c r="K6415" s="3" t="s">
        <v>223</v>
      </c>
    </row>
    <row r="6416" ht="15.6" spans="4:11">
      <c r="D6416" s="4">
        <v>4883</v>
      </c>
      <c r="E6416" s="4" t="s">
        <v>223</v>
      </c>
      <c r="J6416" s="3" t="s">
        <v>6636</v>
      </c>
      <c r="K6416" s="3" t="s">
        <v>223</v>
      </c>
    </row>
    <row r="6417" ht="15.6" spans="4:11">
      <c r="D6417" s="4">
        <v>4884</v>
      </c>
      <c r="E6417" s="4" t="s">
        <v>223</v>
      </c>
      <c r="J6417" s="3" t="s">
        <v>6637</v>
      </c>
      <c r="K6417" s="3" t="s">
        <v>223</v>
      </c>
    </row>
    <row r="6418" ht="15.6" spans="4:11">
      <c r="D6418" s="4">
        <v>4885</v>
      </c>
      <c r="E6418" s="4" t="s">
        <v>223</v>
      </c>
      <c r="J6418" s="3" t="s">
        <v>6638</v>
      </c>
      <c r="K6418" s="3" t="s">
        <v>223</v>
      </c>
    </row>
    <row r="6419" ht="15.6" spans="4:11">
      <c r="D6419" s="4">
        <v>4886</v>
      </c>
      <c r="E6419" s="4" t="s">
        <v>223</v>
      </c>
      <c r="J6419" s="3" t="s">
        <v>6639</v>
      </c>
      <c r="K6419" s="3" t="s">
        <v>223</v>
      </c>
    </row>
    <row r="6420" ht="15.6" spans="4:11">
      <c r="D6420" s="4">
        <v>4887</v>
      </c>
      <c r="E6420" s="4" t="s">
        <v>223</v>
      </c>
      <c r="J6420" s="3" t="s">
        <v>6640</v>
      </c>
      <c r="K6420" s="3" t="s">
        <v>223</v>
      </c>
    </row>
    <row r="6421" ht="15.6" spans="4:11">
      <c r="D6421" s="4">
        <v>4888</v>
      </c>
      <c r="E6421" s="4" t="s">
        <v>223</v>
      </c>
      <c r="J6421" s="3" t="s">
        <v>6641</v>
      </c>
      <c r="K6421" s="3" t="s">
        <v>223</v>
      </c>
    </row>
    <row r="6422" ht="15.6" spans="4:11">
      <c r="D6422" s="4">
        <v>4889</v>
      </c>
      <c r="E6422" s="4" t="s">
        <v>223</v>
      </c>
      <c r="J6422" s="3" t="s">
        <v>6642</v>
      </c>
      <c r="K6422" s="3" t="s">
        <v>223</v>
      </c>
    </row>
    <row r="6423" ht="15.6" spans="4:11">
      <c r="D6423" s="4">
        <v>4890</v>
      </c>
      <c r="E6423" s="4" t="s">
        <v>223</v>
      </c>
      <c r="J6423" s="3" t="s">
        <v>6643</v>
      </c>
      <c r="K6423" s="3" t="s">
        <v>223</v>
      </c>
    </row>
    <row r="6424" ht="15.6" spans="4:11">
      <c r="D6424" s="4">
        <v>4891</v>
      </c>
      <c r="E6424" s="4" t="s">
        <v>223</v>
      </c>
      <c r="J6424" s="3" t="s">
        <v>6644</v>
      </c>
      <c r="K6424" s="3" t="s">
        <v>223</v>
      </c>
    </row>
    <row r="6425" ht="15.6" spans="4:11">
      <c r="D6425" s="4">
        <v>4892</v>
      </c>
      <c r="E6425" s="4" t="s">
        <v>223</v>
      </c>
      <c r="J6425" s="3" t="s">
        <v>6645</v>
      </c>
      <c r="K6425" s="3" t="s">
        <v>223</v>
      </c>
    </row>
    <row r="6426" ht="15.6" spans="4:11">
      <c r="D6426" s="4">
        <v>4893</v>
      </c>
      <c r="E6426" s="4" t="s">
        <v>223</v>
      </c>
      <c r="J6426" s="3" t="s">
        <v>6646</v>
      </c>
      <c r="K6426" s="3" t="s">
        <v>223</v>
      </c>
    </row>
    <row r="6427" ht="15.6" spans="4:11">
      <c r="D6427" s="4">
        <v>4894</v>
      </c>
      <c r="E6427" s="4" t="s">
        <v>223</v>
      </c>
      <c r="J6427" s="3" t="s">
        <v>6647</v>
      </c>
      <c r="K6427" s="3" t="s">
        <v>223</v>
      </c>
    </row>
    <row r="6428" ht="15.6" spans="4:11">
      <c r="D6428" s="4">
        <v>4895</v>
      </c>
      <c r="E6428" s="4" t="s">
        <v>223</v>
      </c>
      <c r="J6428" s="3" t="s">
        <v>6648</v>
      </c>
      <c r="K6428" s="3" t="s">
        <v>223</v>
      </c>
    </row>
    <row r="6429" ht="15.6" spans="4:11">
      <c r="D6429" s="4">
        <v>4896</v>
      </c>
      <c r="E6429" s="4" t="s">
        <v>223</v>
      </c>
      <c r="J6429" s="3" t="s">
        <v>6649</v>
      </c>
      <c r="K6429" s="3" t="s">
        <v>223</v>
      </c>
    </row>
    <row r="6430" ht="15.6" spans="4:11">
      <c r="D6430" s="4">
        <v>4897</v>
      </c>
      <c r="E6430" s="4" t="s">
        <v>223</v>
      </c>
      <c r="J6430" s="3" t="s">
        <v>6650</v>
      </c>
      <c r="K6430" s="3" t="s">
        <v>223</v>
      </c>
    </row>
    <row r="6431" ht="15.6" spans="4:11">
      <c r="D6431" s="4">
        <v>4898</v>
      </c>
      <c r="E6431" s="4" t="s">
        <v>223</v>
      </c>
      <c r="J6431" s="3" t="s">
        <v>6651</v>
      </c>
      <c r="K6431" s="3" t="s">
        <v>223</v>
      </c>
    </row>
    <row r="6432" ht="15.6" spans="4:11">
      <c r="D6432" s="4">
        <v>4899</v>
      </c>
      <c r="E6432" s="4" t="s">
        <v>223</v>
      </c>
      <c r="J6432" s="3" t="s">
        <v>6652</v>
      </c>
      <c r="K6432" s="3" t="s">
        <v>223</v>
      </c>
    </row>
    <row r="6433" ht="15.6" spans="4:11">
      <c r="D6433" s="4">
        <v>4900</v>
      </c>
      <c r="E6433" s="4" t="s">
        <v>223</v>
      </c>
      <c r="J6433" s="3" t="s">
        <v>6653</v>
      </c>
      <c r="K6433" s="3" t="s">
        <v>223</v>
      </c>
    </row>
    <row r="6434" ht="15.6" spans="4:11">
      <c r="D6434" s="4">
        <v>4901</v>
      </c>
      <c r="E6434" s="4" t="s">
        <v>223</v>
      </c>
      <c r="J6434" s="3" t="s">
        <v>6654</v>
      </c>
      <c r="K6434" s="3" t="s">
        <v>223</v>
      </c>
    </row>
    <row r="6435" ht="15.6" spans="4:11">
      <c r="D6435" s="4">
        <v>4902</v>
      </c>
      <c r="E6435" s="4" t="s">
        <v>223</v>
      </c>
      <c r="J6435" s="3" t="s">
        <v>6655</v>
      </c>
      <c r="K6435" s="3" t="s">
        <v>223</v>
      </c>
    </row>
    <row r="6436" ht="15.6" spans="4:11">
      <c r="D6436" s="4">
        <v>4903</v>
      </c>
      <c r="E6436" s="4" t="s">
        <v>223</v>
      </c>
      <c r="J6436" s="3" t="s">
        <v>6656</v>
      </c>
      <c r="K6436" s="3" t="s">
        <v>223</v>
      </c>
    </row>
    <row r="6437" ht="15.6" spans="4:11">
      <c r="D6437" s="4">
        <v>4904</v>
      </c>
      <c r="E6437" s="4" t="s">
        <v>223</v>
      </c>
      <c r="J6437" s="3" t="s">
        <v>6657</v>
      </c>
      <c r="K6437" s="3" t="s">
        <v>223</v>
      </c>
    </row>
    <row r="6438" ht="15.6" spans="4:11">
      <c r="D6438" s="4">
        <v>4905</v>
      </c>
      <c r="E6438" s="4" t="s">
        <v>223</v>
      </c>
      <c r="J6438" s="3" t="s">
        <v>6658</v>
      </c>
      <c r="K6438" s="3" t="s">
        <v>223</v>
      </c>
    </row>
    <row r="6439" ht="15.6" spans="4:11">
      <c r="D6439" s="4">
        <v>4906</v>
      </c>
      <c r="E6439" s="4" t="s">
        <v>223</v>
      </c>
      <c r="J6439" s="3" t="s">
        <v>6659</v>
      </c>
      <c r="K6439" s="3" t="s">
        <v>223</v>
      </c>
    </row>
    <row r="6440" ht="15.6" spans="4:11">
      <c r="D6440" s="4">
        <v>4907</v>
      </c>
      <c r="E6440" s="4" t="s">
        <v>223</v>
      </c>
      <c r="J6440" s="3" t="s">
        <v>6660</v>
      </c>
      <c r="K6440" s="3" t="s">
        <v>223</v>
      </c>
    </row>
    <row r="6441" ht="15.6" spans="4:11">
      <c r="D6441" s="4">
        <v>4908</v>
      </c>
      <c r="E6441" s="4" t="s">
        <v>223</v>
      </c>
      <c r="J6441" s="3" t="s">
        <v>6661</v>
      </c>
      <c r="K6441" s="3" t="s">
        <v>223</v>
      </c>
    </row>
    <row r="6442" ht="15.6" spans="4:11">
      <c r="D6442" s="4">
        <v>4909</v>
      </c>
      <c r="E6442" s="4" t="s">
        <v>223</v>
      </c>
      <c r="J6442" s="3" t="s">
        <v>6662</v>
      </c>
      <c r="K6442" s="3" t="s">
        <v>223</v>
      </c>
    </row>
    <row r="6443" ht="15.6" spans="4:11">
      <c r="D6443" s="4">
        <v>4910</v>
      </c>
      <c r="E6443" s="4" t="s">
        <v>223</v>
      </c>
      <c r="J6443" s="3" t="s">
        <v>6663</v>
      </c>
      <c r="K6443" s="3" t="s">
        <v>223</v>
      </c>
    </row>
    <row r="6444" ht="15.6" spans="4:11">
      <c r="D6444" s="4">
        <v>4911</v>
      </c>
      <c r="E6444" s="4" t="s">
        <v>223</v>
      </c>
      <c r="J6444" s="3" t="s">
        <v>6664</v>
      </c>
      <c r="K6444" s="3" t="s">
        <v>223</v>
      </c>
    </row>
    <row r="6445" ht="15.6" spans="4:11">
      <c r="D6445" s="4">
        <v>4912</v>
      </c>
      <c r="E6445" s="4" t="s">
        <v>223</v>
      </c>
      <c r="J6445" s="3" t="s">
        <v>6665</v>
      </c>
      <c r="K6445" s="3" t="s">
        <v>223</v>
      </c>
    </row>
    <row r="6446" ht="15.6" spans="4:11">
      <c r="D6446" s="4">
        <v>4913</v>
      </c>
      <c r="E6446" s="4" t="s">
        <v>223</v>
      </c>
      <c r="J6446" s="3" t="s">
        <v>6666</v>
      </c>
      <c r="K6446" s="3" t="s">
        <v>223</v>
      </c>
    </row>
    <row r="6447" ht="15.6" spans="4:11">
      <c r="D6447" s="4">
        <v>4914</v>
      </c>
      <c r="E6447" s="4" t="s">
        <v>223</v>
      </c>
      <c r="J6447" s="3" t="s">
        <v>6667</v>
      </c>
      <c r="K6447" s="3" t="s">
        <v>223</v>
      </c>
    </row>
    <row r="6448" ht="15.6" spans="4:11">
      <c r="D6448" s="4">
        <v>4915</v>
      </c>
      <c r="E6448" s="4" t="s">
        <v>223</v>
      </c>
      <c r="J6448" s="3" t="s">
        <v>6668</v>
      </c>
      <c r="K6448" s="3" t="s">
        <v>223</v>
      </c>
    </row>
    <row r="6449" ht="15.6" spans="4:11">
      <c r="D6449" s="4">
        <v>4916</v>
      </c>
      <c r="E6449" s="4" t="s">
        <v>223</v>
      </c>
      <c r="J6449" s="3" t="s">
        <v>6669</v>
      </c>
      <c r="K6449" s="3" t="s">
        <v>223</v>
      </c>
    </row>
    <row r="6450" ht="15.6" spans="4:11">
      <c r="D6450" s="4">
        <v>4917</v>
      </c>
      <c r="E6450" s="4" t="s">
        <v>223</v>
      </c>
      <c r="J6450" s="3" t="s">
        <v>6670</v>
      </c>
      <c r="K6450" s="3" t="s">
        <v>223</v>
      </c>
    </row>
    <row r="6451" ht="15.6" spans="4:11">
      <c r="D6451" s="4">
        <v>4918</v>
      </c>
      <c r="E6451" s="4" t="s">
        <v>223</v>
      </c>
      <c r="J6451" s="3" t="s">
        <v>6671</v>
      </c>
      <c r="K6451" s="3" t="s">
        <v>223</v>
      </c>
    </row>
    <row r="6452" ht="15.6" spans="4:11">
      <c r="D6452" s="4">
        <v>4919</v>
      </c>
      <c r="E6452" s="4" t="s">
        <v>223</v>
      </c>
      <c r="J6452" s="3" t="s">
        <v>6672</v>
      </c>
      <c r="K6452" s="3" t="s">
        <v>223</v>
      </c>
    </row>
    <row r="6453" ht="15.6" spans="4:11">
      <c r="D6453" s="4">
        <v>4920</v>
      </c>
      <c r="E6453" s="4" t="s">
        <v>223</v>
      </c>
      <c r="J6453" s="3" t="s">
        <v>6673</v>
      </c>
      <c r="K6453" s="3" t="s">
        <v>223</v>
      </c>
    </row>
    <row r="6454" ht="15.6" spans="4:11">
      <c r="D6454" s="4">
        <v>4921</v>
      </c>
      <c r="E6454" s="4" t="s">
        <v>223</v>
      </c>
      <c r="J6454" s="3" t="s">
        <v>6674</v>
      </c>
      <c r="K6454" s="3" t="s">
        <v>223</v>
      </c>
    </row>
    <row r="6455" ht="15.6" spans="4:11">
      <c r="D6455" s="4">
        <v>4922</v>
      </c>
      <c r="E6455" s="4" t="s">
        <v>223</v>
      </c>
      <c r="J6455" s="3" t="s">
        <v>6675</v>
      </c>
      <c r="K6455" s="3" t="s">
        <v>223</v>
      </c>
    </row>
    <row r="6456" ht="15.6" spans="4:11">
      <c r="D6456" s="4">
        <v>4923</v>
      </c>
      <c r="E6456" s="4" t="s">
        <v>223</v>
      </c>
      <c r="J6456" s="3" t="s">
        <v>6676</v>
      </c>
      <c r="K6456" s="3" t="s">
        <v>223</v>
      </c>
    </row>
    <row r="6457" ht="15.6" spans="4:11">
      <c r="D6457" s="4">
        <v>4924</v>
      </c>
      <c r="E6457" s="4" t="s">
        <v>223</v>
      </c>
      <c r="J6457" s="3" t="s">
        <v>6677</v>
      </c>
      <c r="K6457" s="3" t="s">
        <v>223</v>
      </c>
    </row>
    <row r="6458" ht="15.6" spans="4:11">
      <c r="D6458" s="4">
        <v>4925</v>
      </c>
      <c r="E6458" s="4" t="s">
        <v>223</v>
      </c>
      <c r="J6458" s="3" t="s">
        <v>6678</v>
      </c>
      <c r="K6458" s="3" t="s">
        <v>223</v>
      </c>
    </row>
    <row r="6459" ht="15.6" spans="4:11">
      <c r="D6459" s="4">
        <v>4926</v>
      </c>
      <c r="E6459" s="4" t="s">
        <v>223</v>
      </c>
      <c r="J6459" s="3" t="s">
        <v>6679</v>
      </c>
      <c r="K6459" s="3" t="s">
        <v>223</v>
      </c>
    </row>
    <row r="6460" ht="15.6" spans="4:11">
      <c r="D6460" s="4">
        <v>4927</v>
      </c>
      <c r="E6460" s="4" t="s">
        <v>223</v>
      </c>
      <c r="J6460" s="3" t="s">
        <v>6680</v>
      </c>
      <c r="K6460" s="3" t="s">
        <v>223</v>
      </c>
    </row>
    <row r="6461" ht="15.6" spans="4:11">
      <c r="D6461" s="4">
        <v>4928</v>
      </c>
      <c r="E6461" s="4" t="s">
        <v>223</v>
      </c>
      <c r="J6461" s="3" t="s">
        <v>6681</v>
      </c>
      <c r="K6461" s="3" t="s">
        <v>223</v>
      </c>
    </row>
    <row r="6462" ht="15.6" spans="4:11">
      <c r="D6462" s="4">
        <v>4929</v>
      </c>
      <c r="E6462" s="4" t="s">
        <v>223</v>
      </c>
      <c r="J6462" s="3" t="s">
        <v>6682</v>
      </c>
      <c r="K6462" s="3" t="s">
        <v>223</v>
      </c>
    </row>
    <row r="6463" ht="15.6" spans="4:11">
      <c r="D6463" s="4">
        <v>4930</v>
      </c>
      <c r="E6463" s="4" t="s">
        <v>223</v>
      </c>
      <c r="J6463" s="3" t="s">
        <v>6683</v>
      </c>
      <c r="K6463" s="3" t="s">
        <v>223</v>
      </c>
    </row>
    <row r="6464" ht="15.6" spans="4:11">
      <c r="D6464" s="4">
        <v>4931</v>
      </c>
      <c r="E6464" s="4" t="s">
        <v>223</v>
      </c>
      <c r="J6464" s="3" t="s">
        <v>6684</v>
      </c>
      <c r="K6464" s="3" t="s">
        <v>223</v>
      </c>
    </row>
    <row r="6465" ht="15.6" spans="4:11">
      <c r="D6465" s="4">
        <v>4932</v>
      </c>
      <c r="E6465" s="4" t="s">
        <v>223</v>
      </c>
      <c r="J6465" s="3" t="s">
        <v>6685</v>
      </c>
      <c r="K6465" s="3" t="s">
        <v>223</v>
      </c>
    </row>
    <row r="6466" ht="15.6" spans="4:11">
      <c r="D6466" s="4">
        <v>4933</v>
      </c>
      <c r="E6466" s="4" t="s">
        <v>223</v>
      </c>
      <c r="J6466" s="3" t="s">
        <v>6686</v>
      </c>
      <c r="K6466" s="3" t="s">
        <v>223</v>
      </c>
    </row>
    <row r="6467" ht="15.6" spans="4:11">
      <c r="D6467" s="4">
        <v>4934</v>
      </c>
      <c r="E6467" s="4" t="s">
        <v>223</v>
      </c>
      <c r="J6467" s="3" t="s">
        <v>6687</v>
      </c>
      <c r="K6467" s="3" t="s">
        <v>223</v>
      </c>
    </row>
    <row r="6468" ht="15.6" spans="4:11">
      <c r="D6468" s="4">
        <v>4935</v>
      </c>
      <c r="E6468" s="4" t="s">
        <v>223</v>
      </c>
      <c r="J6468" s="3" t="s">
        <v>6688</v>
      </c>
      <c r="K6468" s="3" t="s">
        <v>223</v>
      </c>
    </row>
    <row r="6469" ht="15.6" spans="4:11">
      <c r="D6469" s="4">
        <v>4936</v>
      </c>
      <c r="E6469" s="4" t="s">
        <v>223</v>
      </c>
      <c r="J6469" s="3" t="s">
        <v>6689</v>
      </c>
      <c r="K6469" s="3" t="s">
        <v>223</v>
      </c>
    </row>
    <row r="6470" ht="15.6" spans="4:11">
      <c r="D6470" s="4">
        <v>4937</v>
      </c>
      <c r="E6470" s="4" t="s">
        <v>223</v>
      </c>
      <c r="J6470" s="3" t="s">
        <v>6690</v>
      </c>
      <c r="K6470" s="3" t="s">
        <v>223</v>
      </c>
    </row>
    <row r="6471" ht="15.6" spans="4:11">
      <c r="D6471" s="4">
        <v>4938</v>
      </c>
      <c r="E6471" s="4" t="s">
        <v>223</v>
      </c>
      <c r="J6471" s="3" t="s">
        <v>6691</v>
      </c>
      <c r="K6471" s="3" t="s">
        <v>223</v>
      </c>
    </row>
    <row r="6472" ht="15.6" spans="4:11">
      <c r="D6472" s="4">
        <v>4939</v>
      </c>
      <c r="E6472" s="4" t="s">
        <v>223</v>
      </c>
      <c r="J6472" s="3" t="s">
        <v>6692</v>
      </c>
      <c r="K6472" s="3" t="s">
        <v>223</v>
      </c>
    </row>
    <row r="6473" ht="15.6" spans="4:11">
      <c r="D6473" s="4">
        <v>4940</v>
      </c>
      <c r="E6473" s="4" t="s">
        <v>223</v>
      </c>
      <c r="J6473" s="3" t="s">
        <v>6693</v>
      </c>
      <c r="K6473" s="3" t="s">
        <v>223</v>
      </c>
    </row>
    <row r="6474" ht="15.6" spans="4:11">
      <c r="D6474" s="4">
        <v>4941</v>
      </c>
      <c r="E6474" s="4" t="s">
        <v>223</v>
      </c>
      <c r="J6474" s="3" t="s">
        <v>6694</v>
      </c>
      <c r="K6474" s="3" t="s">
        <v>223</v>
      </c>
    </row>
    <row r="6475" ht="15.6" spans="4:11">
      <c r="D6475" s="4">
        <v>4942</v>
      </c>
      <c r="E6475" s="4" t="s">
        <v>223</v>
      </c>
      <c r="J6475" s="3" t="s">
        <v>6695</v>
      </c>
      <c r="K6475" s="3" t="s">
        <v>223</v>
      </c>
    </row>
    <row r="6476" ht="15.6" spans="4:11">
      <c r="D6476" s="4">
        <v>4943</v>
      </c>
      <c r="E6476" s="4" t="s">
        <v>223</v>
      </c>
      <c r="J6476" s="3" t="s">
        <v>6696</v>
      </c>
      <c r="K6476" s="3" t="s">
        <v>223</v>
      </c>
    </row>
    <row r="6477" ht="15.6" spans="4:11">
      <c r="D6477" s="4">
        <v>4944</v>
      </c>
      <c r="E6477" s="4" t="s">
        <v>223</v>
      </c>
      <c r="J6477" s="3" t="s">
        <v>6697</v>
      </c>
      <c r="K6477" s="3" t="s">
        <v>223</v>
      </c>
    </row>
    <row r="6478" ht="15.6" spans="4:11">
      <c r="D6478" s="4">
        <v>4945</v>
      </c>
      <c r="E6478" s="4" t="s">
        <v>223</v>
      </c>
      <c r="J6478" s="3" t="s">
        <v>6698</v>
      </c>
      <c r="K6478" s="3" t="s">
        <v>223</v>
      </c>
    </row>
    <row r="6479" ht="15.6" spans="4:11">
      <c r="D6479" s="4">
        <v>4946</v>
      </c>
      <c r="E6479" s="4" t="s">
        <v>223</v>
      </c>
      <c r="J6479" s="3" t="s">
        <v>6699</v>
      </c>
      <c r="K6479" s="3" t="s">
        <v>223</v>
      </c>
    </row>
    <row r="6480" ht="15.6" spans="4:11">
      <c r="D6480" s="4">
        <v>4947</v>
      </c>
      <c r="E6480" s="4" t="s">
        <v>223</v>
      </c>
      <c r="J6480" s="3" t="s">
        <v>6700</v>
      </c>
      <c r="K6480" s="3" t="s">
        <v>223</v>
      </c>
    </row>
    <row r="6481" ht="15.6" spans="4:11">
      <c r="D6481" s="4">
        <v>4948</v>
      </c>
      <c r="E6481" s="4" t="s">
        <v>223</v>
      </c>
      <c r="J6481" s="3" t="s">
        <v>6701</v>
      </c>
      <c r="K6481" s="3" t="s">
        <v>223</v>
      </c>
    </row>
    <row r="6482" ht="15.6" spans="4:11">
      <c r="D6482" s="4">
        <v>4949</v>
      </c>
      <c r="E6482" s="4" t="s">
        <v>223</v>
      </c>
      <c r="J6482" s="3" t="s">
        <v>6702</v>
      </c>
      <c r="K6482" s="3" t="s">
        <v>223</v>
      </c>
    </row>
    <row r="6483" ht="15.6" spans="4:11">
      <c r="D6483" s="4">
        <v>4950</v>
      </c>
      <c r="E6483" s="4" t="s">
        <v>223</v>
      </c>
      <c r="J6483" s="3" t="s">
        <v>6703</v>
      </c>
      <c r="K6483" s="3" t="s">
        <v>223</v>
      </c>
    </row>
    <row r="6484" ht="15.6" spans="4:11">
      <c r="D6484" s="4">
        <v>4951</v>
      </c>
      <c r="E6484" s="4" t="s">
        <v>223</v>
      </c>
      <c r="J6484" s="3" t="s">
        <v>6704</v>
      </c>
      <c r="K6484" s="3" t="s">
        <v>223</v>
      </c>
    </row>
    <row r="6485" ht="15.6" spans="4:11">
      <c r="D6485" s="4">
        <v>4952</v>
      </c>
      <c r="E6485" s="4" t="s">
        <v>223</v>
      </c>
      <c r="J6485" s="3" t="s">
        <v>6705</v>
      </c>
      <c r="K6485" s="3" t="s">
        <v>223</v>
      </c>
    </row>
    <row r="6486" ht="15.6" spans="4:11">
      <c r="D6486" s="4">
        <v>4953</v>
      </c>
      <c r="E6486" s="4" t="s">
        <v>223</v>
      </c>
      <c r="J6486" s="3" t="s">
        <v>6706</v>
      </c>
      <c r="K6486" s="3" t="s">
        <v>223</v>
      </c>
    </row>
    <row r="6487" ht="15.6" spans="4:11">
      <c r="D6487" s="4">
        <v>4954</v>
      </c>
      <c r="E6487" s="4" t="s">
        <v>223</v>
      </c>
      <c r="J6487" s="3" t="s">
        <v>6707</v>
      </c>
      <c r="K6487" s="3" t="s">
        <v>223</v>
      </c>
    </row>
    <row r="6488" ht="15.6" spans="4:11">
      <c r="D6488" s="4">
        <v>4955</v>
      </c>
      <c r="E6488" s="4" t="s">
        <v>223</v>
      </c>
      <c r="J6488" s="3" t="s">
        <v>6708</v>
      </c>
      <c r="K6488" s="3" t="s">
        <v>223</v>
      </c>
    </row>
    <row r="6489" ht="15.6" spans="4:11">
      <c r="D6489" s="4">
        <v>4956</v>
      </c>
      <c r="E6489" s="4" t="s">
        <v>223</v>
      </c>
      <c r="J6489" s="3" t="s">
        <v>6709</v>
      </c>
      <c r="K6489" s="3" t="s">
        <v>223</v>
      </c>
    </row>
    <row r="6490" ht="15.6" spans="4:11">
      <c r="D6490" s="4">
        <v>4957</v>
      </c>
      <c r="E6490" s="4" t="s">
        <v>223</v>
      </c>
      <c r="J6490" s="3" t="s">
        <v>6710</v>
      </c>
      <c r="K6490" s="3" t="s">
        <v>223</v>
      </c>
    </row>
    <row r="6491" ht="15.6" spans="4:11">
      <c r="D6491" s="4">
        <v>4958</v>
      </c>
      <c r="E6491" s="4" t="s">
        <v>223</v>
      </c>
      <c r="J6491" s="3" t="s">
        <v>6711</v>
      </c>
      <c r="K6491" s="3" t="s">
        <v>223</v>
      </c>
    </row>
    <row r="6492" ht="15.6" spans="4:11">
      <c r="D6492" s="4">
        <v>4959</v>
      </c>
      <c r="E6492" s="4" t="s">
        <v>223</v>
      </c>
      <c r="J6492" s="3" t="s">
        <v>6712</v>
      </c>
      <c r="K6492" s="3" t="s">
        <v>223</v>
      </c>
    </row>
    <row r="6493" ht="15.6" spans="4:11">
      <c r="D6493" s="4">
        <v>4960</v>
      </c>
      <c r="E6493" s="4" t="s">
        <v>223</v>
      </c>
      <c r="J6493" s="3" t="s">
        <v>6713</v>
      </c>
      <c r="K6493" s="3" t="s">
        <v>223</v>
      </c>
    </row>
    <row r="6494" ht="15.6" spans="4:11">
      <c r="D6494" s="4">
        <v>4961</v>
      </c>
      <c r="E6494" s="4" t="s">
        <v>223</v>
      </c>
      <c r="J6494" s="3" t="s">
        <v>6714</v>
      </c>
      <c r="K6494" s="3" t="s">
        <v>223</v>
      </c>
    </row>
    <row r="6495" ht="15.6" spans="4:11">
      <c r="D6495" s="4">
        <v>4962</v>
      </c>
      <c r="E6495" s="4" t="s">
        <v>223</v>
      </c>
      <c r="J6495" s="3" t="s">
        <v>6715</v>
      </c>
      <c r="K6495" s="3" t="s">
        <v>223</v>
      </c>
    </row>
    <row r="6496" ht="15.6" spans="4:11">
      <c r="D6496" s="4">
        <v>4963</v>
      </c>
      <c r="E6496" s="4" t="s">
        <v>223</v>
      </c>
      <c r="J6496" s="3" t="s">
        <v>6716</v>
      </c>
      <c r="K6496" s="3" t="s">
        <v>223</v>
      </c>
    </row>
    <row r="6497" ht="15.6" spans="4:11">
      <c r="D6497" s="4">
        <v>4964</v>
      </c>
      <c r="E6497" s="4" t="s">
        <v>223</v>
      </c>
      <c r="J6497" s="3" t="s">
        <v>6717</v>
      </c>
      <c r="K6497" s="3" t="s">
        <v>223</v>
      </c>
    </row>
    <row r="6498" ht="15.6" spans="4:11">
      <c r="D6498" s="4">
        <v>4965</v>
      </c>
      <c r="E6498" s="4" t="s">
        <v>223</v>
      </c>
      <c r="J6498" s="3" t="s">
        <v>6718</v>
      </c>
      <c r="K6498" s="3" t="s">
        <v>223</v>
      </c>
    </row>
    <row r="6499" ht="15.6" spans="4:11">
      <c r="D6499" s="4">
        <v>4966</v>
      </c>
      <c r="E6499" s="4" t="s">
        <v>223</v>
      </c>
      <c r="J6499" s="3" t="s">
        <v>6719</v>
      </c>
      <c r="K6499" s="3" t="s">
        <v>223</v>
      </c>
    </row>
    <row r="6500" ht="15.6" spans="4:11">
      <c r="D6500" s="4">
        <v>4967</v>
      </c>
      <c r="E6500" s="4" t="s">
        <v>223</v>
      </c>
      <c r="J6500" s="3" t="s">
        <v>6720</v>
      </c>
      <c r="K6500" s="3" t="s">
        <v>223</v>
      </c>
    </row>
    <row r="6501" ht="15.6" spans="4:11">
      <c r="D6501" s="4">
        <v>4968</v>
      </c>
      <c r="E6501" s="4" t="s">
        <v>223</v>
      </c>
      <c r="J6501" s="3" t="s">
        <v>6721</v>
      </c>
      <c r="K6501" s="3" t="s">
        <v>223</v>
      </c>
    </row>
    <row r="6502" ht="15.6" spans="4:11">
      <c r="D6502" s="4">
        <v>4969</v>
      </c>
      <c r="E6502" s="4" t="s">
        <v>223</v>
      </c>
      <c r="J6502" s="3" t="s">
        <v>6722</v>
      </c>
      <c r="K6502" s="3" t="s">
        <v>223</v>
      </c>
    </row>
    <row r="6503" ht="15.6" spans="4:11">
      <c r="D6503" s="4">
        <v>4970</v>
      </c>
      <c r="E6503" s="4" t="s">
        <v>223</v>
      </c>
      <c r="J6503" s="3" t="s">
        <v>6723</v>
      </c>
      <c r="K6503" s="3" t="s">
        <v>223</v>
      </c>
    </row>
    <row r="6504" ht="15.6" spans="4:11">
      <c r="D6504" s="4">
        <v>4971</v>
      </c>
      <c r="E6504" s="4" t="s">
        <v>223</v>
      </c>
      <c r="J6504" s="3" t="s">
        <v>6724</v>
      </c>
      <c r="K6504" s="3" t="s">
        <v>223</v>
      </c>
    </row>
    <row r="6505" ht="15.6" spans="4:11">
      <c r="D6505" s="4">
        <v>4972</v>
      </c>
      <c r="E6505" s="4" t="s">
        <v>223</v>
      </c>
      <c r="J6505" s="3" t="s">
        <v>6725</v>
      </c>
      <c r="K6505" s="3" t="s">
        <v>223</v>
      </c>
    </row>
    <row r="6506" ht="15.6" spans="4:11">
      <c r="D6506" s="4">
        <v>4973</v>
      </c>
      <c r="E6506" s="4" t="s">
        <v>223</v>
      </c>
      <c r="J6506" s="3" t="s">
        <v>6726</v>
      </c>
      <c r="K6506" s="3" t="s">
        <v>223</v>
      </c>
    </row>
    <row r="6507" ht="15.6" spans="4:11">
      <c r="D6507" s="4">
        <v>4974</v>
      </c>
      <c r="E6507" s="4" t="s">
        <v>223</v>
      </c>
      <c r="J6507" s="3" t="s">
        <v>6727</v>
      </c>
      <c r="K6507" s="3" t="s">
        <v>223</v>
      </c>
    </row>
    <row r="6508" ht="15.6" spans="4:11">
      <c r="D6508" s="4">
        <v>4975</v>
      </c>
      <c r="E6508" s="4" t="s">
        <v>223</v>
      </c>
      <c r="J6508" s="3" t="s">
        <v>6728</v>
      </c>
      <c r="K6508" s="3" t="s">
        <v>223</v>
      </c>
    </row>
    <row r="6509" ht="15.6" spans="4:11">
      <c r="D6509" s="4">
        <v>4976</v>
      </c>
      <c r="E6509" s="4" t="s">
        <v>223</v>
      </c>
      <c r="J6509" s="3" t="s">
        <v>6729</v>
      </c>
      <c r="K6509" s="3" t="s">
        <v>223</v>
      </c>
    </row>
    <row r="6510" ht="15.6" spans="4:11">
      <c r="D6510" s="4">
        <v>4977</v>
      </c>
      <c r="E6510" s="4" t="s">
        <v>223</v>
      </c>
      <c r="J6510" s="3" t="s">
        <v>6730</v>
      </c>
      <c r="K6510" s="3" t="s">
        <v>223</v>
      </c>
    </row>
    <row r="6511" ht="15.6" spans="4:11">
      <c r="D6511" s="4">
        <v>4978</v>
      </c>
      <c r="E6511" s="4" t="s">
        <v>223</v>
      </c>
      <c r="J6511" s="3" t="s">
        <v>6731</v>
      </c>
      <c r="K6511" s="3" t="s">
        <v>223</v>
      </c>
    </row>
    <row r="6512" ht="15.6" spans="4:11">
      <c r="D6512" s="4">
        <v>4979</v>
      </c>
      <c r="E6512" s="4" t="s">
        <v>223</v>
      </c>
      <c r="J6512" s="3" t="s">
        <v>6732</v>
      </c>
      <c r="K6512" s="3" t="s">
        <v>223</v>
      </c>
    </row>
    <row r="6513" ht="15.6" spans="4:11">
      <c r="D6513" s="4">
        <v>4980</v>
      </c>
      <c r="E6513" s="4" t="s">
        <v>223</v>
      </c>
      <c r="J6513" s="3" t="s">
        <v>6733</v>
      </c>
      <c r="K6513" s="3" t="s">
        <v>223</v>
      </c>
    </row>
    <row r="6514" ht="15.6" spans="4:11">
      <c r="D6514" s="4">
        <v>4981</v>
      </c>
      <c r="E6514" s="4" t="s">
        <v>223</v>
      </c>
      <c r="J6514" s="3" t="s">
        <v>6734</v>
      </c>
      <c r="K6514" s="3" t="s">
        <v>223</v>
      </c>
    </row>
    <row r="6515" ht="15.6" spans="4:11">
      <c r="D6515" s="4">
        <v>4982</v>
      </c>
      <c r="E6515" s="4" t="s">
        <v>223</v>
      </c>
      <c r="J6515" s="3" t="s">
        <v>6735</v>
      </c>
      <c r="K6515" s="3" t="s">
        <v>223</v>
      </c>
    </row>
    <row r="6516" ht="15.6" spans="4:11">
      <c r="D6516" s="4">
        <v>4983</v>
      </c>
      <c r="E6516" s="4" t="s">
        <v>223</v>
      </c>
      <c r="J6516" s="3" t="s">
        <v>6736</v>
      </c>
      <c r="K6516" s="3" t="s">
        <v>223</v>
      </c>
    </row>
    <row r="6517" ht="15.6" spans="4:11">
      <c r="D6517" s="4">
        <v>4984</v>
      </c>
      <c r="E6517" s="4" t="s">
        <v>223</v>
      </c>
      <c r="J6517" s="3" t="s">
        <v>6737</v>
      </c>
      <c r="K6517" s="3" t="s">
        <v>223</v>
      </c>
    </row>
    <row r="6518" ht="15.6" spans="4:11">
      <c r="D6518" s="4">
        <v>4985</v>
      </c>
      <c r="E6518" s="4" t="s">
        <v>223</v>
      </c>
      <c r="J6518" s="3" t="s">
        <v>6738</v>
      </c>
      <c r="K6518" s="3" t="s">
        <v>223</v>
      </c>
    </row>
    <row r="6519" ht="15.6" spans="4:11">
      <c r="D6519" s="4">
        <v>4986</v>
      </c>
      <c r="E6519" s="4" t="s">
        <v>223</v>
      </c>
      <c r="J6519" s="3" t="s">
        <v>6739</v>
      </c>
      <c r="K6519" s="3" t="s">
        <v>223</v>
      </c>
    </row>
    <row r="6520" ht="15.6" spans="4:11">
      <c r="D6520" s="4">
        <v>4987</v>
      </c>
      <c r="E6520" s="4" t="s">
        <v>223</v>
      </c>
      <c r="J6520" s="3" t="s">
        <v>6740</v>
      </c>
      <c r="K6520" s="3" t="s">
        <v>223</v>
      </c>
    </row>
    <row r="6521" ht="15.6" spans="4:11">
      <c r="D6521" s="4">
        <v>4988</v>
      </c>
      <c r="E6521" s="4" t="s">
        <v>223</v>
      </c>
      <c r="J6521" s="3" t="s">
        <v>6741</v>
      </c>
      <c r="K6521" s="3" t="s">
        <v>223</v>
      </c>
    </row>
    <row r="6522" ht="15.6" spans="4:11">
      <c r="D6522" s="4">
        <v>4989</v>
      </c>
      <c r="E6522" s="4" t="s">
        <v>223</v>
      </c>
      <c r="J6522" s="3" t="s">
        <v>6742</v>
      </c>
      <c r="K6522" s="3" t="s">
        <v>223</v>
      </c>
    </row>
    <row r="6523" ht="15.6" spans="4:11">
      <c r="D6523" s="4">
        <v>4990</v>
      </c>
      <c r="E6523" s="4" t="s">
        <v>223</v>
      </c>
      <c r="J6523" s="3" t="s">
        <v>6743</v>
      </c>
      <c r="K6523" s="3" t="s">
        <v>223</v>
      </c>
    </row>
    <row r="6524" ht="15.6" spans="4:11">
      <c r="D6524" s="4">
        <v>4991</v>
      </c>
      <c r="E6524" s="4" t="s">
        <v>223</v>
      </c>
      <c r="J6524" s="3" t="s">
        <v>6744</v>
      </c>
      <c r="K6524" s="3" t="s">
        <v>223</v>
      </c>
    </row>
    <row r="6525" ht="15.6" spans="4:11">
      <c r="D6525" s="4">
        <v>4992</v>
      </c>
      <c r="E6525" s="4" t="s">
        <v>223</v>
      </c>
      <c r="J6525" s="3" t="s">
        <v>6745</v>
      </c>
      <c r="K6525" s="3" t="s">
        <v>223</v>
      </c>
    </row>
    <row r="6526" ht="15.6" spans="4:11">
      <c r="D6526" s="4">
        <v>4993</v>
      </c>
      <c r="E6526" s="4" t="s">
        <v>223</v>
      </c>
      <c r="J6526" s="3" t="s">
        <v>6746</v>
      </c>
      <c r="K6526" s="3" t="s">
        <v>223</v>
      </c>
    </row>
    <row r="6527" ht="15.6" spans="4:11">
      <c r="D6527" s="4">
        <v>4994</v>
      </c>
      <c r="E6527" s="4" t="s">
        <v>223</v>
      </c>
      <c r="J6527" s="3" t="s">
        <v>6747</v>
      </c>
      <c r="K6527" s="3" t="s">
        <v>223</v>
      </c>
    </row>
    <row r="6528" ht="15.6" spans="4:11">
      <c r="D6528" s="4">
        <v>4995</v>
      </c>
      <c r="E6528" s="4" t="s">
        <v>223</v>
      </c>
      <c r="J6528" s="3" t="s">
        <v>6748</v>
      </c>
      <c r="K6528" s="3" t="s">
        <v>223</v>
      </c>
    </row>
    <row r="6529" ht="15.6" spans="4:11">
      <c r="D6529" s="4">
        <v>4996</v>
      </c>
      <c r="E6529" s="4" t="s">
        <v>223</v>
      </c>
      <c r="J6529" s="3" t="s">
        <v>6749</v>
      </c>
      <c r="K6529" s="3" t="s">
        <v>223</v>
      </c>
    </row>
    <row r="6530" ht="15.6" spans="4:11">
      <c r="D6530" s="4">
        <v>4997</v>
      </c>
      <c r="E6530" s="4" t="s">
        <v>223</v>
      </c>
      <c r="J6530" s="3" t="s">
        <v>6750</v>
      </c>
      <c r="K6530" s="3" t="s">
        <v>223</v>
      </c>
    </row>
    <row r="6531" ht="15.6" spans="4:11">
      <c r="D6531" s="4">
        <v>4998</v>
      </c>
      <c r="E6531" s="4" t="s">
        <v>223</v>
      </c>
      <c r="J6531" s="3" t="s">
        <v>6751</v>
      </c>
      <c r="K6531" s="3" t="s">
        <v>223</v>
      </c>
    </row>
    <row r="6532" ht="15.6" spans="4:11">
      <c r="D6532" s="4">
        <v>4999</v>
      </c>
      <c r="E6532" s="4" t="s">
        <v>223</v>
      </c>
      <c r="J6532" s="3" t="s">
        <v>6752</v>
      </c>
      <c r="K6532" s="3" t="s">
        <v>223</v>
      </c>
    </row>
    <row r="6533" ht="15.6" spans="4:11">
      <c r="D6533" s="4">
        <v>5201</v>
      </c>
      <c r="E6533" s="4" t="s">
        <v>223</v>
      </c>
      <c r="J6533" s="3" t="s">
        <v>6753</v>
      </c>
      <c r="K6533" s="3" t="s">
        <v>223</v>
      </c>
    </row>
    <row r="6534" ht="15.6" spans="4:11">
      <c r="D6534" s="4">
        <v>5202</v>
      </c>
      <c r="E6534" s="4" t="s">
        <v>223</v>
      </c>
      <c r="J6534" s="3" t="s">
        <v>6754</v>
      </c>
      <c r="K6534" s="3" t="s">
        <v>223</v>
      </c>
    </row>
    <row r="6535" ht="15.6" spans="4:11">
      <c r="D6535" s="4">
        <v>5203</v>
      </c>
      <c r="E6535" s="4" t="s">
        <v>223</v>
      </c>
      <c r="J6535" s="3" t="s">
        <v>6755</v>
      </c>
      <c r="K6535" s="3" t="s">
        <v>223</v>
      </c>
    </row>
    <row r="6536" ht="15.6" spans="4:11">
      <c r="D6536" s="4">
        <v>5204</v>
      </c>
      <c r="E6536" s="4" t="s">
        <v>223</v>
      </c>
      <c r="J6536" s="3" t="s">
        <v>6756</v>
      </c>
      <c r="K6536" s="3" t="s">
        <v>223</v>
      </c>
    </row>
    <row r="6537" ht="15.6" spans="4:11">
      <c r="D6537" s="4">
        <v>5205</v>
      </c>
      <c r="E6537" s="4" t="s">
        <v>223</v>
      </c>
      <c r="J6537" s="3" t="s">
        <v>6757</v>
      </c>
      <c r="K6537" s="3" t="s">
        <v>223</v>
      </c>
    </row>
    <row r="6538" ht="15.6" spans="4:11">
      <c r="D6538" s="4">
        <v>5206</v>
      </c>
      <c r="E6538" s="4" t="s">
        <v>223</v>
      </c>
      <c r="J6538" s="3" t="s">
        <v>6758</v>
      </c>
      <c r="K6538" s="3" t="s">
        <v>223</v>
      </c>
    </row>
    <row r="6539" ht="15.6" spans="4:11">
      <c r="D6539" s="4">
        <v>5207</v>
      </c>
      <c r="E6539" s="4" t="s">
        <v>223</v>
      </c>
      <c r="J6539" s="3" t="s">
        <v>6759</v>
      </c>
      <c r="K6539" s="3" t="s">
        <v>223</v>
      </c>
    </row>
    <row r="6540" ht="15.6" spans="4:11">
      <c r="D6540" s="4">
        <v>5208</v>
      </c>
      <c r="E6540" s="4" t="s">
        <v>223</v>
      </c>
      <c r="J6540" s="3" t="s">
        <v>6760</v>
      </c>
      <c r="K6540" s="3" t="s">
        <v>223</v>
      </c>
    </row>
    <row r="6541" ht="15.6" spans="4:11">
      <c r="D6541" s="4">
        <v>5209</v>
      </c>
      <c r="E6541" s="4" t="s">
        <v>223</v>
      </c>
      <c r="J6541" s="3" t="s">
        <v>6761</v>
      </c>
      <c r="K6541" s="3" t="s">
        <v>223</v>
      </c>
    </row>
    <row r="6542" ht="15.6" spans="4:11">
      <c r="D6542" s="4">
        <v>5210</v>
      </c>
      <c r="E6542" s="4" t="s">
        <v>223</v>
      </c>
      <c r="J6542" s="3" t="s">
        <v>6762</v>
      </c>
      <c r="K6542" s="3" t="s">
        <v>223</v>
      </c>
    </row>
    <row r="6543" ht="15.6" spans="4:11">
      <c r="D6543" s="4">
        <v>5211</v>
      </c>
      <c r="E6543" s="4" t="s">
        <v>223</v>
      </c>
      <c r="J6543" s="3" t="s">
        <v>6763</v>
      </c>
      <c r="K6543" s="3" t="s">
        <v>223</v>
      </c>
    </row>
    <row r="6544" ht="15.6" spans="4:11">
      <c r="D6544" s="4">
        <v>5212</v>
      </c>
      <c r="E6544" s="4" t="s">
        <v>223</v>
      </c>
      <c r="J6544" s="3" t="s">
        <v>6764</v>
      </c>
      <c r="K6544" s="3" t="s">
        <v>223</v>
      </c>
    </row>
    <row r="6545" ht="15.6" spans="4:11">
      <c r="D6545" s="4">
        <v>5213</v>
      </c>
      <c r="E6545" s="4" t="s">
        <v>223</v>
      </c>
      <c r="J6545" s="3" t="s">
        <v>6765</v>
      </c>
      <c r="K6545" s="3" t="s">
        <v>223</v>
      </c>
    </row>
    <row r="6546" ht="15.6" spans="4:11">
      <c r="D6546" s="4">
        <v>5214</v>
      </c>
      <c r="E6546" s="4" t="s">
        <v>223</v>
      </c>
      <c r="J6546" s="3" t="s">
        <v>6766</v>
      </c>
      <c r="K6546" s="3" t="s">
        <v>223</v>
      </c>
    </row>
    <row r="6547" ht="15.6" spans="4:11">
      <c r="D6547" s="4">
        <v>5215</v>
      </c>
      <c r="E6547" s="4" t="s">
        <v>223</v>
      </c>
      <c r="J6547" s="3" t="s">
        <v>6767</v>
      </c>
      <c r="K6547" s="3" t="s">
        <v>223</v>
      </c>
    </row>
    <row r="6548" ht="15.6" spans="4:11">
      <c r="D6548" s="4">
        <v>5216</v>
      </c>
      <c r="E6548" s="4" t="s">
        <v>223</v>
      </c>
      <c r="J6548" s="3" t="s">
        <v>6768</v>
      </c>
      <c r="K6548" s="3" t="s">
        <v>223</v>
      </c>
    </row>
    <row r="6549" ht="15.6" spans="4:11">
      <c r="D6549" s="4">
        <v>5217</v>
      </c>
      <c r="E6549" s="4" t="s">
        <v>223</v>
      </c>
      <c r="J6549" s="3" t="s">
        <v>6769</v>
      </c>
      <c r="K6549" s="3" t="s">
        <v>223</v>
      </c>
    </row>
    <row r="6550" ht="15.6" spans="4:11">
      <c r="D6550" s="4">
        <v>5218</v>
      </c>
      <c r="E6550" s="4" t="s">
        <v>223</v>
      </c>
      <c r="J6550" s="3" t="s">
        <v>6770</v>
      </c>
      <c r="K6550" s="3" t="s">
        <v>223</v>
      </c>
    </row>
    <row r="6551" ht="15.6" spans="4:11">
      <c r="D6551" s="4">
        <v>5219</v>
      </c>
      <c r="E6551" s="4" t="s">
        <v>223</v>
      </c>
      <c r="J6551" s="3" t="s">
        <v>6771</v>
      </c>
      <c r="K6551" s="3" t="s">
        <v>223</v>
      </c>
    </row>
    <row r="6552" ht="15.6" spans="4:11">
      <c r="D6552" s="4">
        <v>5220</v>
      </c>
      <c r="E6552" s="4" t="s">
        <v>223</v>
      </c>
      <c r="J6552" s="3" t="s">
        <v>6772</v>
      </c>
      <c r="K6552" s="3" t="s">
        <v>223</v>
      </c>
    </row>
    <row r="6553" ht="15.6" spans="4:11">
      <c r="D6553" s="4">
        <v>5221</v>
      </c>
      <c r="E6553" s="4" t="s">
        <v>223</v>
      </c>
      <c r="J6553" s="3" t="s">
        <v>6773</v>
      </c>
      <c r="K6553" s="3" t="s">
        <v>223</v>
      </c>
    </row>
    <row r="6554" ht="15.6" spans="4:11">
      <c r="D6554" s="4">
        <v>5222</v>
      </c>
      <c r="E6554" s="4" t="s">
        <v>223</v>
      </c>
      <c r="J6554" s="3" t="s">
        <v>6774</v>
      </c>
      <c r="K6554" s="3" t="s">
        <v>223</v>
      </c>
    </row>
    <row r="6555" ht="15.6" spans="4:11">
      <c r="D6555" s="4">
        <v>5223</v>
      </c>
      <c r="E6555" s="4" t="s">
        <v>223</v>
      </c>
      <c r="J6555" s="3" t="s">
        <v>6775</v>
      </c>
      <c r="K6555" s="3" t="s">
        <v>223</v>
      </c>
    </row>
    <row r="6556" ht="15.6" spans="4:11">
      <c r="D6556" s="4">
        <v>5224</v>
      </c>
      <c r="E6556" s="4" t="s">
        <v>223</v>
      </c>
      <c r="J6556" s="3" t="s">
        <v>6776</v>
      </c>
      <c r="K6556" s="3" t="s">
        <v>223</v>
      </c>
    </row>
    <row r="6557" ht="15.6" spans="4:11">
      <c r="D6557" s="4">
        <v>5225</v>
      </c>
      <c r="E6557" s="4" t="s">
        <v>223</v>
      </c>
      <c r="J6557" s="3" t="s">
        <v>6777</v>
      </c>
      <c r="K6557" s="3" t="s">
        <v>223</v>
      </c>
    </row>
    <row r="6558" ht="15.6" spans="4:11">
      <c r="D6558" s="4">
        <v>5226</v>
      </c>
      <c r="E6558" s="4" t="s">
        <v>223</v>
      </c>
      <c r="J6558" s="3" t="s">
        <v>6778</v>
      </c>
      <c r="K6558" s="3" t="s">
        <v>223</v>
      </c>
    </row>
    <row r="6559" ht="15.6" spans="4:11">
      <c r="D6559" s="4">
        <v>5227</v>
      </c>
      <c r="E6559" s="4" t="s">
        <v>223</v>
      </c>
      <c r="J6559" s="3" t="s">
        <v>6779</v>
      </c>
      <c r="K6559" s="3" t="s">
        <v>223</v>
      </c>
    </row>
    <row r="6560" ht="15.6" spans="4:11">
      <c r="D6560" s="4">
        <v>5228</v>
      </c>
      <c r="E6560" s="4" t="s">
        <v>223</v>
      </c>
      <c r="J6560" s="3" t="s">
        <v>6780</v>
      </c>
      <c r="K6560" s="3" t="s">
        <v>223</v>
      </c>
    </row>
    <row r="6561" ht="15.6" spans="4:11">
      <c r="D6561" s="4">
        <v>5229</v>
      </c>
      <c r="E6561" s="4" t="s">
        <v>223</v>
      </c>
      <c r="J6561" s="3" t="s">
        <v>6781</v>
      </c>
      <c r="K6561" s="3" t="s">
        <v>223</v>
      </c>
    </row>
    <row r="6562" ht="15.6" spans="4:11">
      <c r="D6562" s="4">
        <v>5230</v>
      </c>
      <c r="E6562" s="4" t="s">
        <v>223</v>
      </c>
      <c r="J6562" s="3" t="s">
        <v>6782</v>
      </c>
      <c r="K6562" s="3" t="s">
        <v>223</v>
      </c>
    </row>
    <row r="6563" ht="15.6" spans="4:11">
      <c r="D6563" s="4">
        <v>5231</v>
      </c>
      <c r="E6563" s="4" t="s">
        <v>223</v>
      </c>
      <c r="J6563" s="3" t="s">
        <v>6783</v>
      </c>
      <c r="K6563" s="3" t="s">
        <v>223</v>
      </c>
    </row>
    <row r="6564" ht="15.6" spans="4:11">
      <c r="D6564" s="4">
        <v>5232</v>
      </c>
      <c r="E6564" s="4" t="s">
        <v>223</v>
      </c>
      <c r="J6564" s="3" t="s">
        <v>6784</v>
      </c>
      <c r="K6564" s="3" t="s">
        <v>223</v>
      </c>
    </row>
    <row r="6565" ht="15.6" spans="4:11">
      <c r="D6565" s="4">
        <v>5233</v>
      </c>
      <c r="E6565" s="4" t="s">
        <v>223</v>
      </c>
      <c r="J6565" s="3" t="s">
        <v>6785</v>
      </c>
      <c r="K6565" s="3" t="s">
        <v>223</v>
      </c>
    </row>
    <row r="6566" ht="15.6" spans="4:11">
      <c r="D6566" s="4">
        <v>5234</v>
      </c>
      <c r="E6566" s="4" t="s">
        <v>223</v>
      </c>
      <c r="J6566" s="3" t="s">
        <v>6786</v>
      </c>
      <c r="K6566" s="3" t="s">
        <v>223</v>
      </c>
    </row>
    <row r="6567" ht="15.6" spans="4:11">
      <c r="D6567" s="4">
        <v>5235</v>
      </c>
      <c r="E6567" s="4" t="s">
        <v>223</v>
      </c>
      <c r="J6567" s="3" t="s">
        <v>6787</v>
      </c>
      <c r="K6567" s="3" t="s">
        <v>223</v>
      </c>
    </row>
    <row r="6568" ht="15.6" spans="4:11">
      <c r="D6568" s="4">
        <v>5236</v>
      </c>
      <c r="E6568" s="4" t="s">
        <v>223</v>
      </c>
      <c r="J6568" s="3" t="s">
        <v>6788</v>
      </c>
      <c r="K6568" s="3" t="s">
        <v>223</v>
      </c>
    </row>
    <row r="6569" ht="15.6" spans="4:11">
      <c r="D6569" s="4">
        <v>5237</v>
      </c>
      <c r="E6569" s="4" t="s">
        <v>223</v>
      </c>
      <c r="J6569" s="3" t="s">
        <v>6789</v>
      </c>
      <c r="K6569" s="3" t="s">
        <v>223</v>
      </c>
    </row>
    <row r="6570" ht="15.6" spans="4:11">
      <c r="D6570" s="4">
        <v>5238</v>
      </c>
      <c r="E6570" s="4" t="s">
        <v>223</v>
      </c>
      <c r="J6570" s="3" t="s">
        <v>6790</v>
      </c>
      <c r="K6570" s="3" t="s">
        <v>223</v>
      </c>
    </row>
    <row r="6571" ht="15.6" spans="4:11">
      <c r="D6571" s="4">
        <v>5239</v>
      </c>
      <c r="E6571" s="4" t="s">
        <v>223</v>
      </c>
      <c r="J6571" s="3" t="s">
        <v>6791</v>
      </c>
      <c r="K6571" s="3" t="s">
        <v>223</v>
      </c>
    </row>
    <row r="6572" ht="15.6" spans="4:11">
      <c r="D6572" s="4">
        <v>5240</v>
      </c>
      <c r="E6572" s="4" t="s">
        <v>223</v>
      </c>
      <c r="J6572" s="3" t="s">
        <v>6792</v>
      </c>
      <c r="K6572" s="3" t="s">
        <v>223</v>
      </c>
    </row>
    <row r="6573" ht="15.6" spans="4:11">
      <c r="D6573" s="4">
        <v>5241</v>
      </c>
      <c r="E6573" s="4" t="s">
        <v>223</v>
      </c>
      <c r="J6573" s="3" t="s">
        <v>6793</v>
      </c>
      <c r="K6573" s="3" t="s">
        <v>223</v>
      </c>
    </row>
    <row r="6574" ht="15.6" spans="4:11">
      <c r="D6574" s="4">
        <v>5242</v>
      </c>
      <c r="E6574" s="4" t="s">
        <v>223</v>
      </c>
      <c r="J6574" s="3" t="s">
        <v>6794</v>
      </c>
      <c r="K6574" s="3" t="s">
        <v>223</v>
      </c>
    </row>
    <row r="6575" ht="15.6" spans="4:11">
      <c r="D6575" s="4">
        <v>5243</v>
      </c>
      <c r="E6575" s="4" t="s">
        <v>223</v>
      </c>
      <c r="J6575" s="3" t="s">
        <v>6795</v>
      </c>
      <c r="K6575" s="3" t="s">
        <v>223</v>
      </c>
    </row>
    <row r="6576" ht="15.6" spans="4:11">
      <c r="D6576" s="4">
        <v>5244</v>
      </c>
      <c r="E6576" s="4" t="s">
        <v>223</v>
      </c>
      <c r="J6576" s="3" t="s">
        <v>6796</v>
      </c>
      <c r="K6576" s="3" t="s">
        <v>223</v>
      </c>
    </row>
    <row r="6577" ht="15.6" spans="4:11">
      <c r="D6577" s="4">
        <v>5245</v>
      </c>
      <c r="E6577" s="4" t="s">
        <v>223</v>
      </c>
      <c r="J6577" s="3" t="s">
        <v>6797</v>
      </c>
      <c r="K6577" s="3" t="s">
        <v>223</v>
      </c>
    </row>
    <row r="6578" ht="15.6" spans="4:11">
      <c r="D6578" s="4">
        <v>5246</v>
      </c>
      <c r="E6578" s="4" t="s">
        <v>223</v>
      </c>
      <c r="J6578" s="3" t="s">
        <v>6798</v>
      </c>
      <c r="K6578" s="3" t="s">
        <v>223</v>
      </c>
    </row>
    <row r="6579" ht="15.6" spans="4:11">
      <c r="D6579" s="4">
        <v>5247</v>
      </c>
      <c r="E6579" s="4" t="s">
        <v>223</v>
      </c>
      <c r="J6579" s="3" t="s">
        <v>6799</v>
      </c>
      <c r="K6579" s="3" t="s">
        <v>223</v>
      </c>
    </row>
    <row r="6580" ht="15.6" spans="4:11">
      <c r="D6580" s="4">
        <v>5248</v>
      </c>
      <c r="E6580" s="4" t="s">
        <v>223</v>
      </c>
      <c r="J6580" s="3" t="s">
        <v>6800</v>
      </c>
      <c r="K6580" s="3" t="s">
        <v>223</v>
      </c>
    </row>
    <row r="6581" ht="15.6" spans="4:11">
      <c r="D6581" s="4">
        <v>5249</v>
      </c>
      <c r="E6581" s="4" t="s">
        <v>223</v>
      </c>
      <c r="J6581" s="3" t="s">
        <v>6801</v>
      </c>
      <c r="K6581" s="3" t="s">
        <v>223</v>
      </c>
    </row>
    <row r="6582" ht="15.6" spans="4:11">
      <c r="D6582" s="4">
        <v>5250</v>
      </c>
      <c r="E6582" s="4" t="s">
        <v>223</v>
      </c>
      <c r="J6582" s="3" t="s">
        <v>6802</v>
      </c>
      <c r="K6582" s="3" t="s">
        <v>223</v>
      </c>
    </row>
    <row r="6583" ht="15.6" spans="4:11">
      <c r="D6583" s="4">
        <v>5251</v>
      </c>
      <c r="E6583" s="4" t="s">
        <v>223</v>
      </c>
      <c r="J6583" s="3" t="s">
        <v>6803</v>
      </c>
      <c r="K6583" s="3" t="s">
        <v>223</v>
      </c>
    </row>
    <row r="6584" ht="15.6" spans="4:11">
      <c r="D6584" s="4">
        <v>5252</v>
      </c>
      <c r="E6584" s="4" t="s">
        <v>223</v>
      </c>
      <c r="J6584" s="3" t="s">
        <v>6804</v>
      </c>
      <c r="K6584" s="3" t="s">
        <v>223</v>
      </c>
    </row>
    <row r="6585" ht="15.6" spans="4:11">
      <c r="D6585" s="4">
        <v>5253</v>
      </c>
      <c r="E6585" s="4" t="s">
        <v>223</v>
      </c>
      <c r="J6585" s="3" t="s">
        <v>6805</v>
      </c>
      <c r="K6585" s="3" t="s">
        <v>223</v>
      </c>
    </row>
    <row r="6586" ht="15.6" spans="4:11">
      <c r="D6586" s="4">
        <v>5254</v>
      </c>
      <c r="E6586" s="4" t="s">
        <v>223</v>
      </c>
      <c r="J6586" s="3" t="s">
        <v>6806</v>
      </c>
      <c r="K6586" s="3" t="s">
        <v>223</v>
      </c>
    </row>
    <row r="6587" ht="15.6" spans="4:11">
      <c r="D6587" s="4">
        <v>5255</v>
      </c>
      <c r="E6587" s="4" t="s">
        <v>223</v>
      </c>
      <c r="J6587" s="3" t="s">
        <v>6807</v>
      </c>
      <c r="K6587" s="3" t="s">
        <v>223</v>
      </c>
    </row>
    <row r="6588" ht="15.6" spans="4:11">
      <c r="D6588" s="4">
        <v>5256</v>
      </c>
      <c r="E6588" s="4" t="s">
        <v>223</v>
      </c>
      <c r="J6588" s="3" t="s">
        <v>6808</v>
      </c>
      <c r="K6588" s="3" t="s">
        <v>223</v>
      </c>
    </row>
    <row r="6589" ht="15.6" spans="4:11">
      <c r="D6589" s="4">
        <v>5257</v>
      </c>
      <c r="E6589" s="4" t="s">
        <v>223</v>
      </c>
      <c r="J6589" s="3" t="s">
        <v>6809</v>
      </c>
      <c r="K6589" s="3" t="s">
        <v>223</v>
      </c>
    </row>
    <row r="6590" ht="15.6" spans="4:11">
      <c r="D6590" s="4">
        <v>5258</v>
      </c>
      <c r="E6590" s="4" t="s">
        <v>223</v>
      </c>
      <c r="J6590" s="3" t="s">
        <v>6810</v>
      </c>
      <c r="K6590" s="3" t="s">
        <v>223</v>
      </c>
    </row>
    <row r="6591" ht="15.6" spans="4:11">
      <c r="D6591" s="4">
        <v>5259</v>
      </c>
      <c r="E6591" s="4" t="s">
        <v>223</v>
      </c>
      <c r="J6591" s="3" t="s">
        <v>6811</v>
      </c>
      <c r="K6591" s="3" t="s">
        <v>223</v>
      </c>
    </row>
    <row r="6592" ht="15.6" spans="4:11">
      <c r="D6592" s="4">
        <v>5260</v>
      </c>
      <c r="E6592" s="4" t="s">
        <v>223</v>
      </c>
      <c r="J6592" s="3" t="s">
        <v>6812</v>
      </c>
      <c r="K6592" s="3" t="s">
        <v>223</v>
      </c>
    </row>
    <row r="6593" ht="15.6" spans="4:11">
      <c r="D6593" s="4">
        <v>5261</v>
      </c>
      <c r="E6593" s="4" t="s">
        <v>223</v>
      </c>
      <c r="J6593" s="3" t="s">
        <v>6813</v>
      </c>
      <c r="K6593" s="3" t="s">
        <v>223</v>
      </c>
    </row>
    <row r="6594" ht="15.6" spans="4:11">
      <c r="D6594" s="4">
        <v>5262</v>
      </c>
      <c r="E6594" s="4" t="s">
        <v>223</v>
      </c>
      <c r="J6594" s="3" t="s">
        <v>6814</v>
      </c>
      <c r="K6594" s="3" t="s">
        <v>223</v>
      </c>
    </row>
    <row r="6595" ht="15.6" spans="4:11">
      <c r="D6595" s="4">
        <v>5263</v>
      </c>
      <c r="E6595" s="4" t="s">
        <v>223</v>
      </c>
      <c r="J6595" s="3" t="s">
        <v>6815</v>
      </c>
      <c r="K6595" s="3" t="s">
        <v>223</v>
      </c>
    </row>
    <row r="6596" ht="15.6" spans="4:11">
      <c r="D6596" s="4">
        <v>5264</v>
      </c>
      <c r="E6596" s="4" t="s">
        <v>223</v>
      </c>
      <c r="J6596" s="3" t="s">
        <v>6816</v>
      </c>
      <c r="K6596" s="3" t="s">
        <v>223</v>
      </c>
    </row>
    <row r="6597" ht="15.6" spans="4:11">
      <c r="D6597" s="4">
        <v>5265</v>
      </c>
      <c r="E6597" s="4" t="s">
        <v>223</v>
      </c>
      <c r="J6597" s="3" t="s">
        <v>6817</v>
      </c>
      <c r="K6597" s="3" t="s">
        <v>223</v>
      </c>
    </row>
    <row r="6598" ht="15.6" spans="4:11">
      <c r="D6598" s="4">
        <v>5266</v>
      </c>
      <c r="E6598" s="4" t="s">
        <v>223</v>
      </c>
      <c r="J6598" s="3" t="s">
        <v>6818</v>
      </c>
      <c r="K6598" s="3" t="s">
        <v>223</v>
      </c>
    </row>
    <row r="6599" ht="15.6" spans="4:11">
      <c r="D6599" s="4">
        <v>5267</v>
      </c>
      <c r="E6599" s="4" t="s">
        <v>223</v>
      </c>
      <c r="J6599" s="3" t="s">
        <v>6819</v>
      </c>
      <c r="K6599" s="3" t="s">
        <v>223</v>
      </c>
    </row>
    <row r="6600" ht="15.6" spans="4:11">
      <c r="D6600" s="4">
        <v>5268</v>
      </c>
      <c r="E6600" s="4" t="s">
        <v>223</v>
      </c>
      <c r="J6600" s="3" t="s">
        <v>6820</v>
      </c>
      <c r="K6600" s="3" t="s">
        <v>223</v>
      </c>
    </row>
    <row r="6601" ht="15.6" spans="4:11">
      <c r="D6601" s="4">
        <v>5269</v>
      </c>
      <c r="E6601" s="4" t="s">
        <v>223</v>
      </c>
      <c r="J6601" s="3" t="s">
        <v>6821</v>
      </c>
      <c r="K6601" s="3" t="s">
        <v>223</v>
      </c>
    </row>
    <row r="6602" ht="15.6" spans="4:11">
      <c r="D6602" s="4">
        <v>5270</v>
      </c>
      <c r="E6602" s="4" t="s">
        <v>223</v>
      </c>
      <c r="J6602" s="3" t="s">
        <v>6822</v>
      </c>
      <c r="K6602" s="3" t="s">
        <v>223</v>
      </c>
    </row>
    <row r="6603" ht="15.6" spans="4:11">
      <c r="D6603" s="4">
        <v>5271</v>
      </c>
      <c r="E6603" s="4" t="s">
        <v>223</v>
      </c>
      <c r="J6603" s="3" t="s">
        <v>6823</v>
      </c>
      <c r="K6603" s="3" t="s">
        <v>223</v>
      </c>
    </row>
    <row r="6604" ht="15.6" spans="4:11">
      <c r="D6604" s="4">
        <v>5272</v>
      </c>
      <c r="E6604" s="4" t="s">
        <v>223</v>
      </c>
      <c r="J6604" s="3" t="s">
        <v>6824</v>
      </c>
      <c r="K6604" s="3" t="s">
        <v>223</v>
      </c>
    </row>
    <row r="6605" ht="15.6" spans="4:11">
      <c r="D6605" s="4">
        <v>5273</v>
      </c>
      <c r="E6605" s="4" t="s">
        <v>223</v>
      </c>
      <c r="J6605" s="3" t="s">
        <v>6825</v>
      </c>
      <c r="K6605" s="3" t="s">
        <v>223</v>
      </c>
    </row>
    <row r="6606" ht="15.6" spans="4:11">
      <c r="D6606" s="4">
        <v>5274</v>
      </c>
      <c r="E6606" s="4" t="s">
        <v>223</v>
      </c>
      <c r="J6606" s="3" t="s">
        <v>6826</v>
      </c>
      <c r="K6606" s="3" t="s">
        <v>223</v>
      </c>
    </row>
    <row r="6607" ht="15.6" spans="4:11">
      <c r="D6607" s="4">
        <v>5275</v>
      </c>
      <c r="E6607" s="4" t="s">
        <v>223</v>
      </c>
      <c r="J6607" s="3" t="s">
        <v>6827</v>
      </c>
      <c r="K6607" s="3" t="s">
        <v>223</v>
      </c>
    </row>
    <row r="6608" ht="15.6" spans="4:11">
      <c r="D6608" s="4">
        <v>5276</v>
      </c>
      <c r="E6608" s="4" t="s">
        <v>223</v>
      </c>
      <c r="J6608" s="3" t="s">
        <v>6828</v>
      </c>
      <c r="K6608" s="3" t="s">
        <v>223</v>
      </c>
    </row>
    <row r="6609" ht="15.6" spans="4:11">
      <c r="D6609" s="4">
        <v>5277</v>
      </c>
      <c r="E6609" s="4" t="s">
        <v>223</v>
      </c>
      <c r="J6609" s="3" t="s">
        <v>6829</v>
      </c>
      <c r="K6609" s="3" t="s">
        <v>223</v>
      </c>
    </row>
    <row r="6610" ht="15.6" spans="4:11">
      <c r="D6610" s="4">
        <v>5278</v>
      </c>
      <c r="E6610" s="4" t="s">
        <v>223</v>
      </c>
      <c r="J6610" s="3" t="s">
        <v>6830</v>
      </c>
      <c r="K6610" s="3" t="s">
        <v>223</v>
      </c>
    </row>
    <row r="6611" ht="15.6" spans="4:11">
      <c r="D6611" s="4">
        <v>5279</v>
      </c>
      <c r="E6611" s="4" t="s">
        <v>223</v>
      </c>
      <c r="J6611" s="3" t="s">
        <v>6831</v>
      </c>
      <c r="K6611" s="3" t="s">
        <v>223</v>
      </c>
    </row>
    <row r="6612" ht="15.6" spans="4:11">
      <c r="D6612" s="4">
        <v>5280</v>
      </c>
      <c r="E6612" s="4" t="s">
        <v>223</v>
      </c>
      <c r="J6612" s="3" t="s">
        <v>6832</v>
      </c>
      <c r="K6612" s="3" t="s">
        <v>223</v>
      </c>
    </row>
    <row r="6613" ht="15.6" spans="4:11">
      <c r="D6613" s="4">
        <v>5281</v>
      </c>
      <c r="E6613" s="4" t="s">
        <v>223</v>
      </c>
      <c r="J6613" s="3" t="s">
        <v>6833</v>
      </c>
      <c r="K6613" s="3" t="s">
        <v>223</v>
      </c>
    </row>
    <row r="6614" ht="15.6" spans="4:11">
      <c r="D6614" s="4">
        <v>5282</v>
      </c>
      <c r="E6614" s="4" t="s">
        <v>223</v>
      </c>
      <c r="J6614" s="3" t="s">
        <v>6834</v>
      </c>
      <c r="K6614" s="3" t="s">
        <v>223</v>
      </c>
    </row>
    <row r="6615" ht="15.6" spans="4:11">
      <c r="D6615" s="4">
        <v>5283</v>
      </c>
      <c r="E6615" s="4" t="s">
        <v>223</v>
      </c>
      <c r="J6615" s="3" t="s">
        <v>6835</v>
      </c>
      <c r="K6615" s="3" t="s">
        <v>223</v>
      </c>
    </row>
    <row r="6616" ht="15.6" spans="4:11">
      <c r="D6616" s="4">
        <v>5284</v>
      </c>
      <c r="E6616" s="4" t="s">
        <v>223</v>
      </c>
      <c r="J6616" s="3" t="s">
        <v>6836</v>
      </c>
      <c r="K6616" s="3" t="s">
        <v>223</v>
      </c>
    </row>
    <row r="6617" ht="15.6" spans="4:11">
      <c r="D6617" s="4">
        <v>5285</v>
      </c>
      <c r="E6617" s="4" t="s">
        <v>223</v>
      </c>
      <c r="J6617" s="3" t="s">
        <v>6837</v>
      </c>
      <c r="K6617" s="3" t="s">
        <v>223</v>
      </c>
    </row>
    <row r="6618" ht="15.6" spans="4:11">
      <c r="D6618" s="4">
        <v>5286</v>
      </c>
      <c r="E6618" s="4" t="s">
        <v>223</v>
      </c>
      <c r="J6618" s="3" t="s">
        <v>6838</v>
      </c>
      <c r="K6618" s="3" t="s">
        <v>223</v>
      </c>
    </row>
    <row r="6619" ht="15.6" spans="4:11">
      <c r="D6619" s="4">
        <v>5287</v>
      </c>
      <c r="E6619" s="4" t="s">
        <v>223</v>
      </c>
      <c r="J6619" s="3" t="s">
        <v>6839</v>
      </c>
      <c r="K6619" s="3" t="s">
        <v>223</v>
      </c>
    </row>
    <row r="6620" ht="15.6" spans="4:11">
      <c r="D6620" s="4">
        <v>5288</v>
      </c>
      <c r="E6620" s="4" t="s">
        <v>223</v>
      </c>
      <c r="J6620" s="3" t="s">
        <v>6840</v>
      </c>
      <c r="K6620" s="3" t="s">
        <v>223</v>
      </c>
    </row>
    <row r="6621" ht="15.6" spans="4:11">
      <c r="D6621" s="4">
        <v>5289</v>
      </c>
      <c r="E6621" s="4" t="s">
        <v>223</v>
      </c>
      <c r="J6621" s="3" t="s">
        <v>6841</v>
      </c>
      <c r="K6621" s="3" t="s">
        <v>223</v>
      </c>
    </row>
    <row r="6622" ht="15.6" spans="4:11">
      <c r="D6622" s="4">
        <v>5290</v>
      </c>
      <c r="E6622" s="4" t="s">
        <v>223</v>
      </c>
      <c r="J6622" s="3" t="s">
        <v>6842</v>
      </c>
      <c r="K6622" s="3" t="s">
        <v>223</v>
      </c>
    </row>
    <row r="6623" ht="15.6" spans="4:11">
      <c r="D6623" s="4">
        <v>5291</v>
      </c>
      <c r="E6623" s="4" t="s">
        <v>223</v>
      </c>
      <c r="J6623" s="3" t="s">
        <v>6843</v>
      </c>
      <c r="K6623" s="3" t="s">
        <v>223</v>
      </c>
    </row>
    <row r="6624" ht="15.6" spans="4:11">
      <c r="D6624" s="4">
        <v>5292</v>
      </c>
      <c r="E6624" s="4" t="s">
        <v>223</v>
      </c>
      <c r="J6624" s="3" t="s">
        <v>6844</v>
      </c>
      <c r="K6624" s="3" t="s">
        <v>223</v>
      </c>
    </row>
    <row r="6625" ht="15.6" spans="4:11">
      <c r="D6625" s="4">
        <v>5293</v>
      </c>
      <c r="E6625" s="4" t="s">
        <v>223</v>
      </c>
      <c r="J6625" s="3" t="s">
        <v>6845</v>
      </c>
      <c r="K6625" s="3" t="s">
        <v>223</v>
      </c>
    </row>
    <row r="6626" ht="15.6" spans="4:11">
      <c r="D6626" s="4">
        <v>5294</v>
      </c>
      <c r="E6626" s="4" t="s">
        <v>223</v>
      </c>
      <c r="J6626" s="3" t="s">
        <v>6846</v>
      </c>
      <c r="K6626" s="3" t="s">
        <v>223</v>
      </c>
    </row>
    <row r="6627" ht="15.6" spans="4:11">
      <c r="D6627" s="4">
        <v>5295</v>
      </c>
      <c r="E6627" s="4" t="s">
        <v>223</v>
      </c>
      <c r="J6627" s="3" t="s">
        <v>6847</v>
      </c>
      <c r="K6627" s="3" t="s">
        <v>223</v>
      </c>
    </row>
    <row r="6628" ht="15.6" spans="4:11">
      <c r="D6628" s="4">
        <v>5296</v>
      </c>
      <c r="E6628" s="4" t="s">
        <v>223</v>
      </c>
      <c r="J6628" s="3" t="s">
        <v>6848</v>
      </c>
      <c r="K6628" s="3" t="s">
        <v>223</v>
      </c>
    </row>
    <row r="6629" ht="15.6" spans="4:11">
      <c r="D6629" s="4">
        <v>5297</v>
      </c>
      <c r="E6629" s="4" t="s">
        <v>223</v>
      </c>
      <c r="J6629" s="3" t="s">
        <v>6849</v>
      </c>
      <c r="K6629" s="3" t="s">
        <v>223</v>
      </c>
    </row>
    <row r="6630" ht="15.6" spans="4:11">
      <c r="D6630" s="4">
        <v>5298</v>
      </c>
      <c r="E6630" s="4" t="s">
        <v>223</v>
      </c>
      <c r="J6630" s="3" t="s">
        <v>6850</v>
      </c>
      <c r="K6630" s="3" t="s">
        <v>223</v>
      </c>
    </row>
    <row r="6631" ht="15.6" spans="4:11">
      <c r="D6631" s="4">
        <v>5299</v>
      </c>
      <c r="E6631" s="4" t="s">
        <v>223</v>
      </c>
      <c r="J6631" s="3" t="s">
        <v>6851</v>
      </c>
      <c r="K6631" s="3" t="s">
        <v>223</v>
      </c>
    </row>
    <row r="6632" ht="15.6" spans="4:11">
      <c r="D6632" s="4">
        <v>5300</v>
      </c>
      <c r="E6632" s="4" t="s">
        <v>223</v>
      </c>
      <c r="J6632" s="3" t="s">
        <v>6852</v>
      </c>
      <c r="K6632" s="3" t="s">
        <v>223</v>
      </c>
    </row>
    <row r="6633" ht="15.6" spans="4:11">
      <c r="D6633" s="4">
        <v>5301</v>
      </c>
      <c r="E6633" s="4" t="s">
        <v>223</v>
      </c>
      <c r="J6633" s="3" t="s">
        <v>6853</v>
      </c>
      <c r="K6633" s="3" t="s">
        <v>223</v>
      </c>
    </row>
    <row r="6634" ht="15.6" spans="4:11">
      <c r="D6634" s="4">
        <v>5302</v>
      </c>
      <c r="E6634" s="4" t="s">
        <v>223</v>
      </c>
      <c r="J6634" s="3" t="s">
        <v>6854</v>
      </c>
      <c r="K6634" s="3" t="s">
        <v>223</v>
      </c>
    </row>
    <row r="6635" ht="15.6" spans="4:11">
      <c r="D6635" s="4">
        <v>5303</v>
      </c>
      <c r="E6635" s="4" t="s">
        <v>223</v>
      </c>
      <c r="J6635" s="3" t="s">
        <v>6855</v>
      </c>
      <c r="K6635" s="3" t="s">
        <v>223</v>
      </c>
    </row>
    <row r="6636" ht="15.6" spans="4:11">
      <c r="D6636" s="4">
        <v>5304</v>
      </c>
      <c r="E6636" s="4" t="s">
        <v>223</v>
      </c>
      <c r="J6636" s="3" t="s">
        <v>6856</v>
      </c>
      <c r="K6636" s="3" t="s">
        <v>223</v>
      </c>
    </row>
    <row r="6637" ht="15.6" spans="4:11">
      <c r="D6637" s="4">
        <v>5305</v>
      </c>
      <c r="E6637" s="4" t="s">
        <v>223</v>
      </c>
      <c r="J6637" s="3" t="s">
        <v>6857</v>
      </c>
      <c r="K6637" s="3" t="s">
        <v>223</v>
      </c>
    </row>
    <row r="6638" ht="15.6" spans="4:11">
      <c r="D6638" s="4">
        <v>5306</v>
      </c>
      <c r="E6638" s="4" t="s">
        <v>223</v>
      </c>
      <c r="J6638" s="3" t="s">
        <v>6858</v>
      </c>
      <c r="K6638" s="3" t="s">
        <v>223</v>
      </c>
    </row>
    <row r="6639" ht="15.6" spans="4:11">
      <c r="D6639" s="4">
        <v>5307</v>
      </c>
      <c r="E6639" s="4" t="s">
        <v>223</v>
      </c>
      <c r="J6639" s="3" t="s">
        <v>6859</v>
      </c>
      <c r="K6639" s="3" t="s">
        <v>223</v>
      </c>
    </row>
    <row r="6640" ht="15.6" spans="4:11">
      <c r="D6640" s="4">
        <v>5308</v>
      </c>
      <c r="E6640" s="4" t="s">
        <v>223</v>
      </c>
      <c r="J6640" s="3" t="s">
        <v>6860</v>
      </c>
      <c r="K6640" s="3" t="s">
        <v>223</v>
      </c>
    </row>
    <row r="6641" ht="15.6" spans="4:11">
      <c r="D6641" s="4">
        <v>5309</v>
      </c>
      <c r="E6641" s="4" t="s">
        <v>223</v>
      </c>
      <c r="J6641" s="3" t="s">
        <v>6861</v>
      </c>
      <c r="K6641" s="3" t="s">
        <v>223</v>
      </c>
    </row>
    <row r="6642" ht="15.6" spans="4:11">
      <c r="D6642" s="4">
        <v>5310</v>
      </c>
      <c r="E6642" s="4" t="s">
        <v>223</v>
      </c>
      <c r="J6642" s="3" t="s">
        <v>6862</v>
      </c>
      <c r="K6642" s="3" t="s">
        <v>223</v>
      </c>
    </row>
    <row r="6643" ht="15.6" spans="4:11">
      <c r="D6643" s="4">
        <v>5311</v>
      </c>
      <c r="E6643" s="4" t="s">
        <v>223</v>
      </c>
      <c r="J6643" s="3" t="s">
        <v>6863</v>
      </c>
      <c r="K6643" s="3" t="s">
        <v>223</v>
      </c>
    </row>
    <row r="6644" ht="15.6" spans="4:11">
      <c r="D6644" s="4">
        <v>5312</v>
      </c>
      <c r="E6644" s="4" t="s">
        <v>223</v>
      </c>
      <c r="J6644" s="3" t="s">
        <v>6864</v>
      </c>
      <c r="K6644" s="3" t="s">
        <v>223</v>
      </c>
    </row>
    <row r="6645" ht="15.6" spans="4:11">
      <c r="D6645" s="4">
        <v>5313</v>
      </c>
      <c r="E6645" s="4" t="s">
        <v>223</v>
      </c>
      <c r="J6645" s="3" t="s">
        <v>6865</v>
      </c>
      <c r="K6645" s="3" t="s">
        <v>223</v>
      </c>
    </row>
    <row r="6646" ht="15.6" spans="4:11">
      <c r="D6646" s="4">
        <v>5314</v>
      </c>
      <c r="E6646" s="4" t="s">
        <v>223</v>
      </c>
      <c r="J6646" s="3" t="s">
        <v>6866</v>
      </c>
      <c r="K6646" s="3" t="s">
        <v>223</v>
      </c>
    </row>
    <row r="6647" ht="15.6" spans="4:11">
      <c r="D6647" s="4">
        <v>5315</v>
      </c>
      <c r="E6647" s="4" t="s">
        <v>223</v>
      </c>
      <c r="J6647" s="3" t="s">
        <v>6867</v>
      </c>
      <c r="K6647" s="3" t="s">
        <v>223</v>
      </c>
    </row>
    <row r="6648" ht="15.6" spans="4:11">
      <c r="D6648" s="4">
        <v>5316</v>
      </c>
      <c r="E6648" s="4" t="s">
        <v>223</v>
      </c>
      <c r="J6648" s="3" t="s">
        <v>6868</v>
      </c>
      <c r="K6648" s="3" t="s">
        <v>223</v>
      </c>
    </row>
    <row r="6649" ht="15.6" spans="4:11">
      <c r="D6649" s="4">
        <v>5317</v>
      </c>
      <c r="E6649" s="4" t="s">
        <v>223</v>
      </c>
      <c r="J6649" s="3" t="s">
        <v>6869</v>
      </c>
      <c r="K6649" s="3" t="s">
        <v>223</v>
      </c>
    </row>
    <row r="6650" ht="15.6" spans="4:11">
      <c r="D6650" s="4">
        <v>5318</v>
      </c>
      <c r="E6650" s="4" t="s">
        <v>223</v>
      </c>
      <c r="J6650" s="3" t="s">
        <v>6870</v>
      </c>
      <c r="K6650" s="3" t="s">
        <v>223</v>
      </c>
    </row>
    <row r="6651" ht="15.6" spans="4:11">
      <c r="D6651" s="4">
        <v>5319</v>
      </c>
      <c r="E6651" s="4" t="s">
        <v>223</v>
      </c>
      <c r="J6651" s="3" t="s">
        <v>6871</v>
      </c>
      <c r="K6651" s="3" t="s">
        <v>223</v>
      </c>
    </row>
    <row r="6652" ht="15.6" spans="4:11">
      <c r="D6652" s="4">
        <v>5320</v>
      </c>
      <c r="E6652" s="4" t="s">
        <v>223</v>
      </c>
      <c r="J6652" s="3" t="s">
        <v>6872</v>
      </c>
      <c r="K6652" s="3" t="s">
        <v>223</v>
      </c>
    </row>
    <row r="6653" ht="15.6" spans="4:11">
      <c r="D6653" s="4">
        <v>5321</v>
      </c>
      <c r="E6653" s="4" t="s">
        <v>223</v>
      </c>
      <c r="J6653" s="3" t="s">
        <v>6873</v>
      </c>
      <c r="K6653" s="3" t="s">
        <v>223</v>
      </c>
    </row>
    <row r="6654" ht="15.6" spans="4:11">
      <c r="D6654" s="4">
        <v>5322</v>
      </c>
      <c r="E6654" s="4" t="s">
        <v>223</v>
      </c>
      <c r="J6654" s="3" t="s">
        <v>6874</v>
      </c>
      <c r="K6654" s="3" t="s">
        <v>223</v>
      </c>
    </row>
    <row r="6655" ht="15.6" spans="4:11">
      <c r="D6655" s="4">
        <v>5323</v>
      </c>
      <c r="E6655" s="4" t="s">
        <v>223</v>
      </c>
      <c r="J6655" s="3" t="s">
        <v>6875</v>
      </c>
      <c r="K6655" s="3" t="s">
        <v>223</v>
      </c>
    </row>
    <row r="6656" ht="15.6" spans="4:11">
      <c r="D6656" s="4">
        <v>5324</v>
      </c>
      <c r="E6656" s="4" t="s">
        <v>223</v>
      </c>
      <c r="J6656" s="3" t="s">
        <v>6876</v>
      </c>
      <c r="K6656" s="3" t="s">
        <v>223</v>
      </c>
    </row>
    <row r="6657" ht="15.6" spans="4:11">
      <c r="D6657" s="4">
        <v>5325</v>
      </c>
      <c r="E6657" s="4" t="s">
        <v>223</v>
      </c>
      <c r="J6657" s="3" t="s">
        <v>6877</v>
      </c>
      <c r="K6657" s="3" t="s">
        <v>223</v>
      </c>
    </row>
    <row r="6658" ht="15.6" spans="4:11">
      <c r="D6658" s="4">
        <v>5326</v>
      </c>
      <c r="E6658" s="4" t="s">
        <v>223</v>
      </c>
      <c r="J6658" s="3" t="s">
        <v>6878</v>
      </c>
      <c r="K6658" s="3" t="s">
        <v>223</v>
      </c>
    </row>
    <row r="6659" ht="15.6" spans="4:11">
      <c r="D6659" s="4">
        <v>5327</v>
      </c>
      <c r="E6659" s="4" t="s">
        <v>223</v>
      </c>
      <c r="J6659" s="3" t="s">
        <v>6879</v>
      </c>
      <c r="K6659" s="3" t="s">
        <v>223</v>
      </c>
    </row>
    <row r="6660" ht="15.6" spans="4:11">
      <c r="D6660" s="4">
        <v>5328</v>
      </c>
      <c r="E6660" s="4" t="s">
        <v>223</v>
      </c>
      <c r="J6660" s="3" t="s">
        <v>6880</v>
      </c>
      <c r="K6660" s="3" t="s">
        <v>223</v>
      </c>
    </row>
    <row r="6661" ht="15.6" spans="4:11">
      <c r="D6661" s="4">
        <v>5329</v>
      </c>
      <c r="E6661" s="4" t="s">
        <v>223</v>
      </c>
      <c r="J6661" s="3" t="s">
        <v>6881</v>
      </c>
      <c r="K6661" s="3" t="s">
        <v>223</v>
      </c>
    </row>
    <row r="6662" ht="15.6" spans="4:11">
      <c r="D6662" s="4">
        <v>5330</v>
      </c>
      <c r="E6662" s="4" t="s">
        <v>223</v>
      </c>
      <c r="J6662" s="3" t="s">
        <v>6882</v>
      </c>
      <c r="K6662" s="3" t="s">
        <v>223</v>
      </c>
    </row>
    <row r="6663" ht="15.6" spans="4:11">
      <c r="D6663" s="4">
        <v>5331</v>
      </c>
      <c r="E6663" s="4" t="s">
        <v>223</v>
      </c>
      <c r="J6663" s="3" t="s">
        <v>6883</v>
      </c>
      <c r="K6663" s="3" t="s">
        <v>223</v>
      </c>
    </row>
    <row r="6664" ht="15.6" spans="4:11">
      <c r="D6664" s="4">
        <v>5332</v>
      </c>
      <c r="E6664" s="4" t="s">
        <v>223</v>
      </c>
      <c r="J6664" s="3" t="s">
        <v>6884</v>
      </c>
      <c r="K6664" s="3" t="s">
        <v>223</v>
      </c>
    </row>
    <row r="6665" ht="15.6" spans="4:11">
      <c r="D6665" s="4">
        <v>5333</v>
      </c>
      <c r="E6665" s="4" t="s">
        <v>223</v>
      </c>
      <c r="J6665" s="3" t="s">
        <v>6885</v>
      </c>
      <c r="K6665" s="3" t="s">
        <v>223</v>
      </c>
    </row>
    <row r="6666" ht="15.6" spans="4:11">
      <c r="D6666" s="4">
        <v>5334</v>
      </c>
      <c r="E6666" s="4" t="s">
        <v>223</v>
      </c>
      <c r="J6666" s="3" t="s">
        <v>6886</v>
      </c>
      <c r="K6666" s="3" t="s">
        <v>223</v>
      </c>
    </row>
    <row r="6667" ht="15.6" spans="4:11">
      <c r="D6667" s="4">
        <v>5335</v>
      </c>
      <c r="E6667" s="4" t="s">
        <v>223</v>
      </c>
      <c r="J6667" s="3" t="s">
        <v>6887</v>
      </c>
      <c r="K6667" s="3" t="s">
        <v>223</v>
      </c>
    </row>
    <row r="6668" ht="15.6" spans="4:11">
      <c r="D6668" s="4">
        <v>5336</v>
      </c>
      <c r="E6668" s="4" t="s">
        <v>223</v>
      </c>
      <c r="J6668" s="3" t="s">
        <v>6888</v>
      </c>
      <c r="K6668" s="3" t="s">
        <v>223</v>
      </c>
    </row>
    <row r="6669" ht="15.6" spans="4:11">
      <c r="D6669" s="4">
        <v>5337</v>
      </c>
      <c r="E6669" s="4" t="s">
        <v>223</v>
      </c>
      <c r="J6669" s="3" t="s">
        <v>6889</v>
      </c>
      <c r="K6669" s="3" t="s">
        <v>223</v>
      </c>
    </row>
    <row r="6670" ht="15.6" spans="4:11">
      <c r="D6670" s="4">
        <v>5338</v>
      </c>
      <c r="E6670" s="4" t="s">
        <v>223</v>
      </c>
      <c r="J6670" s="3" t="s">
        <v>6890</v>
      </c>
      <c r="K6670" s="3" t="s">
        <v>223</v>
      </c>
    </row>
    <row r="6671" ht="15.6" spans="4:11">
      <c r="D6671" s="4">
        <v>5339</v>
      </c>
      <c r="E6671" s="4" t="s">
        <v>223</v>
      </c>
      <c r="J6671" s="3" t="s">
        <v>6891</v>
      </c>
      <c r="K6671" s="3" t="s">
        <v>223</v>
      </c>
    </row>
    <row r="6672" ht="15.6" spans="4:11">
      <c r="D6672" s="4">
        <v>5340</v>
      </c>
      <c r="E6672" s="4" t="s">
        <v>223</v>
      </c>
      <c r="J6672" s="3" t="s">
        <v>6892</v>
      </c>
      <c r="K6672" s="3" t="s">
        <v>223</v>
      </c>
    </row>
    <row r="6673" ht="15.6" spans="4:11">
      <c r="D6673" s="4">
        <v>5341</v>
      </c>
      <c r="E6673" s="4" t="s">
        <v>223</v>
      </c>
      <c r="J6673" s="3" t="s">
        <v>6893</v>
      </c>
      <c r="K6673" s="3" t="s">
        <v>223</v>
      </c>
    </row>
    <row r="6674" ht="15.6" spans="4:11">
      <c r="D6674" s="4">
        <v>5342</v>
      </c>
      <c r="E6674" s="4" t="s">
        <v>223</v>
      </c>
      <c r="J6674" s="3" t="s">
        <v>6894</v>
      </c>
      <c r="K6674" s="3" t="s">
        <v>223</v>
      </c>
    </row>
    <row r="6675" ht="15.6" spans="4:11">
      <c r="D6675" s="4">
        <v>5343</v>
      </c>
      <c r="E6675" s="4" t="s">
        <v>223</v>
      </c>
      <c r="J6675" s="3" t="s">
        <v>6895</v>
      </c>
      <c r="K6675" s="3" t="s">
        <v>223</v>
      </c>
    </row>
    <row r="6676" ht="15.6" spans="4:11">
      <c r="D6676" s="4">
        <v>5344</v>
      </c>
      <c r="E6676" s="4" t="s">
        <v>223</v>
      </c>
      <c r="J6676" s="3" t="s">
        <v>6896</v>
      </c>
      <c r="K6676" s="3" t="s">
        <v>223</v>
      </c>
    </row>
    <row r="6677" ht="15.6" spans="4:11">
      <c r="D6677" s="4">
        <v>5345</v>
      </c>
      <c r="E6677" s="4" t="s">
        <v>223</v>
      </c>
      <c r="J6677" s="3" t="s">
        <v>6897</v>
      </c>
      <c r="K6677" s="3" t="s">
        <v>223</v>
      </c>
    </row>
    <row r="6678" ht="15.6" spans="4:11">
      <c r="D6678" s="4">
        <v>5346</v>
      </c>
      <c r="E6678" s="4" t="s">
        <v>223</v>
      </c>
      <c r="J6678" s="3" t="s">
        <v>6898</v>
      </c>
      <c r="K6678" s="3" t="s">
        <v>223</v>
      </c>
    </row>
    <row r="6679" ht="15.6" spans="4:11">
      <c r="D6679" s="4">
        <v>5347</v>
      </c>
      <c r="E6679" s="4" t="s">
        <v>223</v>
      </c>
      <c r="J6679" s="3" t="s">
        <v>6899</v>
      </c>
      <c r="K6679" s="3" t="s">
        <v>223</v>
      </c>
    </row>
    <row r="6680" ht="15.6" spans="4:11">
      <c r="D6680" s="4">
        <v>5348</v>
      </c>
      <c r="E6680" s="4" t="s">
        <v>223</v>
      </c>
      <c r="J6680" s="3" t="s">
        <v>6900</v>
      </c>
      <c r="K6680" s="3" t="s">
        <v>223</v>
      </c>
    </row>
    <row r="6681" ht="15.6" spans="4:11">
      <c r="D6681" s="4">
        <v>5349</v>
      </c>
      <c r="E6681" s="4" t="s">
        <v>223</v>
      </c>
      <c r="J6681" s="3" t="s">
        <v>6901</v>
      </c>
      <c r="K6681" s="3" t="s">
        <v>223</v>
      </c>
    </row>
    <row r="6682" ht="15.6" spans="4:11">
      <c r="D6682" s="4">
        <v>5350</v>
      </c>
      <c r="E6682" s="4" t="s">
        <v>223</v>
      </c>
      <c r="J6682" s="3" t="s">
        <v>6902</v>
      </c>
      <c r="K6682" s="3" t="s">
        <v>223</v>
      </c>
    </row>
    <row r="6683" ht="15.6" spans="4:11">
      <c r="D6683" s="4">
        <v>5351</v>
      </c>
      <c r="E6683" s="4" t="s">
        <v>223</v>
      </c>
      <c r="J6683" s="3" t="s">
        <v>6903</v>
      </c>
      <c r="K6683" s="3" t="s">
        <v>223</v>
      </c>
    </row>
    <row r="6684" ht="15.6" spans="4:11">
      <c r="D6684" s="4">
        <v>5352</v>
      </c>
      <c r="E6684" s="4" t="s">
        <v>223</v>
      </c>
      <c r="J6684" s="3" t="s">
        <v>6904</v>
      </c>
      <c r="K6684" s="3" t="s">
        <v>223</v>
      </c>
    </row>
    <row r="6685" ht="15.6" spans="4:11">
      <c r="D6685" s="4">
        <v>5353</v>
      </c>
      <c r="E6685" s="4" t="s">
        <v>223</v>
      </c>
      <c r="J6685" s="3" t="s">
        <v>6905</v>
      </c>
      <c r="K6685" s="3" t="s">
        <v>223</v>
      </c>
    </row>
    <row r="6686" ht="15.6" spans="4:11">
      <c r="D6686" s="4">
        <v>5354</v>
      </c>
      <c r="E6686" s="4" t="s">
        <v>223</v>
      </c>
      <c r="J6686" s="3" t="s">
        <v>6906</v>
      </c>
      <c r="K6686" s="3" t="s">
        <v>223</v>
      </c>
    </row>
    <row r="6687" ht="15.6" spans="4:11">
      <c r="D6687" s="4">
        <v>5355</v>
      </c>
      <c r="E6687" s="4" t="s">
        <v>223</v>
      </c>
      <c r="J6687" s="3" t="s">
        <v>6907</v>
      </c>
      <c r="K6687" s="3" t="s">
        <v>223</v>
      </c>
    </row>
    <row r="6688" ht="15.6" spans="4:11">
      <c r="D6688" s="4">
        <v>5356</v>
      </c>
      <c r="E6688" s="4" t="s">
        <v>223</v>
      </c>
      <c r="J6688" s="3" t="s">
        <v>6908</v>
      </c>
      <c r="K6688" s="3" t="s">
        <v>223</v>
      </c>
    </row>
    <row r="6689" ht="15.6" spans="4:11">
      <c r="D6689" s="4">
        <v>5357</v>
      </c>
      <c r="E6689" s="4" t="s">
        <v>223</v>
      </c>
      <c r="J6689" s="3" t="s">
        <v>6909</v>
      </c>
      <c r="K6689" s="3" t="s">
        <v>223</v>
      </c>
    </row>
    <row r="6690" ht="15.6" spans="4:11">
      <c r="D6690" s="4">
        <v>5358</v>
      </c>
      <c r="E6690" s="4" t="s">
        <v>223</v>
      </c>
      <c r="J6690" s="3" t="s">
        <v>6910</v>
      </c>
      <c r="K6690" s="3" t="s">
        <v>223</v>
      </c>
    </row>
    <row r="6691" ht="15.6" spans="4:11">
      <c r="D6691" s="4">
        <v>5359</v>
      </c>
      <c r="E6691" s="4" t="s">
        <v>223</v>
      </c>
      <c r="J6691" s="3" t="s">
        <v>6911</v>
      </c>
      <c r="K6691" s="3" t="s">
        <v>223</v>
      </c>
    </row>
    <row r="6692" ht="15.6" spans="4:11">
      <c r="D6692" s="4">
        <v>5360</v>
      </c>
      <c r="E6692" s="4" t="s">
        <v>223</v>
      </c>
      <c r="J6692" s="3" t="s">
        <v>6912</v>
      </c>
      <c r="K6692" s="3" t="s">
        <v>223</v>
      </c>
    </row>
    <row r="6693" ht="15.6" spans="4:11">
      <c r="D6693" s="4">
        <v>5361</v>
      </c>
      <c r="E6693" s="4" t="s">
        <v>223</v>
      </c>
      <c r="J6693" s="3" t="s">
        <v>6913</v>
      </c>
      <c r="K6693" s="3" t="s">
        <v>223</v>
      </c>
    </row>
    <row r="6694" ht="15.6" spans="4:11">
      <c r="D6694" s="4">
        <v>5362</v>
      </c>
      <c r="E6694" s="4" t="s">
        <v>223</v>
      </c>
      <c r="J6694" s="3" t="s">
        <v>6914</v>
      </c>
      <c r="K6694" s="3" t="s">
        <v>223</v>
      </c>
    </row>
    <row r="6695" ht="15.6" spans="4:11">
      <c r="D6695" s="4">
        <v>5363</v>
      </c>
      <c r="E6695" s="4" t="s">
        <v>223</v>
      </c>
      <c r="J6695" s="3" t="s">
        <v>6915</v>
      </c>
      <c r="K6695" s="3" t="s">
        <v>223</v>
      </c>
    </row>
    <row r="6696" ht="15.6" spans="4:11">
      <c r="D6696" s="4">
        <v>5364</v>
      </c>
      <c r="E6696" s="4" t="s">
        <v>223</v>
      </c>
      <c r="J6696" s="3" t="s">
        <v>6916</v>
      </c>
      <c r="K6696" s="3" t="s">
        <v>223</v>
      </c>
    </row>
    <row r="6697" ht="15.6" spans="4:11">
      <c r="D6697" s="4">
        <v>5365</v>
      </c>
      <c r="E6697" s="4" t="s">
        <v>223</v>
      </c>
      <c r="J6697" s="3" t="s">
        <v>6917</v>
      </c>
      <c r="K6697" s="3" t="s">
        <v>223</v>
      </c>
    </row>
    <row r="6698" ht="15.6" spans="4:11">
      <c r="D6698" s="4">
        <v>5366</v>
      </c>
      <c r="E6698" s="4" t="s">
        <v>223</v>
      </c>
      <c r="J6698" s="3" t="s">
        <v>6918</v>
      </c>
      <c r="K6698" s="3" t="s">
        <v>223</v>
      </c>
    </row>
    <row r="6699" ht="15.6" spans="4:11">
      <c r="D6699" s="4">
        <v>5367</v>
      </c>
      <c r="E6699" s="4" t="s">
        <v>223</v>
      </c>
      <c r="J6699" s="3" t="s">
        <v>6919</v>
      </c>
      <c r="K6699" s="3" t="s">
        <v>223</v>
      </c>
    </row>
    <row r="6700" ht="15.6" spans="4:11">
      <c r="D6700" s="4">
        <v>5368</v>
      </c>
      <c r="E6700" s="4" t="s">
        <v>223</v>
      </c>
      <c r="J6700" s="3" t="s">
        <v>6920</v>
      </c>
      <c r="K6700" s="3" t="s">
        <v>223</v>
      </c>
    </row>
    <row r="6701" ht="15.6" spans="4:11">
      <c r="D6701" s="4">
        <v>5369</v>
      </c>
      <c r="E6701" s="4" t="s">
        <v>223</v>
      </c>
      <c r="J6701" s="3" t="s">
        <v>6921</v>
      </c>
      <c r="K6701" s="3" t="s">
        <v>223</v>
      </c>
    </row>
    <row r="6702" ht="15.6" spans="4:11">
      <c r="D6702" s="4">
        <v>5370</v>
      </c>
      <c r="E6702" s="4" t="s">
        <v>223</v>
      </c>
      <c r="J6702" s="3" t="s">
        <v>6922</v>
      </c>
      <c r="K6702" s="3" t="s">
        <v>223</v>
      </c>
    </row>
    <row r="6703" ht="15.6" spans="4:11">
      <c r="D6703" s="4">
        <v>5371</v>
      </c>
      <c r="E6703" s="4" t="s">
        <v>223</v>
      </c>
      <c r="J6703" s="3" t="s">
        <v>6923</v>
      </c>
      <c r="K6703" s="3" t="s">
        <v>223</v>
      </c>
    </row>
    <row r="6704" ht="15.6" spans="4:11">
      <c r="D6704" s="4">
        <v>5372</v>
      </c>
      <c r="E6704" s="4" t="s">
        <v>223</v>
      </c>
      <c r="J6704" s="3" t="s">
        <v>6924</v>
      </c>
      <c r="K6704" s="3" t="s">
        <v>223</v>
      </c>
    </row>
    <row r="6705" ht="15.6" spans="4:11">
      <c r="D6705" s="4">
        <v>5373</v>
      </c>
      <c r="E6705" s="4" t="s">
        <v>223</v>
      </c>
      <c r="J6705" s="3" t="s">
        <v>6925</v>
      </c>
      <c r="K6705" s="3" t="s">
        <v>223</v>
      </c>
    </row>
    <row r="6706" ht="15.6" spans="4:11">
      <c r="D6706" s="4">
        <v>5374</v>
      </c>
      <c r="E6706" s="4" t="s">
        <v>223</v>
      </c>
      <c r="J6706" s="3" t="s">
        <v>6926</v>
      </c>
      <c r="K6706" s="3" t="s">
        <v>223</v>
      </c>
    </row>
    <row r="6707" ht="15.6" spans="4:11">
      <c r="D6707" s="4">
        <v>5375</v>
      </c>
      <c r="E6707" s="4" t="s">
        <v>223</v>
      </c>
      <c r="J6707" s="3" t="s">
        <v>6927</v>
      </c>
      <c r="K6707" s="3" t="s">
        <v>223</v>
      </c>
    </row>
    <row r="6708" ht="15.6" spans="4:11">
      <c r="D6708" s="4">
        <v>5376</v>
      </c>
      <c r="E6708" s="4" t="s">
        <v>223</v>
      </c>
      <c r="J6708" s="3" t="s">
        <v>6928</v>
      </c>
      <c r="K6708" s="3" t="s">
        <v>223</v>
      </c>
    </row>
    <row r="6709" ht="15.6" spans="4:11">
      <c r="D6709" s="4">
        <v>5377</v>
      </c>
      <c r="E6709" s="4" t="s">
        <v>223</v>
      </c>
      <c r="J6709" s="3" t="s">
        <v>6929</v>
      </c>
      <c r="K6709" s="3" t="s">
        <v>223</v>
      </c>
    </row>
    <row r="6710" ht="15.6" spans="4:11">
      <c r="D6710" s="4">
        <v>5378</v>
      </c>
      <c r="E6710" s="4" t="s">
        <v>223</v>
      </c>
      <c r="J6710" s="3" t="s">
        <v>6930</v>
      </c>
      <c r="K6710" s="3" t="s">
        <v>223</v>
      </c>
    </row>
    <row r="6711" ht="15.6" spans="4:11">
      <c r="D6711" s="4">
        <v>5379</v>
      </c>
      <c r="E6711" s="4" t="s">
        <v>223</v>
      </c>
      <c r="J6711" s="3" t="s">
        <v>6931</v>
      </c>
      <c r="K6711" s="3" t="s">
        <v>223</v>
      </c>
    </row>
    <row r="6712" ht="15.6" spans="4:11">
      <c r="D6712" s="4">
        <v>5380</v>
      </c>
      <c r="E6712" s="4" t="s">
        <v>223</v>
      </c>
      <c r="J6712" s="3" t="s">
        <v>6932</v>
      </c>
      <c r="K6712" s="3" t="s">
        <v>223</v>
      </c>
    </row>
    <row r="6713" ht="15.6" spans="4:11">
      <c r="D6713" s="4">
        <v>5381</v>
      </c>
      <c r="E6713" s="4" t="s">
        <v>223</v>
      </c>
      <c r="J6713" s="3" t="s">
        <v>6933</v>
      </c>
      <c r="K6713" s="3" t="s">
        <v>223</v>
      </c>
    </row>
    <row r="6714" ht="15.6" spans="4:11">
      <c r="D6714" s="4">
        <v>5382</v>
      </c>
      <c r="E6714" s="4" t="s">
        <v>223</v>
      </c>
      <c r="J6714" s="3" t="s">
        <v>6934</v>
      </c>
      <c r="K6714" s="3" t="s">
        <v>223</v>
      </c>
    </row>
    <row r="6715" ht="15.6" spans="4:11">
      <c r="D6715" s="4">
        <v>5383</v>
      </c>
      <c r="E6715" s="4" t="s">
        <v>223</v>
      </c>
      <c r="J6715" s="3" t="s">
        <v>6935</v>
      </c>
      <c r="K6715" s="3" t="s">
        <v>223</v>
      </c>
    </row>
    <row r="6716" ht="15.6" spans="4:11">
      <c r="D6716" s="4">
        <v>5384</v>
      </c>
      <c r="E6716" s="4" t="s">
        <v>223</v>
      </c>
      <c r="J6716" s="3" t="s">
        <v>6936</v>
      </c>
      <c r="K6716" s="3" t="s">
        <v>223</v>
      </c>
    </row>
    <row r="6717" ht="15.6" spans="4:11">
      <c r="D6717" s="4">
        <v>5385</v>
      </c>
      <c r="E6717" s="4" t="s">
        <v>223</v>
      </c>
      <c r="J6717" s="3" t="s">
        <v>6937</v>
      </c>
      <c r="K6717" s="3" t="s">
        <v>223</v>
      </c>
    </row>
    <row r="6718" ht="15.6" spans="4:11">
      <c r="D6718" s="4">
        <v>5386</v>
      </c>
      <c r="E6718" s="4" t="s">
        <v>223</v>
      </c>
      <c r="J6718" s="3" t="s">
        <v>6938</v>
      </c>
      <c r="K6718" s="3" t="s">
        <v>223</v>
      </c>
    </row>
    <row r="6719" ht="15.6" spans="4:11">
      <c r="D6719" s="4">
        <v>5387</v>
      </c>
      <c r="E6719" s="4" t="s">
        <v>223</v>
      </c>
      <c r="J6719" s="3" t="s">
        <v>6939</v>
      </c>
      <c r="K6719" s="3" t="s">
        <v>223</v>
      </c>
    </row>
    <row r="6720" ht="15.6" spans="4:11">
      <c r="D6720" s="4">
        <v>5388</v>
      </c>
      <c r="E6720" s="4" t="s">
        <v>223</v>
      </c>
      <c r="J6720" s="3" t="s">
        <v>6940</v>
      </c>
      <c r="K6720" s="3" t="s">
        <v>223</v>
      </c>
    </row>
    <row r="6721" ht="15.6" spans="4:11">
      <c r="D6721" s="4">
        <v>5389</v>
      </c>
      <c r="E6721" s="4" t="s">
        <v>223</v>
      </c>
      <c r="J6721" s="3" t="s">
        <v>6941</v>
      </c>
      <c r="K6721" s="3" t="s">
        <v>223</v>
      </c>
    </row>
    <row r="6722" ht="15.6" spans="4:11">
      <c r="D6722" s="4">
        <v>5390</v>
      </c>
      <c r="E6722" s="4" t="s">
        <v>223</v>
      </c>
      <c r="J6722" s="3" t="s">
        <v>6942</v>
      </c>
      <c r="K6722" s="3" t="s">
        <v>223</v>
      </c>
    </row>
    <row r="6723" ht="15.6" spans="4:11">
      <c r="D6723" s="4">
        <v>5391</v>
      </c>
      <c r="E6723" s="4" t="s">
        <v>223</v>
      </c>
      <c r="J6723" s="3" t="s">
        <v>6943</v>
      </c>
      <c r="K6723" s="3" t="s">
        <v>223</v>
      </c>
    </row>
    <row r="6724" ht="15.6" spans="4:11">
      <c r="D6724" s="4">
        <v>5392</v>
      </c>
      <c r="E6724" s="4" t="s">
        <v>223</v>
      </c>
      <c r="J6724" s="3" t="s">
        <v>6944</v>
      </c>
      <c r="K6724" s="3" t="s">
        <v>223</v>
      </c>
    </row>
    <row r="6725" ht="15.6" spans="4:11">
      <c r="D6725" s="4">
        <v>5393</v>
      </c>
      <c r="E6725" s="4" t="s">
        <v>223</v>
      </c>
      <c r="J6725" s="3" t="s">
        <v>6945</v>
      </c>
      <c r="K6725" s="3" t="s">
        <v>223</v>
      </c>
    </row>
    <row r="6726" ht="15.6" spans="4:11">
      <c r="D6726" s="4">
        <v>5394</v>
      </c>
      <c r="E6726" s="4" t="s">
        <v>223</v>
      </c>
      <c r="J6726" s="3" t="s">
        <v>6946</v>
      </c>
      <c r="K6726" s="3" t="s">
        <v>223</v>
      </c>
    </row>
    <row r="6727" ht="15.6" spans="4:11">
      <c r="D6727" s="4">
        <v>5395</v>
      </c>
      <c r="E6727" s="4" t="s">
        <v>223</v>
      </c>
      <c r="J6727" s="3" t="s">
        <v>6947</v>
      </c>
      <c r="K6727" s="3" t="s">
        <v>223</v>
      </c>
    </row>
    <row r="6728" ht="15.6" spans="4:11">
      <c r="D6728" s="4">
        <v>5396</v>
      </c>
      <c r="E6728" s="4" t="s">
        <v>223</v>
      </c>
      <c r="J6728" s="3" t="s">
        <v>6948</v>
      </c>
      <c r="K6728" s="3" t="s">
        <v>223</v>
      </c>
    </row>
    <row r="6729" ht="15.6" spans="4:11">
      <c r="D6729" s="4">
        <v>5397</v>
      </c>
      <c r="E6729" s="4" t="s">
        <v>223</v>
      </c>
      <c r="J6729" s="3" t="s">
        <v>6949</v>
      </c>
      <c r="K6729" s="3" t="s">
        <v>223</v>
      </c>
    </row>
    <row r="6730" ht="15.6" spans="4:11">
      <c r="D6730" s="4">
        <v>5398</v>
      </c>
      <c r="E6730" s="4" t="s">
        <v>223</v>
      </c>
      <c r="J6730" s="3" t="s">
        <v>6950</v>
      </c>
      <c r="K6730" s="3" t="s">
        <v>223</v>
      </c>
    </row>
    <row r="6731" ht="15.6" spans="4:11">
      <c r="D6731" s="4">
        <v>5399</v>
      </c>
      <c r="E6731" s="4" t="s">
        <v>223</v>
      </c>
      <c r="J6731" s="3" t="s">
        <v>6951</v>
      </c>
      <c r="K6731" s="3" t="s">
        <v>223</v>
      </c>
    </row>
    <row r="6732" ht="15.6" spans="4:11">
      <c r="D6732" s="4">
        <v>5400</v>
      </c>
      <c r="E6732" s="4" t="s">
        <v>223</v>
      </c>
      <c r="J6732" s="3" t="s">
        <v>6952</v>
      </c>
      <c r="K6732" s="3" t="s">
        <v>223</v>
      </c>
    </row>
    <row r="6733" ht="15.6" spans="4:11">
      <c r="D6733" s="4">
        <v>5401</v>
      </c>
      <c r="E6733" s="4" t="s">
        <v>223</v>
      </c>
      <c r="J6733" s="3" t="s">
        <v>6953</v>
      </c>
      <c r="K6733" s="3" t="s">
        <v>223</v>
      </c>
    </row>
    <row r="6734" ht="15.6" spans="4:11">
      <c r="D6734" s="4">
        <v>5402</v>
      </c>
      <c r="E6734" s="4" t="s">
        <v>223</v>
      </c>
      <c r="J6734" s="3" t="s">
        <v>6954</v>
      </c>
      <c r="K6734" s="3" t="s">
        <v>223</v>
      </c>
    </row>
    <row r="6735" ht="15.6" spans="4:11">
      <c r="D6735" s="4">
        <v>5403</v>
      </c>
      <c r="E6735" s="4" t="s">
        <v>223</v>
      </c>
      <c r="J6735" s="3" t="s">
        <v>6955</v>
      </c>
      <c r="K6735" s="3" t="s">
        <v>223</v>
      </c>
    </row>
    <row r="6736" ht="15.6" spans="4:11">
      <c r="D6736" s="4">
        <v>5404</v>
      </c>
      <c r="E6736" s="4" t="s">
        <v>223</v>
      </c>
      <c r="J6736" s="3" t="s">
        <v>6956</v>
      </c>
      <c r="K6736" s="3" t="s">
        <v>223</v>
      </c>
    </row>
    <row r="6737" ht="15.6" spans="4:11">
      <c r="D6737" s="4">
        <v>5405</v>
      </c>
      <c r="E6737" s="4" t="s">
        <v>223</v>
      </c>
      <c r="J6737" s="3" t="s">
        <v>6957</v>
      </c>
      <c r="K6737" s="3" t="s">
        <v>223</v>
      </c>
    </row>
    <row r="6738" ht="15.6" spans="4:11">
      <c r="D6738" s="4">
        <v>5406</v>
      </c>
      <c r="E6738" s="4" t="s">
        <v>223</v>
      </c>
      <c r="J6738" s="3" t="s">
        <v>6958</v>
      </c>
      <c r="K6738" s="3" t="s">
        <v>223</v>
      </c>
    </row>
    <row r="6739" ht="15.6" spans="4:11">
      <c r="D6739" s="4">
        <v>5407</v>
      </c>
      <c r="E6739" s="4" t="s">
        <v>223</v>
      </c>
      <c r="J6739" s="3" t="s">
        <v>6959</v>
      </c>
      <c r="K6739" s="3" t="s">
        <v>223</v>
      </c>
    </row>
    <row r="6740" ht="15.6" spans="4:11">
      <c r="D6740" s="4">
        <v>5408</v>
      </c>
      <c r="E6740" s="4" t="s">
        <v>223</v>
      </c>
      <c r="J6740" s="3" t="s">
        <v>6960</v>
      </c>
      <c r="K6740" s="3" t="s">
        <v>223</v>
      </c>
    </row>
    <row r="6741" ht="15.6" spans="4:11">
      <c r="D6741" s="4">
        <v>5409</v>
      </c>
      <c r="E6741" s="4" t="s">
        <v>223</v>
      </c>
      <c r="J6741" s="3" t="s">
        <v>6961</v>
      </c>
      <c r="K6741" s="3" t="s">
        <v>223</v>
      </c>
    </row>
    <row r="6742" ht="15.6" spans="4:11">
      <c r="D6742" s="4">
        <v>5410</v>
      </c>
      <c r="E6742" s="4" t="s">
        <v>223</v>
      </c>
      <c r="J6742" s="3" t="s">
        <v>6962</v>
      </c>
      <c r="K6742" s="3" t="s">
        <v>223</v>
      </c>
    </row>
    <row r="6743" ht="15.6" spans="4:11">
      <c r="D6743" s="4">
        <v>5411</v>
      </c>
      <c r="E6743" s="4" t="s">
        <v>223</v>
      </c>
      <c r="J6743" s="3" t="s">
        <v>6963</v>
      </c>
      <c r="K6743" s="3" t="s">
        <v>223</v>
      </c>
    </row>
    <row r="6744" ht="15.6" spans="4:11">
      <c r="D6744" s="4">
        <v>5412</v>
      </c>
      <c r="E6744" s="4" t="s">
        <v>223</v>
      </c>
      <c r="J6744" s="3" t="s">
        <v>6964</v>
      </c>
      <c r="K6744" s="3" t="s">
        <v>223</v>
      </c>
    </row>
    <row r="6745" ht="15.6" spans="4:11">
      <c r="D6745" s="4">
        <v>5413</v>
      </c>
      <c r="E6745" s="4" t="s">
        <v>223</v>
      </c>
      <c r="J6745" s="3" t="s">
        <v>6965</v>
      </c>
      <c r="K6745" s="3" t="s">
        <v>223</v>
      </c>
    </row>
    <row r="6746" ht="15.6" spans="4:11">
      <c r="D6746" s="4">
        <v>5414</v>
      </c>
      <c r="E6746" s="4" t="s">
        <v>223</v>
      </c>
      <c r="J6746" s="3" t="s">
        <v>6966</v>
      </c>
      <c r="K6746" s="3" t="s">
        <v>223</v>
      </c>
    </row>
    <row r="6747" ht="15.6" spans="4:11">
      <c r="D6747" s="4">
        <v>5415</v>
      </c>
      <c r="E6747" s="4" t="s">
        <v>223</v>
      </c>
      <c r="J6747" s="3" t="s">
        <v>6967</v>
      </c>
      <c r="K6747" s="3" t="s">
        <v>223</v>
      </c>
    </row>
    <row r="6748" ht="15.6" spans="4:11">
      <c r="D6748" s="4">
        <v>5416</v>
      </c>
      <c r="E6748" s="4" t="s">
        <v>223</v>
      </c>
      <c r="J6748" s="3" t="s">
        <v>6968</v>
      </c>
      <c r="K6748" s="3" t="s">
        <v>223</v>
      </c>
    </row>
    <row r="6749" ht="15.6" spans="4:11">
      <c r="D6749" s="4">
        <v>5417</v>
      </c>
      <c r="E6749" s="4" t="s">
        <v>223</v>
      </c>
      <c r="J6749" s="3" t="s">
        <v>6969</v>
      </c>
      <c r="K6749" s="3" t="s">
        <v>223</v>
      </c>
    </row>
    <row r="6750" ht="15.6" spans="4:11">
      <c r="D6750" s="4">
        <v>5418</v>
      </c>
      <c r="E6750" s="4" t="s">
        <v>223</v>
      </c>
      <c r="J6750" s="3" t="s">
        <v>6970</v>
      </c>
      <c r="K6750" s="3" t="s">
        <v>223</v>
      </c>
    </row>
    <row r="6751" ht="15.6" spans="4:11">
      <c r="D6751" s="4">
        <v>5419</v>
      </c>
      <c r="E6751" s="4" t="s">
        <v>223</v>
      </c>
      <c r="J6751" s="3" t="s">
        <v>6971</v>
      </c>
      <c r="K6751" s="3" t="s">
        <v>223</v>
      </c>
    </row>
    <row r="6752" ht="15.6" spans="4:11">
      <c r="D6752" s="4">
        <v>5420</v>
      </c>
      <c r="E6752" s="4" t="s">
        <v>223</v>
      </c>
      <c r="J6752" s="3" t="s">
        <v>6972</v>
      </c>
      <c r="K6752" s="3" t="s">
        <v>223</v>
      </c>
    </row>
    <row r="6753" ht="15.6" spans="4:11">
      <c r="D6753" s="4">
        <v>5421</v>
      </c>
      <c r="E6753" s="4" t="s">
        <v>223</v>
      </c>
      <c r="J6753" s="3" t="s">
        <v>6973</v>
      </c>
      <c r="K6753" s="3" t="s">
        <v>223</v>
      </c>
    </row>
    <row r="6754" ht="15.6" spans="4:11">
      <c r="D6754" s="4">
        <v>5422</v>
      </c>
      <c r="E6754" s="4" t="s">
        <v>223</v>
      </c>
      <c r="J6754" s="3" t="s">
        <v>6974</v>
      </c>
      <c r="K6754" s="3" t="s">
        <v>223</v>
      </c>
    </row>
    <row r="6755" ht="15.6" spans="4:11">
      <c r="D6755" s="4">
        <v>5423</v>
      </c>
      <c r="E6755" s="4" t="s">
        <v>223</v>
      </c>
      <c r="J6755" s="3" t="s">
        <v>6975</v>
      </c>
      <c r="K6755" s="3" t="s">
        <v>223</v>
      </c>
    </row>
    <row r="6756" ht="15.6" spans="4:11">
      <c r="D6756" s="4">
        <v>5424</v>
      </c>
      <c r="E6756" s="4" t="s">
        <v>223</v>
      </c>
      <c r="J6756" s="3" t="s">
        <v>6976</v>
      </c>
      <c r="K6756" s="3" t="s">
        <v>223</v>
      </c>
    </row>
    <row r="6757" ht="15.6" spans="4:11">
      <c r="D6757" s="4">
        <v>5425</v>
      </c>
      <c r="E6757" s="4" t="s">
        <v>223</v>
      </c>
      <c r="J6757" s="3" t="s">
        <v>6977</v>
      </c>
      <c r="K6757" s="3" t="s">
        <v>223</v>
      </c>
    </row>
    <row r="6758" ht="15.6" spans="4:11">
      <c r="D6758" s="4">
        <v>5426</v>
      </c>
      <c r="E6758" s="4" t="s">
        <v>223</v>
      </c>
      <c r="J6758" s="3" t="s">
        <v>6978</v>
      </c>
      <c r="K6758" s="3" t="s">
        <v>223</v>
      </c>
    </row>
    <row r="6759" ht="15.6" spans="4:11">
      <c r="D6759" s="4">
        <v>5427</v>
      </c>
      <c r="E6759" s="4" t="s">
        <v>223</v>
      </c>
      <c r="J6759" s="3" t="s">
        <v>6979</v>
      </c>
      <c r="K6759" s="3" t="s">
        <v>223</v>
      </c>
    </row>
    <row r="6760" ht="15.6" spans="4:11">
      <c r="D6760" s="4">
        <v>5428</v>
      </c>
      <c r="E6760" s="4" t="s">
        <v>223</v>
      </c>
      <c r="J6760" s="3" t="s">
        <v>6980</v>
      </c>
      <c r="K6760" s="3" t="s">
        <v>223</v>
      </c>
    </row>
    <row r="6761" ht="15.6" spans="4:11">
      <c r="D6761" s="4">
        <v>5429</v>
      </c>
      <c r="E6761" s="4" t="s">
        <v>223</v>
      </c>
      <c r="J6761" s="3" t="s">
        <v>6981</v>
      </c>
      <c r="K6761" s="3" t="s">
        <v>223</v>
      </c>
    </row>
    <row r="6762" ht="15.6" spans="4:11">
      <c r="D6762" s="4">
        <v>5430</v>
      </c>
      <c r="E6762" s="4" t="s">
        <v>223</v>
      </c>
      <c r="J6762" s="3" t="s">
        <v>6982</v>
      </c>
      <c r="K6762" s="3" t="s">
        <v>223</v>
      </c>
    </row>
    <row r="6763" ht="15.6" spans="4:11">
      <c r="D6763" s="4">
        <v>5431</v>
      </c>
      <c r="E6763" s="4" t="s">
        <v>223</v>
      </c>
      <c r="J6763" s="3" t="s">
        <v>6983</v>
      </c>
      <c r="K6763" s="3" t="s">
        <v>223</v>
      </c>
    </row>
    <row r="6764" ht="15.6" spans="4:11">
      <c r="D6764" s="4">
        <v>5432</v>
      </c>
      <c r="E6764" s="4" t="s">
        <v>223</v>
      </c>
      <c r="J6764" s="3" t="s">
        <v>6984</v>
      </c>
      <c r="K6764" s="3" t="s">
        <v>223</v>
      </c>
    </row>
    <row r="6765" ht="15.6" spans="4:11">
      <c r="D6765" s="4">
        <v>5433</v>
      </c>
      <c r="E6765" s="4" t="s">
        <v>223</v>
      </c>
      <c r="J6765" s="3" t="s">
        <v>6985</v>
      </c>
      <c r="K6765" s="3" t="s">
        <v>223</v>
      </c>
    </row>
    <row r="6766" ht="15.6" spans="4:11">
      <c r="D6766" s="4">
        <v>5434</v>
      </c>
      <c r="E6766" s="4" t="s">
        <v>223</v>
      </c>
      <c r="J6766" s="3" t="s">
        <v>6986</v>
      </c>
      <c r="K6766" s="3" t="s">
        <v>223</v>
      </c>
    </row>
    <row r="6767" ht="15.6" spans="4:11">
      <c r="D6767" s="4">
        <v>5435</v>
      </c>
      <c r="E6767" s="4" t="s">
        <v>223</v>
      </c>
      <c r="J6767" s="3" t="s">
        <v>6987</v>
      </c>
      <c r="K6767" s="3" t="s">
        <v>223</v>
      </c>
    </row>
    <row r="6768" ht="15.6" spans="4:11">
      <c r="D6768" s="4">
        <v>5436</v>
      </c>
      <c r="E6768" s="4" t="s">
        <v>223</v>
      </c>
      <c r="J6768" s="3" t="s">
        <v>6988</v>
      </c>
      <c r="K6768" s="3" t="s">
        <v>223</v>
      </c>
    </row>
    <row r="6769" ht="15.6" spans="4:11">
      <c r="D6769" s="4">
        <v>5437</v>
      </c>
      <c r="E6769" s="4" t="s">
        <v>223</v>
      </c>
      <c r="J6769" s="3" t="s">
        <v>6989</v>
      </c>
      <c r="K6769" s="3" t="s">
        <v>223</v>
      </c>
    </row>
    <row r="6770" ht="15.6" spans="4:11">
      <c r="D6770" s="4">
        <v>5438</v>
      </c>
      <c r="E6770" s="4" t="s">
        <v>223</v>
      </c>
      <c r="J6770" s="3" t="s">
        <v>6990</v>
      </c>
      <c r="K6770" s="3" t="s">
        <v>223</v>
      </c>
    </row>
    <row r="6771" ht="15.6" spans="4:11">
      <c r="D6771" s="4">
        <v>5439</v>
      </c>
      <c r="E6771" s="4" t="s">
        <v>223</v>
      </c>
      <c r="J6771" s="3" t="s">
        <v>6991</v>
      </c>
      <c r="K6771" s="3" t="s">
        <v>223</v>
      </c>
    </row>
    <row r="6772" ht="15.6" spans="4:11">
      <c r="D6772" s="4">
        <v>5440</v>
      </c>
      <c r="E6772" s="4" t="s">
        <v>223</v>
      </c>
      <c r="J6772" s="3" t="s">
        <v>6992</v>
      </c>
      <c r="K6772" s="3" t="s">
        <v>223</v>
      </c>
    </row>
    <row r="6773" ht="15.6" spans="4:11">
      <c r="D6773" s="4">
        <v>5441</v>
      </c>
      <c r="E6773" s="4" t="s">
        <v>223</v>
      </c>
      <c r="J6773" s="3" t="s">
        <v>6993</v>
      </c>
      <c r="K6773" s="3" t="s">
        <v>223</v>
      </c>
    </row>
    <row r="6774" ht="15.6" spans="4:11">
      <c r="D6774" s="4">
        <v>5442</v>
      </c>
      <c r="E6774" s="4" t="s">
        <v>223</v>
      </c>
      <c r="J6774" s="3" t="s">
        <v>6994</v>
      </c>
      <c r="K6774" s="3" t="s">
        <v>223</v>
      </c>
    </row>
    <row r="6775" ht="15.6" spans="4:11">
      <c r="D6775" s="4">
        <v>5443</v>
      </c>
      <c r="E6775" s="4" t="s">
        <v>223</v>
      </c>
      <c r="J6775" s="3" t="s">
        <v>6995</v>
      </c>
      <c r="K6775" s="3" t="s">
        <v>223</v>
      </c>
    </row>
    <row r="6776" ht="15.6" spans="4:11">
      <c r="D6776" s="4">
        <v>5444</v>
      </c>
      <c r="E6776" s="4" t="s">
        <v>223</v>
      </c>
      <c r="J6776" s="3" t="s">
        <v>6996</v>
      </c>
      <c r="K6776" s="3" t="s">
        <v>223</v>
      </c>
    </row>
    <row r="6777" ht="15.6" spans="4:11">
      <c r="D6777" s="4">
        <v>5445</v>
      </c>
      <c r="E6777" s="4" t="s">
        <v>223</v>
      </c>
      <c r="J6777" s="3" t="s">
        <v>6997</v>
      </c>
      <c r="K6777" s="3" t="s">
        <v>223</v>
      </c>
    </row>
    <row r="6778" ht="15.6" spans="4:11">
      <c r="D6778" s="4">
        <v>5446</v>
      </c>
      <c r="E6778" s="4" t="s">
        <v>223</v>
      </c>
      <c r="J6778" s="3" t="s">
        <v>6998</v>
      </c>
      <c r="K6778" s="3" t="s">
        <v>223</v>
      </c>
    </row>
    <row r="6779" ht="15.6" spans="4:11">
      <c r="D6779" s="4">
        <v>5447</v>
      </c>
      <c r="E6779" s="4" t="s">
        <v>223</v>
      </c>
      <c r="J6779" s="3" t="s">
        <v>6999</v>
      </c>
      <c r="K6779" s="3" t="s">
        <v>223</v>
      </c>
    </row>
    <row r="6780" ht="15.6" spans="4:11">
      <c r="D6780" s="4">
        <v>5448</v>
      </c>
      <c r="E6780" s="4" t="s">
        <v>223</v>
      </c>
      <c r="J6780" s="3" t="s">
        <v>7000</v>
      </c>
      <c r="K6780" s="3" t="s">
        <v>223</v>
      </c>
    </row>
    <row r="6781" ht="15.6" spans="4:11">
      <c r="D6781" s="4">
        <v>5449</v>
      </c>
      <c r="E6781" s="4" t="s">
        <v>223</v>
      </c>
      <c r="J6781" s="3" t="s">
        <v>7001</v>
      </c>
      <c r="K6781" s="3" t="s">
        <v>223</v>
      </c>
    </row>
    <row r="6782" ht="15.6" spans="4:11">
      <c r="D6782" s="4">
        <v>5450</v>
      </c>
      <c r="E6782" s="4" t="s">
        <v>223</v>
      </c>
      <c r="J6782" s="3" t="s">
        <v>7002</v>
      </c>
      <c r="K6782" s="3" t="s">
        <v>223</v>
      </c>
    </row>
    <row r="6783" ht="15.6" spans="4:11">
      <c r="D6783" s="4">
        <v>5451</v>
      </c>
      <c r="E6783" s="4" t="s">
        <v>223</v>
      </c>
      <c r="J6783" s="3" t="s">
        <v>7003</v>
      </c>
      <c r="K6783" s="3" t="s">
        <v>223</v>
      </c>
    </row>
    <row r="6784" ht="15.6" spans="4:11">
      <c r="D6784" s="4">
        <v>5452</v>
      </c>
      <c r="E6784" s="4" t="s">
        <v>223</v>
      </c>
      <c r="J6784" s="3" t="s">
        <v>7004</v>
      </c>
      <c r="K6784" s="3" t="s">
        <v>223</v>
      </c>
    </row>
    <row r="6785" ht="15.6" spans="4:11">
      <c r="D6785" s="4">
        <v>5453</v>
      </c>
      <c r="E6785" s="4" t="s">
        <v>223</v>
      </c>
      <c r="J6785" s="3" t="s">
        <v>7005</v>
      </c>
      <c r="K6785" s="3" t="s">
        <v>223</v>
      </c>
    </row>
    <row r="6786" ht="15.6" spans="4:11">
      <c r="D6786" s="4">
        <v>5454</v>
      </c>
      <c r="E6786" s="4" t="s">
        <v>223</v>
      </c>
      <c r="J6786" s="3" t="s">
        <v>7006</v>
      </c>
      <c r="K6786" s="3" t="s">
        <v>223</v>
      </c>
    </row>
    <row r="6787" ht="15.6" spans="4:11">
      <c r="D6787" s="4">
        <v>5455</v>
      </c>
      <c r="E6787" s="4" t="s">
        <v>223</v>
      </c>
      <c r="J6787" s="3" t="s">
        <v>7007</v>
      </c>
      <c r="K6787" s="3" t="s">
        <v>223</v>
      </c>
    </row>
    <row r="6788" ht="15.6" spans="4:11">
      <c r="D6788" s="4">
        <v>5456</v>
      </c>
      <c r="E6788" s="4" t="s">
        <v>223</v>
      </c>
      <c r="J6788" s="3" t="s">
        <v>7008</v>
      </c>
      <c r="K6788" s="3" t="s">
        <v>223</v>
      </c>
    </row>
    <row r="6789" ht="15.6" spans="4:11">
      <c r="D6789" s="4">
        <v>5457</v>
      </c>
      <c r="E6789" s="4" t="s">
        <v>223</v>
      </c>
      <c r="J6789" s="3" t="s">
        <v>7009</v>
      </c>
      <c r="K6789" s="3" t="s">
        <v>223</v>
      </c>
    </row>
    <row r="6790" ht="15.6" spans="4:11">
      <c r="D6790" s="4">
        <v>5458</v>
      </c>
      <c r="E6790" s="4" t="s">
        <v>223</v>
      </c>
      <c r="J6790" s="3" t="s">
        <v>7010</v>
      </c>
      <c r="K6790" s="3" t="s">
        <v>223</v>
      </c>
    </row>
    <row r="6791" ht="15.6" spans="4:11">
      <c r="D6791" s="4">
        <v>5459</v>
      </c>
      <c r="E6791" s="4" t="s">
        <v>223</v>
      </c>
      <c r="J6791" s="3" t="s">
        <v>7011</v>
      </c>
      <c r="K6791" s="3" t="s">
        <v>223</v>
      </c>
    </row>
    <row r="6792" ht="15.6" spans="4:11">
      <c r="D6792" s="4">
        <v>5460</v>
      </c>
      <c r="E6792" s="4" t="s">
        <v>223</v>
      </c>
      <c r="J6792" s="3" t="s">
        <v>7012</v>
      </c>
      <c r="K6792" s="3" t="s">
        <v>223</v>
      </c>
    </row>
    <row r="6793" ht="15.6" spans="4:11">
      <c r="D6793" s="4">
        <v>5461</v>
      </c>
      <c r="E6793" s="4" t="s">
        <v>223</v>
      </c>
      <c r="J6793" s="3" t="s">
        <v>7013</v>
      </c>
      <c r="K6793" s="3" t="s">
        <v>223</v>
      </c>
    </row>
    <row r="6794" ht="15.6" spans="4:11">
      <c r="D6794" s="4">
        <v>5462</v>
      </c>
      <c r="E6794" s="4" t="s">
        <v>223</v>
      </c>
      <c r="J6794" s="3" t="s">
        <v>7014</v>
      </c>
      <c r="K6794" s="3" t="s">
        <v>223</v>
      </c>
    </row>
    <row r="6795" ht="15.6" spans="4:11">
      <c r="D6795" s="4">
        <v>5463</v>
      </c>
      <c r="E6795" s="4" t="s">
        <v>223</v>
      </c>
      <c r="J6795" s="3" t="s">
        <v>7015</v>
      </c>
      <c r="K6795" s="3" t="s">
        <v>223</v>
      </c>
    </row>
    <row r="6796" ht="15.6" spans="4:11">
      <c r="D6796" s="4">
        <v>5464</v>
      </c>
      <c r="E6796" s="4" t="s">
        <v>223</v>
      </c>
      <c r="J6796" s="3" t="s">
        <v>7016</v>
      </c>
      <c r="K6796" s="3" t="s">
        <v>223</v>
      </c>
    </row>
    <row r="6797" ht="15.6" spans="4:11">
      <c r="D6797" s="4">
        <v>5465</v>
      </c>
      <c r="E6797" s="4" t="s">
        <v>223</v>
      </c>
      <c r="J6797" s="3" t="s">
        <v>7017</v>
      </c>
      <c r="K6797" s="3" t="s">
        <v>223</v>
      </c>
    </row>
    <row r="6798" ht="15.6" spans="4:11">
      <c r="D6798" s="4">
        <v>5466</v>
      </c>
      <c r="E6798" s="4" t="s">
        <v>223</v>
      </c>
      <c r="J6798" s="3" t="s">
        <v>7018</v>
      </c>
      <c r="K6798" s="3" t="s">
        <v>223</v>
      </c>
    </row>
    <row r="6799" ht="15.6" spans="4:11">
      <c r="D6799" s="4">
        <v>5467</v>
      </c>
      <c r="E6799" s="4" t="s">
        <v>223</v>
      </c>
      <c r="J6799" s="3" t="s">
        <v>7019</v>
      </c>
      <c r="K6799" s="3" t="s">
        <v>223</v>
      </c>
    </row>
    <row r="6800" ht="15.6" spans="4:11">
      <c r="D6800" s="4">
        <v>5468</v>
      </c>
      <c r="E6800" s="4" t="s">
        <v>223</v>
      </c>
      <c r="J6800" s="3" t="s">
        <v>7020</v>
      </c>
      <c r="K6800" s="3" t="s">
        <v>223</v>
      </c>
    </row>
    <row r="6801" ht="15.6" spans="4:11">
      <c r="D6801" s="4">
        <v>5469</v>
      </c>
      <c r="E6801" s="4" t="s">
        <v>223</v>
      </c>
      <c r="J6801" s="3" t="s">
        <v>7021</v>
      </c>
      <c r="K6801" s="3" t="s">
        <v>223</v>
      </c>
    </row>
    <row r="6802" ht="15.6" spans="4:11">
      <c r="D6802" s="4">
        <v>5470</v>
      </c>
      <c r="E6802" s="4" t="s">
        <v>223</v>
      </c>
      <c r="J6802" s="3" t="s">
        <v>7022</v>
      </c>
      <c r="K6802" s="3" t="s">
        <v>223</v>
      </c>
    </row>
    <row r="6803" ht="15.6" spans="4:11">
      <c r="D6803" s="4">
        <v>5471</v>
      </c>
      <c r="E6803" s="4" t="s">
        <v>223</v>
      </c>
      <c r="J6803" s="3" t="s">
        <v>7023</v>
      </c>
      <c r="K6803" s="3" t="s">
        <v>223</v>
      </c>
    </row>
    <row r="6804" ht="15.6" spans="4:11">
      <c r="D6804" s="4">
        <v>5472</v>
      </c>
      <c r="E6804" s="4" t="s">
        <v>223</v>
      </c>
      <c r="J6804" s="3" t="s">
        <v>7024</v>
      </c>
      <c r="K6804" s="3" t="s">
        <v>223</v>
      </c>
    </row>
    <row r="6805" ht="15.6" spans="4:11">
      <c r="D6805" s="4">
        <v>5473</v>
      </c>
      <c r="E6805" s="4" t="s">
        <v>223</v>
      </c>
      <c r="J6805" s="3" t="s">
        <v>7025</v>
      </c>
      <c r="K6805" s="3" t="s">
        <v>223</v>
      </c>
    </row>
    <row r="6806" ht="15.6" spans="4:11">
      <c r="D6806" s="4">
        <v>5474</v>
      </c>
      <c r="E6806" s="4" t="s">
        <v>223</v>
      </c>
      <c r="J6806" s="3" t="s">
        <v>7026</v>
      </c>
      <c r="K6806" s="3" t="s">
        <v>223</v>
      </c>
    </row>
    <row r="6807" ht="15.6" spans="4:11">
      <c r="D6807" s="4">
        <v>5475</v>
      </c>
      <c r="E6807" s="4" t="s">
        <v>223</v>
      </c>
      <c r="J6807" s="3" t="s">
        <v>7027</v>
      </c>
      <c r="K6807" s="3" t="s">
        <v>223</v>
      </c>
    </row>
    <row r="6808" ht="15.6" spans="4:11">
      <c r="D6808" s="4">
        <v>5476</v>
      </c>
      <c r="E6808" s="4" t="s">
        <v>223</v>
      </c>
      <c r="J6808" s="3" t="s">
        <v>7028</v>
      </c>
      <c r="K6808" s="3" t="s">
        <v>223</v>
      </c>
    </row>
    <row r="6809" ht="15.6" spans="4:11">
      <c r="D6809" s="4">
        <v>5477</v>
      </c>
      <c r="E6809" s="4" t="s">
        <v>223</v>
      </c>
      <c r="J6809" s="3" t="s">
        <v>7029</v>
      </c>
      <c r="K6809" s="3" t="s">
        <v>223</v>
      </c>
    </row>
    <row r="6810" ht="15.6" spans="4:11">
      <c r="D6810" s="4">
        <v>5478</v>
      </c>
      <c r="E6810" s="4" t="s">
        <v>223</v>
      </c>
      <c r="J6810" s="3" t="s">
        <v>7030</v>
      </c>
      <c r="K6810" s="3" t="s">
        <v>223</v>
      </c>
    </row>
    <row r="6811" ht="15.6" spans="4:11">
      <c r="D6811" s="4">
        <v>5479</v>
      </c>
      <c r="E6811" s="4" t="s">
        <v>223</v>
      </c>
      <c r="J6811" s="3" t="s">
        <v>7031</v>
      </c>
      <c r="K6811" s="3" t="s">
        <v>223</v>
      </c>
    </row>
    <row r="6812" ht="15.6" spans="4:11">
      <c r="D6812" s="4">
        <v>5480</v>
      </c>
      <c r="E6812" s="4" t="s">
        <v>223</v>
      </c>
      <c r="J6812" s="3" t="s">
        <v>7032</v>
      </c>
      <c r="K6812" s="3" t="s">
        <v>223</v>
      </c>
    </row>
    <row r="6813" ht="15.6" spans="4:11">
      <c r="D6813" s="4">
        <v>5481</v>
      </c>
      <c r="E6813" s="4" t="s">
        <v>223</v>
      </c>
      <c r="J6813" s="3" t="s">
        <v>7033</v>
      </c>
      <c r="K6813" s="3" t="s">
        <v>223</v>
      </c>
    </row>
    <row r="6814" ht="15.6" spans="4:11">
      <c r="D6814" s="4">
        <v>5482</v>
      </c>
      <c r="E6814" s="4" t="s">
        <v>223</v>
      </c>
      <c r="J6814" s="3" t="s">
        <v>7034</v>
      </c>
      <c r="K6814" s="3" t="s">
        <v>223</v>
      </c>
    </row>
    <row r="6815" ht="15.6" spans="4:11">
      <c r="D6815" s="4">
        <v>5483</v>
      </c>
      <c r="E6815" s="4" t="s">
        <v>223</v>
      </c>
      <c r="J6815" s="3" t="s">
        <v>7035</v>
      </c>
      <c r="K6815" s="3" t="s">
        <v>223</v>
      </c>
    </row>
    <row r="6816" ht="15.6" spans="4:11">
      <c r="D6816" s="4">
        <v>5484</v>
      </c>
      <c r="E6816" s="4" t="s">
        <v>223</v>
      </c>
      <c r="J6816" s="3" t="s">
        <v>7036</v>
      </c>
      <c r="K6816" s="3" t="s">
        <v>223</v>
      </c>
    </row>
    <row r="6817" ht="15.6" spans="4:11">
      <c r="D6817" s="4">
        <v>5485</v>
      </c>
      <c r="E6817" s="4" t="s">
        <v>223</v>
      </c>
      <c r="J6817" s="3" t="s">
        <v>7037</v>
      </c>
      <c r="K6817" s="3" t="s">
        <v>223</v>
      </c>
    </row>
    <row r="6818" ht="15.6" spans="4:11">
      <c r="D6818" s="4">
        <v>5486</v>
      </c>
      <c r="E6818" s="4" t="s">
        <v>223</v>
      </c>
      <c r="J6818" s="3" t="s">
        <v>7038</v>
      </c>
      <c r="K6818" s="3" t="s">
        <v>223</v>
      </c>
    </row>
    <row r="6819" ht="15.6" spans="4:11">
      <c r="D6819" s="4">
        <v>5487</v>
      </c>
      <c r="E6819" s="4" t="s">
        <v>223</v>
      </c>
      <c r="J6819" s="3" t="s">
        <v>7039</v>
      </c>
      <c r="K6819" s="3" t="s">
        <v>223</v>
      </c>
    </row>
    <row r="6820" ht="15.6" spans="4:11">
      <c r="D6820" s="4">
        <v>5488</v>
      </c>
      <c r="E6820" s="4" t="s">
        <v>223</v>
      </c>
      <c r="J6820" s="3" t="s">
        <v>7040</v>
      </c>
      <c r="K6820" s="3" t="s">
        <v>223</v>
      </c>
    </row>
    <row r="6821" ht="15.6" spans="4:11">
      <c r="D6821" s="4">
        <v>5489</v>
      </c>
      <c r="E6821" s="4" t="s">
        <v>223</v>
      </c>
      <c r="J6821" s="3" t="s">
        <v>7041</v>
      </c>
      <c r="K6821" s="3" t="s">
        <v>223</v>
      </c>
    </row>
    <row r="6822" ht="15.6" spans="4:11">
      <c r="D6822" s="4">
        <v>5490</v>
      </c>
      <c r="E6822" s="4" t="s">
        <v>223</v>
      </c>
      <c r="J6822" s="3" t="s">
        <v>7042</v>
      </c>
      <c r="K6822" s="3" t="s">
        <v>223</v>
      </c>
    </row>
    <row r="6823" ht="15.6" spans="4:11">
      <c r="D6823" s="4">
        <v>5491</v>
      </c>
      <c r="E6823" s="4" t="s">
        <v>223</v>
      </c>
      <c r="J6823" s="3" t="s">
        <v>7043</v>
      </c>
      <c r="K6823" s="3" t="s">
        <v>223</v>
      </c>
    </row>
    <row r="6824" ht="15.6" spans="4:11">
      <c r="D6824" s="4">
        <v>5492</v>
      </c>
      <c r="E6824" s="4" t="s">
        <v>223</v>
      </c>
      <c r="J6824" s="3" t="s">
        <v>7044</v>
      </c>
      <c r="K6824" s="3" t="s">
        <v>223</v>
      </c>
    </row>
    <row r="6825" ht="15.6" spans="4:11">
      <c r="D6825" s="4">
        <v>5493</v>
      </c>
      <c r="E6825" s="4" t="s">
        <v>223</v>
      </c>
      <c r="J6825" s="3" t="s">
        <v>7045</v>
      </c>
      <c r="K6825" s="3" t="s">
        <v>223</v>
      </c>
    </row>
    <row r="6826" ht="15.6" spans="4:11">
      <c r="D6826" s="4">
        <v>5494</v>
      </c>
      <c r="E6826" s="4" t="s">
        <v>223</v>
      </c>
      <c r="J6826" s="3" t="s">
        <v>7046</v>
      </c>
      <c r="K6826" s="3" t="s">
        <v>223</v>
      </c>
    </row>
    <row r="6827" ht="15.6" spans="4:11">
      <c r="D6827" s="4">
        <v>5495</v>
      </c>
      <c r="E6827" s="4" t="s">
        <v>223</v>
      </c>
      <c r="J6827" s="3" t="s">
        <v>7047</v>
      </c>
      <c r="K6827" s="3" t="s">
        <v>223</v>
      </c>
    </row>
    <row r="6828" ht="15.6" spans="4:11">
      <c r="D6828" s="4">
        <v>5496</v>
      </c>
      <c r="E6828" s="4" t="s">
        <v>223</v>
      </c>
      <c r="J6828" s="3" t="s">
        <v>7048</v>
      </c>
      <c r="K6828" s="3" t="s">
        <v>223</v>
      </c>
    </row>
    <row r="6829" ht="15.6" spans="4:11">
      <c r="D6829" s="4">
        <v>5497</v>
      </c>
      <c r="E6829" s="4" t="s">
        <v>223</v>
      </c>
      <c r="J6829" s="3" t="s">
        <v>7049</v>
      </c>
      <c r="K6829" s="3" t="s">
        <v>223</v>
      </c>
    </row>
    <row r="6830" ht="15.6" spans="4:11">
      <c r="D6830" s="4">
        <v>5498</v>
      </c>
      <c r="E6830" s="4" t="s">
        <v>223</v>
      </c>
      <c r="J6830" s="3" t="s">
        <v>7050</v>
      </c>
      <c r="K6830" s="3" t="s">
        <v>223</v>
      </c>
    </row>
    <row r="6831" ht="15.6" spans="4:11">
      <c r="D6831" s="4">
        <v>5499</v>
      </c>
      <c r="E6831" s="4" t="s">
        <v>223</v>
      </c>
      <c r="J6831" s="3" t="s">
        <v>7051</v>
      </c>
      <c r="K6831" s="3" t="s">
        <v>223</v>
      </c>
    </row>
    <row r="6832" ht="15.6" spans="4:11">
      <c r="D6832" s="4">
        <v>5500</v>
      </c>
      <c r="E6832" s="4" t="s">
        <v>223</v>
      </c>
      <c r="J6832" s="3" t="s">
        <v>7052</v>
      </c>
      <c r="K6832" s="3" t="s">
        <v>223</v>
      </c>
    </row>
    <row r="6833" ht="15.6" spans="4:11">
      <c r="D6833" s="4">
        <v>5501</v>
      </c>
      <c r="E6833" s="4" t="s">
        <v>223</v>
      </c>
      <c r="J6833" s="3" t="s">
        <v>7053</v>
      </c>
      <c r="K6833" s="3" t="s">
        <v>223</v>
      </c>
    </row>
    <row r="6834" ht="15.6" spans="4:11">
      <c r="D6834" s="4">
        <v>5502</v>
      </c>
      <c r="E6834" s="4" t="s">
        <v>223</v>
      </c>
      <c r="J6834" s="3" t="s">
        <v>7054</v>
      </c>
      <c r="K6834" s="3" t="s">
        <v>223</v>
      </c>
    </row>
    <row r="6835" ht="15.6" spans="4:11">
      <c r="D6835" s="4">
        <v>5503</v>
      </c>
      <c r="E6835" s="4" t="s">
        <v>223</v>
      </c>
      <c r="J6835" s="3" t="s">
        <v>7055</v>
      </c>
      <c r="K6835" s="3" t="s">
        <v>223</v>
      </c>
    </row>
    <row r="6836" ht="15.6" spans="4:11">
      <c r="D6836" s="4">
        <v>5504</v>
      </c>
      <c r="E6836" s="4" t="s">
        <v>223</v>
      </c>
      <c r="J6836" s="3" t="s">
        <v>7056</v>
      </c>
      <c r="K6836" s="3" t="s">
        <v>223</v>
      </c>
    </row>
    <row r="6837" ht="15.6" spans="4:11">
      <c r="D6837" s="4">
        <v>5505</v>
      </c>
      <c r="E6837" s="4" t="s">
        <v>223</v>
      </c>
      <c r="J6837" s="3" t="s">
        <v>7057</v>
      </c>
      <c r="K6837" s="3" t="s">
        <v>223</v>
      </c>
    </row>
    <row r="6838" ht="15.6" spans="4:11">
      <c r="D6838" s="4">
        <v>5506</v>
      </c>
      <c r="E6838" s="4" t="s">
        <v>223</v>
      </c>
      <c r="J6838" s="3" t="s">
        <v>7058</v>
      </c>
      <c r="K6838" s="3" t="s">
        <v>223</v>
      </c>
    </row>
    <row r="6839" ht="15.6" spans="4:11">
      <c r="D6839" s="4">
        <v>5507</v>
      </c>
      <c r="E6839" s="4" t="s">
        <v>223</v>
      </c>
      <c r="J6839" s="3" t="s">
        <v>7059</v>
      </c>
      <c r="K6839" s="3" t="s">
        <v>223</v>
      </c>
    </row>
    <row r="6840" ht="15.6" spans="4:11">
      <c r="D6840" s="4">
        <v>5508</v>
      </c>
      <c r="E6840" s="4" t="s">
        <v>223</v>
      </c>
      <c r="J6840" s="3" t="s">
        <v>7060</v>
      </c>
      <c r="K6840" s="3" t="s">
        <v>223</v>
      </c>
    </row>
    <row r="6841" ht="15.6" spans="4:11">
      <c r="D6841" s="4">
        <v>5509</v>
      </c>
      <c r="E6841" s="4" t="s">
        <v>223</v>
      </c>
      <c r="J6841" s="3" t="s">
        <v>7061</v>
      </c>
      <c r="K6841" s="3" t="s">
        <v>223</v>
      </c>
    </row>
    <row r="6842" ht="15.6" spans="4:11">
      <c r="D6842" s="4">
        <v>5510</v>
      </c>
      <c r="E6842" s="4" t="s">
        <v>223</v>
      </c>
      <c r="J6842" s="3" t="s">
        <v>7062</v>
      </c>
      <c r="K6842" s="3" t="s">
        <v>223</v>
      </c>
    </row>
    <row r="6843" ht="15.6" spans="4:11">
      <c r="D6843" s="4">
        <v>5511</v>
      </c>
      <c r="E6843" s="4" t="s">
        <v>223</v>
      </c>
      <c r="J6843" s="3" t="s">
        <v>7063</v>
      </c>
      <c r="K6843" s="3" t="s">
        <v>223</v>
      </c>
    </row>
    <row r="6844" ht="15.6" spans="4:11">
      <c r="D6844" s="4">
        <v>5512</v>
      </c>
      <c r="E6844" s="4" t="s">
        <v>223</v>
      </c>
      <c r="J6844" s="3" t="s">
        <v>7064</v>
      </c>
      <c r="K6844" s="3" t="s">
        <v>223</v>
      </c>
    </row>
    <row r="6845" ht="15.6" spans="4:11">
      <c r="D6845" s="4">
        <v>5513</v>
      </c>
      <c r="E6845" s="4" t="s">
        <v>223</v>
      </c>
      <c r="J6845" s="3" t="s">
        <v>7065</v>
      </c>
      <c r="K6845" s="3" t="s">
        <v>223</v>
      </c>
    </row>
    <row r="6846" ht="15.6" spans="4:11">
      <c r="D6846" s="4">
        <v>5514</v>
      </c>
      <c r="E6846" s="4" t="s">
        <v>223</v>
      </c>
      <c r="J6846" s="3" t="s">
        <v>7066</v>
      </c>
      <c r="K6846" s="3" t="s">
        <v>223</v>
      </c>
    </row>
    <row r="6847" ht="15.6" spans="4:11">
      <c r="D6847" s="4">
        <v>5515</v>
      </c>
      <c r="E6847" s="4" t="s">
        <v>223</v>
      </c>
      <c r="J6847" s="3" t="s">
        <v>7067</v>
      </c>
      <c r="K6847" s="3" t="s">
        <v>223</v>
      </c>
    </row>
    <row r="6848" ht="15.6" spans="4:11">
      <c r="D6848" s="4">
        <v>5516</v>
      </c>
      <c r="E6848" s="4" t="s">
        <v>223</v>
      </c>
      <c r="J6848" s="3" t="s">
        <v>7068</v>
      </c>
      <c r="K6848" s="3" t="s">
        <v>223</v>
      </c>
    </row>
    <row r="6849" ht="15.6" spans="4:11">
      <c r="D6849" s="4">
        <v>5517</v>
      </c>
      <c r="E6849" s="4" t="s">
        <v>223</v>
      </c>
      <c r="J6849" s="3" t="s">
        <v>7069</v>
      </c>
      <c r="K6849" s="3" t="s">
        <v>223</v>
      </c>
    </row>
    <row r="6850" ht="15.6" spans="4:11">
      <c r="D6850" s="4">
        <v>5518</v>
      </c>
      <c r="E6850" s="4" t="s">
        <v>223</v>
      </c>
      <c r="J6850" s="3" t="s">
        <v>7070</v>
      </c>
      <c r="K6850" s="3" t="s">
        <v>223</v>
      </c>
    </row>
    <row r="6851" ht="15.6" spans="4:11">
      <c r="D6851" s="4">
        <v>5519</v>
      </c>
      <c r="E6851" s="4" t="s">
        <v>223</v>
      </c>
      <c r="J6851" s="3" t="s">
        <v>7071</v>
      </c>
      <c r="K6851" s="3" t="s">
        <v>223</v>
      </c>
    </row>
    <row r="6852" ht="15.6" spans="4:11">
      <c r="D6852" s="4">
        <v>5520</v>
      </c>
      <c r="E6852" s="4" t="s">
        <v>223</v>
      </c>
      <c r="J6852" s="3" t="s">
        <v>7072</v>
      </c>
      <c r="K6852" s="3" t="s">
        <v>223</v>
      </c>
    </row>
    <row r="6853" ht="15.6" spans="4:11">
      <c r="D6853" s="4">
        <v>5521</v>
      </c>
      <c r="E6853" s="4" t="s">
        <v>223</v>
      </c>
      <c r="J6853" s="3" t="s">
        <v>7073</v>
      </c>
      <c r="K6853" s="3" t="s">
        <v>223</v>
      </c>
    </row>
    <row r="6854" ht="15.6" spans="4:11">
      <c r="D6854" s="4">
        <v>5522</v>
      </c>
      <c r="E6854" s="4" t="s">
        <v>223</v>
      </c>
      <c r="J6854" s="3" t="s">
        <v>7074</v>
      </c>
      <c r="K6854" s="3" t="s">
        <v>223</v>
      </c>
    </row>
    <row r="6855" ht="15.6" spans="4:11">
      <c r="D6855" s="4">
        <v>5523</v>
      </c>
      <c r="E6855" s="4" t="s">
        <v>223</v>
      </c>
      <c r="J6855" s="3" t="s">
        <v>7075</v>
      </c>
      <c r="K6855" s="3" t="s">
        <v>223</v>
      </c>
    </row>
    <row r="6856" ht="15.6" spans="4:11">
      <c r="D6856" s="4">
        <v>5524</v>
      </c>
      <c r="E6856" s="4" t="s">
        <v>223</v>
      </c>
      <c r="J6856" s="3" t="s">
        <v>7076</v>
      </c>
      <c r="K6856" s="3" t="s">
        <v>223</v>
      </c>
    </row>
    <row r="6857" ht="15.6" spans="4:11">
      <c r="D6857" s="4">
        <v>5525</v>
      </c>
      <c r="E6857" s="4" t="s">
        <v>223</v>
      </c>
      <c r="J6857" s="3" t="s">
        <v>7077</v>
      </c>
      <c r="K6857" s="3" t="s">
        <v>223</v>
      </c>
    </row>
    <row r="6858" ht="15.6" spans="4:11">
      <c r="D6858" s="4">
        <v>5526</v>
      </c>
      <c r="E6858" s="4" t="s">
        <v>223</v>
      </c>
      <c r="J6858" s="3" t="s">
        <v>7078</v>
      </c>
      <c r="K6858" s="3" t="s">
        <v>223</v>
      </c>
    </row>
    <row r="6859" ht="15.6" spans="4:11">
      <c r="D6859" s="4">
        <v>5527</v>
      </c>
      <c r="E6859" s="4" t="s">
        <v>223</v>
      </c>
      <c r="J6859" s="3" t="s">
        <v>7079</v>
      </c>
      <c r="K6859" s="3" t="s">
        <v>223</v>
      </c>
    </row>
    <row r="6860" ht="15.6" spans="4:11">
      <c r="D6860" s="4">
        <v>5528</v>
      </c>
      <c r="E6860" s="4" t="s">
        <v>223</v>
      </c>
      <c r="J6860" s="3" t="s">
        <v>7080</v>
      </c>
      <c r="K6860" s="3" t="s">
        <v>223</v>
      </c>
    </row>
    <row r="6861" ht="15.6" spans="4:11">
      <c r="D6861" s="4">
        <v>5529</v>
      </c>
      <c r="E6861" s="4" t="s">
        <v>223</v>
      </c>
      <c r="J6861" s="3" t="s">
        <v>7081</v>
      </c>
      <c r="K6861" s="3" t="s">
        <v>223</v>
      </c>
    </row>
    <row r="6862" ht="15.6" spans="4:11">
      <c r="D6862" s="4">
        <v>5530</v>
      </c>
      <c r="E6862" s="4" t="s">
        <v>223</v>
      </c>
      <c r="J6862" s="3" t="s">
        <v>7082</v>
      </c>
      <c r="K6862" s="3" t="s">
        <v>223</v>
      </c>
    </row>
    <row r="6863" ht="15.6" spans="4:11">
      <c r="D6863" s="4">
        <v>5531</v>
      </c>
      <c r="E6863" s="4" t="s">
        <v>223</v>
      </c>
      <c r="J6863" s="3" t="s">
        <v>7083</v>
      </c>
      <c r="K6863" s="3" t="s">
        <v>223</v>
      </c>
    </row>
    <row r="6864" ht="15.6" spans="4:11">
      <c r="D6864" s="4">
        <v>5532</v>
      </c>
      <c r="E6864" s="4" t="s">
        <v>223</v>
      </c>
      <c r="J6864" s="3" t="s">
        <v>7084</v>
      </c>
      <c r="K6864" s="3" t="s">
        <v>223</v>
      </c>
    </row>
    <row r="6865" ht="15.6" spans="4:11">
      <c r="D6865" s="4">
        <v>5533</v>
      </c>
      <c r="E6865" s="4" t="s">
        <v>223</v>
      </c>
      <c r="J6865" s="3" t="s">
        <v>7085</v>
      </c>
      <c r="K6865" s="3" t="s">
        <v>223</v>
      </c>
    </row>
    <row r="6866" ht="15.6" spans="4:11">
      <c r="D6866" s="4">
        <v>5534</v>
      </c>
      <c r="E6866" s="4" t="s">
        <v>223</v>
      </c>
      <c r="J6866" s="3" t="s">
        <v>7086</v>
      </c>
      <c r="K6866" s="3" t="s">
        <v>223</v>
      </c>
    </row>
    <row r="6867" ht="15.6" spans="4:11">
      <c r="D6867" s="4">
        <v>5535</v>
      </c>
      <c r="E6867" s="4" t="s">
        <v>223</v>
      </c>
      <c r="J6867" s="3" t="s">
        <v>7087</v>
      </c>
      <c r="K6867" s="3" t="s">
        <v>223</v>
      </c>
    </row>
    <row r="6868" ht="15.6" spans="4:11">
      <c r="D6868" s="4">
        <v>5536</v>
      </c>
      <c r="E6868" s="4" t="s">
        <v>223</v>
      </c>
      <c r="J6868" s="3" t="s">
        <v>7088</v>
      </c>
      <c r="K6868" s="3" t="s">
        <v>223</v>
      </c>
    </row>
    <row r="6869" ht="15.6" spans="4:11">
      <c r="D6869" s="4">
        <v>5537</v>
      </c>
      <c r="E6869" s="4" t="s">
        <v>223</v>
      </c>
      <c r="J6869" s="3" t="s">
        <v>7089</v>
      </c>
      <c r="K6869" s="3" t="s">
        <v>223</v>
      </c>
    </row>
    <row r="6870" ht="15.6" spans="4:11">
      <c r="D6870" s="4">
        <v>5538</v>
      </c>
      <c r="E6870" s="4" t="s">
        <v>223</v>
      </c>
      <c r="J6870" s="3" t="s">
        <v>7090</v>
      </c>
      <c r="K6870" s="3" t="s">
        <v>223</v>
      </c>
    </row>
    <row r="6871" ht="15.6" spans="4:11">
      <c r="D6871" s="4">
        <v>5539</v>
      </c>
      <c r="E6871" s="4" t="s">
        <v>223</v>
      </c>
      <c r="J6871" s="3" t="s">
        <v>7091</v>
      </c>
      <c r="K6871" s="3" t="s">
        <v>223</v>
      </c>
    </row>
    <row r="6872" ht="15.6" spans="4:11">
      <c r="D6872" s="4">
        <v>5540</v>
      </c>
      <c r="E6872" s="4" t="s">
        <v>223</v>
      </c>
      <c r="J6872" s="3" t="s">
        <v>7092</v>
      </c>
      <c r="K6872" s="3" t="s">
        <v>223</v>
      </c>
    </row>
    <row r="6873" ht="15.6" spans="4:11">
      <c r="D6873" s="4">
        <v>5541</v>
      </c>
      <c r="E6873" s="4" t="s">
        <v>223</v>
      </c>
      <c r="J6873" s="3" t="s">
        <v>7093</v>
      </c>
      <c r="K6873" s="3" t="s">
        <v>223</v>
      </c>
    </row>
    <row r="6874" ht="15.6" spans="4:11">
      <c r="D6874" s="4">
        <v>5542</v>
      </c>
      <c r="E6874" s="4" t="s">
        <v>223</v>
      </c>
      <c r="J6874" s="3" t="s">
        <v>7094</v>
      </c>
      <c r="K6874" s="3" t="s">
        <v>223</v>
      </c>
    </row>
    <row r="6875" ht="15.6" spans="4:11">
      <c r="D6875" s="4">
        <v>5543</v>
      </c>
      <c r="E6875" s="4" t="s">
        <v>223</v>
      </c>
      <c r="J6875" s="3" t="s">
        <v>7095</v>
      </c>
      <c r="K6875" s="3" t="s">
        <v>223</v>
      </c>
    </row>
    <row r="6876" ht="15.6" spans="4:11">
      <c r="D6876" s="4">
        <v>5544</v>
      </c>
      <c r="E6876" s="4" t="s">
        <v>223</v>
      </c>
      <c r="J6876" s="3" t="s">
        <v>7096</v>
      </c>
      <c r="K6876" s="3" t="s">
        <v>223</v>
      </c>
    </row>
    <row r="6877" ht="15.6" spans="4:11">
      <c r="D6877" s="4">
        <v>5545</v>
      </c>
      <c r="E6877" s="4" t="s">
        <v>223</v>
      </c>
      <c r="J6877" s="3" t="s">
        <v>7097</v>
      </c>
      <c r="K6877" s="3" t="s">
        <v>223</v>
      </c>
    </row>
    <row r="6878" ht="15.6" spans="4:11">
      <c r="D6878" s="4">
        <v>5546</v>
      </c>
      <c r="E6878" s="4" t="s">
        <v>223</v>
      </c>
      <c r="J6878" s="3" t="s">
        <v>7098</v>
      </c>
      <c r="K6878" s="3" t="s">
        <v>223</v>
      </c>
    </row>
    <row r="6879" ht="15.6" spans="4:11">
      <c r="D6879" s="4">
        <v>5547</v>
      </c>
      <c r="E6879" s="4" t="s">
        <v>223</v>
      </c>
      <c r="J6879" s="3" t="s">
        <v>7099</v>
      </c>
      <c r="K6879" s="3" t="s">
        <v>223</v>
      </c>
    </row>
    <row r="6880" ht="15.6" spans="4:11">
      <c r="D6880" s="4">
        <v>5548</v>
      </c>
      <c r="E6880" s="4" t="s">
        <v>223</v>
      </c>
      <c r="J6880" s="3" t="s">
        <v>7100</v>
      </c>
      <c r="K6880" s="3" t="s">
        <v>223</v>
      </c>
    </row>
    <row r="6881" ht="15.6" spans="4:11">
      <c r="D6881" s="4">
        <v>5549</v>
      </c>
      <c r="E6881" s="4" t="s">
        <v>223</v>
      </c>
      <c r="J6881" s="3" t="s">
        <v>7101</v>
      </c>
      <c r="K6881" s="3" t="s">
        <v>223</v>
      </c>
    </row>
    <row r="6882" ht="15.6" spans="4:11">
      <c r="D6882" s="4">
        <v>5550</v>
      </c>
      <c r="E6882" s="4" t="s">
        <v>223</v>
      </c>
      <c r="J6882" s="3" t="s">
        <v>7102</v>
      </c>
      <c r="K6882" s="3" t="s">
        <v>223</v>
      </c>
    </row>
    <row r="6883" ht="15.6" spans="4:11">
      <c r="D6883" s="4">
        <v>5551</v>
      </c>
      <c r="E6883" s="4" t="s">
        <v>223</v>
      </c>
      <c r="J6883" s="3" t="s">
        <v>7103</v>
      </c>
      <c r="K6883" s="3" t="s">
        <v>223</v>
      </c>
    </row>
    <row r="6884" ht="15.6" spans="4:11">
      <c r="D6884" s="4">
        <v>5552</v>
      </c>
      <c r="E6884" s="4" t="s">
        <v>223</v>
      </c>
      <c r="J6884" s="3" t="s">
        <v>7104</v>
      </c>
      <c r="K6884" s="3" t="s">
        <v>223</v>
      </c>
    </row>
    <row r="6885" ht="15.6" spans="4:11">
      <c r="D6885" s="4">
        <v>5553</v>
      </c>
      <c r="E6885" s="4" t="s">
        <v>223</v>
      </c>
      <c r="J6885" s="3" t="s">
        <v>7105</v>
      </c>
      <c r="K6885" s="3" t="s">
        <v>223</v>
      </c>
    </row>
    <row r="6886" ht="15.6" spans="4:11">
      <c r="D6886" s="4">
        <v>5554</v>
      </c>
      <c r="E6886" s="4" t="s">
        <v>223</v>
      </c>
      <c r="J6886" s="3" t="s">
        <v>7106</v>
      </c>
      <c r="K6886" s="3" t="s">
        <v>223</v>
      </c>
    </row>
    <row r="6887" ht="15.6" spans="4:11">
      <c r="D6887" s="4">
        <v>5555</v>
      </c>
      <c r="E6887" s="4" t="s">
        <v>223</v>
      </c>
      <c r="J6887" s="3" t="s">
        <v>7107</v>
      </c>
      <c r="K6887" s="3" t="s">
        <v>223</v>
      </c>
    </row>
    <row r="6888" ht="15.6" spans="4:11">
      <c r="D6888" s="4">
        <v>5556</v>
      </c>
      <c r="E6888" s="4" t="s">
        <v>223</v>
      </c>
      <c r="J6888" s="3" t="s">
        <v>7108</v>
      </c>
      <c r="K6888" s="3" t="s">
        <v>223</v>
      </c>
    </row>
    <row r="6889" ht="15.6" spans="4:11">
      <c r="D6889" s="4">
        <v>5557</v>
      </c>
      <c r="E6889" s="4" t="s">
        <v>223</v>
      </c>
      <c r="J6889" s="3" t="s">
        <v>7109</v>
      </c>
      <c r="K6889" s="3" t="s">
        <v>223</v>
      </c>
    </row>
    <row r="6890" ht="15.6" spans="4:11">
      <c r="D6890" s="4">
        <v>5558</v>
      </c>
      <c r="E6890" s="4" t="s">
        <v>223</v>
      </c>
      <c r="J6890" s="3" t="s">
        <v>7110</v>
      </c>
      <c r="K6890" s="3" t="s">
        <v>223</v>
      </c>
    </row>
    <row r="6891" ht="15.6" spans="4:11">
      <c r="D6891" s="4">
        <v>5559</v>
      </c>
      <c r="E6891" s="4" t="s">
        <v>223</v>
      </c>
      <c r="J6891" s="3" t="s">
        <v>7111</v>
      </c>
      <c r="K6891" s="3" t="s">
        <v>223</v>
      </c>
    </row>
    <row r="6892" ht="15.6" spans="4:11">
      <c r="D6892" s="4">
        <v>5560</v>
      </c>
      <c r="E6892" s="4" t="s">
        <v>223</v>
      </c>
      <c r="J6892" s="3" t="s">
        <v>7112</v>
      </c>
      <c r="K6892" s="3" t="s">
        <v>223</v>
      </c>
    </row>
    <row r="6893" ht="15.6" spans="4:11">
      <c r="D6893" s="4">
        <v>5561</v>
      </c>
      <c r="E6893" s="4" t="s">
        <v>223</v>
      </c>
      <c r="J6893" s="3" t="s">
        <v>7113</v>
      </c>
      <c r="K6893" s="3" t="s">
        <v>223</v>
      </c>
    </row>
    <row r="6894" ht="15.6" spans="4:11">
      <c r="D6894" s="4">
        <v>5562</v>
      </c>
      <c r="E6894" s="4" t="s">
        <v>223</v>
      </c>
      <c r="J6894" s="3" t="s">
        <v>7114</v>
      </c>
      <c r="K6894" s="3" t="s">
        <v>223</v>
      </c>
    </row>
    <row r="6895" ht="15.6" spans="4:11">
      <c r="D6895" s="4">
        <v>5563</v>
      </c>
      <c r="E6895" s="4" t="s">
        <v>223</v>
      </c>
      <c r="J6895" s="3" t="s">
        <v>7115</v>
      </c>
      <c r="K6895" s="3" t="s">
        <v>223</v>
      </c>
    </row>
    <row r="6896" ht="15.6" spans="4:11">
      <c r="D6896" s="4">
        <v>5564</v>
      </c>
      <c r="E6896" s="4" t="s">
        <v>223</v>
      </c>
      <c r="J6896" s="3" t="s">
        <v>7116</v>
      </c>
      <c r="K6896" s="3" t="s">
        <v>223</v>
      </c>
    </row>
    <row r="6897" ht="15.6" spans="4:11">
      <c r="D6897" s="4">
        <v>5565</v>
      </c>
      <c r="E6897" s="4" t="s">
        <v>223</v>
      </c>
      <c r="J6897" s="3" t="s">
        <v>7117</v>
      </c>
      <c r="K6897" s="3" t="s">
        <v>223</v>
      </c>
    </row>
    <row r="6898" ht="15.6" spans="4:11">
      <c r="D6898" s="4">
        <v>5566</v>
      </c>
      <c r="E6898" s="4" t="s">
        <v>223</v>
      </c>
      <c r="J6898" s="3" t="s">
        <v>7118</v>
      </c>
      <c r="K6898" s="3" t="s">
        <v>223</v>
      </c>
    </row>
    <row r="6899" ht="15.6" spans="4:11">
      <c r="D6899" s="4">
        <v>5567</v>
      </c>
      <c r="E6899" s="4" t="s">
        <v>223</v>
      </c>
      <c r="J6899" s="3" t="s">
        <v>7119</v>
      </c>
      <c r="K6899" s="3" t="s">
        <v>223</v>
      </c>
    </row>
    <row r="6900" ht="15.6" spans="4:11">
      <c r="D6900" s="4">
        <v>5568</v>
      </c>
      <c r="E6900" s="4" t="s">
        <v>223</v>
      </c>
      <c r="J6900" s="3" t="s">
        <v>7120</v>
      </c>
      <c r="K6900" s="3" t="s">
        <v>223</v>
      </c>
    </row>
    <row r="6901" ht="15.6" spans="4:11">
      <c r="D6901" s="4">
        <v>5569</v>
      </c>
      <c r="E6901" s="4" t="s">
        <v>223</v>
      </c>
      <c r="J6901" s="3" t="s">
        <v>7121</v>
      </c>
      <c r="K6901" s="3" t="s">
        <v>223</v>
      </c>
    </row>
    <row r="6902" ht="15.6" spans="4:11">
      <c r="D6902" s="4">
        <v>5570</v>
      </c>
      <c r="E6902" s="4" t="s">
        <v>223</v>
      </c>
      <c r="J6902" s="3" t="s">
        <v>7122</v>
      </c>
      <c r="K6902" s="3" t="s">
        <v>223</v>
      </c>
    </row>
    <row r="6903" ht="15.6" spans="4:11">
      <c r="D6903" s="4">
        <v>5571</v>
      </c>
      <c r="E6903" s="4" t="s">
        <v>223</v>
      </c>
      <c r="J6903" s="3" t="s">
        <v>7123</v>
      </c>
      <c r="K6903" s="3" t="s">
        <v>223</v>
      </c>
    </row>
    <row r="6904" ht="15.6" spans="4:11">
      <c r="D6904" s="4">
        <v>5572</v>
      </c>
      <c r="E6904" s="4" t="s">
        <v>223</v>
      </c>
      <c r="J6904" s="3" t="s">
        <v>7124</v>
      </c>
      <c r="K6904" s="3" t="s">
        <v>223</v>
      </c>
    </row>
    <row r="6905" ht="15.6" spans="4:11">
      <c r="D6905" s="4">
        <v>5573</v>
      </c>
      <c r="E6905" s="4" t="s">
        <v>223</v>
      </c>
      <c r="J6905" s="3" t="s">
        <v>7125</v>
      </c>
      <c r="K6905" s="3" t="s">
        <v>223</v>
      </c>
    </row>
    <row r="6906" ht="15.6" spans="4:11">
      <c r="D6906" s="4">
        <v>5574</v>
      </c>
      <c r="E6906" s="4" t="s">
        <v>223</v>
      </c>
      <c r="J6906" s="3" t="s">
        <v>7126</v>
      </c>
      <c r="K6906" s="3" t="s">
        <v>223</v>
      </c>
    </row>
    <row r="6907" ht="15.6" spans="4:11">
      <c r="D6907" s="4">
        <v>5575</v>
      </c>
      <c r="E6907" s="4" t="s">
        <v>223</v>
      </c>
      <c r="J6907" s="3" t="s">
        <v>7127</v>
      </c>
      <c r="K6907" s="3" t="s">
        <v>223</v>
      </c>
    </row>
    <row r="6908" ht="15.6" spans="4:11">
      <c r="D6908" s="4">
        <v>5576</v>
      </c>
      <c r="E6908" s="4" t="s">
        <v>223</v>
      </c>
      <c r="J6908" s="3" t="s">
        <v>7128</v>
      </c>
      <c r="K6908" s="3" t="s">
        <v>223</v>
      </c>
    </row>
    <row r="6909" ht="15.6" spans="4:11">
      <c r="D6909" s="4">
        <v>5577</v>
      </c>
      <c r="E6909" s="4" t="s">
        <v>223</v>
      </c>
      <c r="J6909" s="3" t="s">
        <v>7129</v>
      </c>
      <c r="K6909" s="3" t="s">
        <v>223</v>
      </c>
    </row>
    <row r="6910" ht="15.6" spans="4:11">
      <c r="D6910" s="4">
        <v>5578</v>
      </c>
      <c r="E6910" s="4" t="s">
        <v>223</v>
      </c>
      <c r="J6910" s="3" t="s">
        <v>7130</v>
      </c>
      <c r="K6910" s="3" t="s">
        <v>223</v>
      </c>
    </row>
    <row r="6911" ht="15.6" spans="4:11">
      <c r="D6911" s="4">
        <v>5579</v>
      </c>
      <c r="E6911" s="4" t="s">
        <v>223</v>
      </c>
      <c r="J6911" s="3" t="s">
        <v>7131</v>
      </c>
      <c r="K6911" s="3" t="s">
        <v>223</v>
      </c>
    </row>
    <row r="6912" ht="15.6" spans="4:11">
      <c r="D6912" s="4">
        <v>5580</v>
      </c>
      <c r="E6912" s="4" t="s">
        <v>223</v>
      </c>
      <c r="J6912" s="3" t="s">
        <v>7132</v>
      </c>
      <c r="K6912" s="3" t="s">
        <v>223</v>
      </c>
    </row>
    <row r="6913" ht="15.6" spans="4:11">
      <c r="D6913" s="4">
        <v>5581</v>
      </c>
      <c r="E6913" s="4" t="s">
        <v>223</v>
      </c>
      <c r="J6913" s="3" t="s">
        <v>7133</v>
      </c>
      <c r="K6913" s="3" t="s">
        <v>223</v>
      </c>
    </row>
    <row r="6914" ht="15.6" spans="4:11">
      <c r="D6914" s="4">
        <v>5582</v>
      </c>
      <c r="E6914" s="4" t="s">
        <v>223</v>
      </c>
      <c r="J6914" s="3" t="s">
        <v>7134</v>
      </c>
      <c r="K6914" s="3" t="s">
        <v>223</v>
      </c>
    </row>
    <row r="6915" ht="15.6" spans="4:11">
      <c r="D6915" s="4">
        <v>5583</v>
      </c>
      <c r="E6915" s="4" t="s">
        <v>223</v>
      </c>
      <c r="J6915" s="3" t="s">
        <v>7135</v>
      </c>
      <c r="K6915" s="3" t="s">
        <v>223</v>
      </c>
    </row>
    <row r="6916" ht="15.6" spans="4:11">
      <c r="D6916" s="4">
        <v>5584</v>
      </c>
      <c r="E6916" s="4" t="s">
        <v>223</v>
      </c>
      <c r="J6916" s="3" t="s">
        <v>7136</v>
      </c>
      <c r="K6916" s="3" t="s">
        <v>223</v>
      </c>
    </row>
    <row r="6917" ht="15.6" spans="4:11">
      <c r="D6917" s="4">
        <v>5585</v>
      </c>
      <c r="E6917" s="4" t="s">
        <v>223</v>
      </c>
      <c r="J6917" s="3" t="s">
        <v>7137</v>
      </c>
      <c r="K6917" s="3" t="s">
        <v>223</v>
      </c>
    </row>
    <row r="6918" ht="15.6" spans="4:11">
      <c r="D6918" s="4">
        <v>5586</v>
      </c>
      <c r="E6918" s="4" t="s">
        <v>223</v>
      </c>
      <c r="J6918" s="3" t="s">
        <v>7138</v>
      </c>
      <c r="K6918" s="3" t="s">
        <v>223</v>
      </c>
    </row>
    <row r="6919" ht="15.6" spans="4:11">
      <c r="D6919" s="4">
        <v>5587</v>
      </c>
      <c r="E6919" s="4" t="s">
        <v>223</v>
      </c>
      <c r="J6919" s="3" t="s">
        <v>7139</v>
      </c>
      <c r="K6919" s="3" t="s">
        <v>223</v>
      </c>
    </row>
    <row r="6920" ht="15.6" spans="4:11">
      <c r="D6920" s="4">
        <v>5588</v>
      </c>
      <c r="E6920" s="4" t="s">
        <v>223</v>
      </c>
      <c r="J6920" s="3" t="s">
        <v>7140</v>
      </c>
      <c r="K6920" s="3" t="s">
        <v>223</v>
      </c>
    </row>
    <row r="6921" ht="15.6" spans="4:11">
      <c r="D6921" s="4">
        <v>5589</v>
      </c>
      <c r="E6921" s="4" t="s">
        <v>223</v>
      </c>
      <c r="J6921" s="3" t="s">
        <v>7141</v>
      </c>
      <c r="K6921" s="3" t="s">
        <v>223</v>
      </c>
    </row>
    <row r="6922" ht="15.6" spans="4:11">
      <c r="D6922" s="4">
        <v>5590</v>
      </c>
      <c r="E6922" s="4" t="s">
        <v>223</v>
      </c>
      <c r="J6922" s="3" t="s">
        <v>7142</v>
      </c>
      <c r="K6922" s="3" t="s">
        <v>223</v>
      </c>
    </row>
    <row r="6923" ht="15.6" spans="4:11">
      <c r="D6923" s="4">
        <v>5591</v>
      </c>
      <c r="E6923" s="4" t="s">
        <v>223</v>
      </c>
      <c r="J6923" s="3" t="s">
        <v>7143</v>
      </c>
      <c r="K6923" s="3" t="s">
        <v>223</v>
      </c>
    </row>
    <row r="6924" ht="15.6" spans="4:11">
      <c r="D6924" s="4">
        <v>5592</v>
      </c>
      <c r="E6924" s="4" t="s">
        <v>223</v>
      </c>
      <c r="J6924" s="3" t="s">
        <v>7144</v>
      </c>
      <c r="K6924" s="3" t="s">
        <v>223</v>
      </c>
    </row>
    <row r="6925" ht="15.6" spans="4:11">
      <c r="D6925" s="4">
        <v>5593</v>
      </c>
      <c r="E6925" s="4" t="s">
        <v>223</v>
      </c>
      <c r="J6925" s="3" t="s">
        <v>7145</v>
      </c>
      <c r="K6925" s="3" t="s">
        <v>223</v>
      </c>
    </row>
    <row r="6926" ht="15.6" spans="4:11">
      <c r="D6926" s="4">
        <v>5594</v>
      </c>
      <c r="E6926" s="4" t="s">
        <v>223</v>
      </c>
      <c r="J6926" s="3" t="s">
        <v>7146</v>
      </c>
      <c r="K6926" s="3" t="s">
        <v>223</v>
      </c>
    </row>
    <row r="6927" ht="15.6" spans="4:11">
      <c r="D6927" s="4">
        <v>5595</v>
      </c>
      <c r="E6927" s="4" t="s">
        <v>223</v>
      </c>
      <c r="J6927" s="3" t="s">
        <v>7147</v>
      </c>
      <c r="K6927" s="3" t="s">
        <v>223</v>
      </c>
    </row>
    <row r="6928" ht="15.6" spans="4:11">
      <c r="D6928" s="4">
        <v>5596</v>
      </c>
      <c r="E6928" s="4" t="s">
        <v>223</v>
      </c>
      <c r="J6928" s="3" t="s">
        <v>7148</v>
      </c>
      <c r="K6928" s="3" t="s">
        <v>223</v>
      </c>
    </row>
    <row r="6929" ht="15.6" spans="4:11">
      <c r="D6929" s="4">
        <v>5597</v>
      </c>
      <c r="E6929" s="4" t="s">
        <v>223</v>
      </c>
      <c r="J6929" s="3" t="s">
        <v>7149</v>
      </c>
      <c r="K6929" s="3" t="s">
        <v>223</v>
      </c>
    </row>
    <row r="6930" ht="15.6" spans="4:11">
      <c r="D6930" s="4">
        <v>5598</v>
      </c>
      <c r="E6930" s="4" t="s">
        <v>223</v>
      </c>
      <c r="J6930" s="3" t="s">
        <v>7150</v>
      </c>
      <c r="K6930" s="3" t="s">
        <v>223</v>
      </c>
    </row>
    <row r="6931" ht="15.6" spans="4:11">
      <c r="D6931" s="4">
        <v>5599</v>
      </c>
      <c r="E6931" s="4" t="s">
        <v>223</v>
      </c>
      <c r="J6931" s="3" t="s">
        <v>7151</v>
      </c>
      <c r="K6931" s="3" t="s">
        <v>223</v>
      </c>
    </row>
    <row r="6932" ht="15.6" spans="4:11">
      <c r="D6932" s="4">
        <v>5600</v>
      </c>
      <c r="E6932" s="4" t="s">
        <v>223</v>
      </c>
      <c r="J6932" s="3" t="s">
        <v>7152</v>
      </c>
      <c r="K6932" s="3" t="s">
        <v>223</v>
      </c>
    </row>
    <row r="6933" ht="15.6" spans="4:11">
      <c r="D6933" s="4">
        <v>5601</v>
      </c>
      <c r="E6933" s="4" t="s">
        <v>223</v>
      </c>
      <c r="J6933" s="3" t="s">
        <v>7153</v>
      </c>
      <c r="K6933" s="3" t="s">
        <v>223</v>
      </c>
    </row>
    <row r="6934" ht="15.6" spans="4:11">
      <c r="D6934" s="4">
        <v>5602</v>
      </c>
      <c r="E6934" s="4" t="s">
        <v>223</v>
      </c>
      <c r="J6934" s="3" t="s">
        <v>7154</v>
      </c>
      <c r="K6934" s="3" t="s">
        <v>223</v>
      </c>
    </row>
    <row r="6935" ht="15.6" spans="4:11">
      <c r="D6935" s="4">
        <v>5603</v>
      </c>
      <c r="E6935" s="4" t="s">
        <v>223</v>
      </c>
      <c r="J6935" s="3" t="s">
        <v>7155</v>
      </c>
      <c r="K6935" s="3" t="s">
        <v>223</v>
      </c>
    </row>
    <row r="6936" ht="15.6" spans="4:11">
      <c r="D6936" s="4">
        <v>5604</v>
      </c>
      <c r="E6936" s="4" t="s">
        <v>223</v>
      </c>
      <c r="J6936" s="3" t="s">
        <v>7156</v>
      </c>
      <c r="K6936" s="3" t="s">
        <v>223</v>
      </c>
    </row>
    <row r="6937" ht="15.6" spans="4:11">
      <c r="D6937" s="4">
        <v>5605</v>
      </c>
      <c r="E6937" s="4" t="s">
        <v>223</v>
      </c>
      <c r="J6937" s="3" t="s">
        <v>7157</v>
      </c>
      <c r="K6937" s="3" t="s">
        <v>223</v>
      </c>
    </row>
    <row r="6938" ht="15.6" spans="4:11">
      <c r="D6938" s="4">
        <v>5606</v>
      </c>
      <c r="E6938" s="4" t="s">
        <v>223</v>
      </c>
      <c r="J6938" s="3" t="s">
        <v>7158</v>
      </c>
      <c r="K6938" s="3" t="s">
        <v>223</v>
      </c>
    </row>
    <row r="6939" ht="15.6" spans="4:11">
      <c r="D6939" s="4">
        <v>5607</v>
      </c>
      <c r="E6939" s="4" t="s">
        <v>223</v>
      </c>
      <c r="J6939" s="3" t="s">
        <v>7159</v>
      </c>
      <c r="K6939" s="3" t="s">
        <v>223</v>
      </c>
    </row>
    <row r="6940" ht="15.6" spans="4:11">
      <c r="D6940" s="4">
        <v>5608</v>
      </c>
      <c r="E6940" s="4" t="s">
        <v>223</v>
      </c>
      <c r="J6940" s="3" t="s">
        <v>7160</v>
      </c>
      <c r="K6940" s="3" t="s">
        <v>223</v>
      </c>
    </row>
    <row r="6941" ht="15.6" spans="4:11">
      <c r="D6941" s="4">
        <v>5609</v>
      </c>
      <c r="E6941" s="4" t="s">
        <v>223</v>
      </c>
      <c r="J6941" s="3" t="s">
        <v>7161</v>
      </c>
      <c r="K6941" s="3" t="s">
        <v>223</v>
      </c>
    </row>
    <row r="6942" ht="15.6" spans="4:11">
      <c r="D6942" s="4">
        <v>5610</v>
      </c>
      <c r="E6942" s="4" t="s">
        <v>223</v>
      </c>
      <c r="J6942" s="3" t="s">
        <v>7162</v>
      </c>
      <c r="K6942" s="3" t="s">
        <v>223</v>
      </c>
    </row>
    <row r="6943" ht="15.6" spans="4:11">
      <c r="D6943" s="4">
        <v>5611</v>
      </c>
      <c r="E6943" s="4" t="s">
        <v>223</v>
      </c>
      <c r="J6943" s="3" t="s">
        <v>7163</v>
      </c>
      <c r="K6943" s="3" t="s">
        <v>223</v>
      </c>
    </row>
    <row r="6944" ht="15.6" spans="4:11">
      <c r="D6944" s="4">
        <v>5612</v>
      </c>
      <c r="E6944" s="4" t="s">
        <v>223</v>
      </c>
      <c r="J6944" s="3" t="s">
        <v>7164</v>
      </c>
      <c r="K6944" s="3" t="s">
        <v>223</v>
      </c>
    </row>
    <row r="6945" ht="15.6" spans="4:11">
      <c r="D6945" s="4">
        <v>5613</v>
      </c>
      <c r="E6945" s="4" t="s">
        <v>223</v>
      </c>
      <c r="J6945" s="3" t="s">
        <v>7165</v>
      </c>
      <c r="K6945" s="3" t="s">
        <v>223</v>
      </c>
    </row>
    <row r="6946" ht="15.6" spans="4:11">
      <c r="D6946" s="4">
        <v>5614</v>
      </c>
      <c r="E6946" s="4" t="s">
        <v>223</v>
      </c>
      <c r="J6946" s="3" t="s">
        <v>7166</v>
      </c>
      <c r="K6946" s="3" t="s">
        <v>223</v>
      </c>
    </row>
    <row r="6947" ht="15.6" spans="4:11">
      <c r="D6947" s="4">
        <v>5615</v>
      </c>
      <c r="E6947" s="4" t="s">
        <v>223</v>
      </c>
      <c r="J6947" s="3" t="s">
        <v>7167</v>
      </c>
      <c r="K6947" s="3" t="s">
        <v>223</v>
      </c>
    </row>
    <row r="6948" ht="15.6" spans="4:11">
      <c r="D6948" s="4">
        <v>5616</v>
      </c>
      <c r="E6948" s="4" t="s">
        <v>223</v>
      </c>
      <c r="J6948" s="3" t="s">
        <v>7168</v>
      </c>
      <c r="K6948" s="3" t="s">
        <v>223</v>
      </c>
    </row>
    <row r="6949" ht="15.6" spans="4:11">
      <c r="D6949" s="4">
        <v>5617</v>
      </c>
      <c r="E6949" s="4" t="s">
        <v>223</v>
      </c>
      <c r="J6949" s="3" t="s">
        <v>7169</v>
      </c>
      <c r="K6949" s="3" t="s">
        <v>223</v>
      </c>
    </row>
    <row r="6950" ht="15.6" spans="4:11">
      <c r="D6950" s="4">
        <v>5618</v>
      </c>
      <c r="E6950" s="4" t="s">
        <v>223</v>
      </c>
      <c r="J6950" s="3" t="s">
        <v>7170</v>
      </c>
      <c r="K6950" s="3" t="s">
        <v>223</v>
      </c>
    </row>
    <row r="6951" ht="15.6" spans="4:11">
      <c r="D6951" s="4">
        <v>5619</v>
      </c>
      <c r="E6951" s="4" t="s">
        <v>223</v>
      </c>
      <c r="J6951" s="3" t="s">
        <v>7171</v>
      </c>
      <c r="K6951" s="3" t="s">
        <v>223</v>
      </c>
    </row>
    <row r="6952" ht="15.6" spans="4:11">
      <c r="D6952" s="4">
        <v>5620</v>
      </c>
      <c r="E6952" s="4" t="s">
        <v>223</v>
      </c>
      <c r="J6952" s="3" t="s">
        <v>7172</v>
      </c>
      <c r="K6952" s="3" t="s">
        <v>223</v>
      </c>
    </row>
    <row r="6953" ht="15.6" spans="4:11">
      <c r="D6953" s="4">
        <v>5621</v>
      </c>
      <c r="E6953" s="4" t="s">
        <v>223</v>
      </c>
      <c r="J6953" s="3" t="s">
        <v>7173</v>
      </c>
      <c r="K6953" s="3" t="s">
        <v>223</v>
      </c>
    </row>
    <row r="6954" ht="15.6" spans="4:11">
      <c r="D6954" s="4">
        <v>5622</v>
      </c>
      <c r="E6954" s="4" t="s">
        <v>223</v>
      </c>
      <c r="J6954" s="3" t="s">
        <v>7174</v>
      </c>
      <c r="K6954" s="3" t="s">
        <v>223</v>
      </c>
    </row>
    <row r="6955" ht="15.6" spans="4:11">
      <c r="D6955" s="4">
        <v>5623</v>
      </c>
      <c r="E6955" s="4" t="s">
        <v>223</v>
      </c>
      <c r="J6955" s="3" t="s">
        <v>7175</v>
      </c>
      <c r="K6955" s="3" t="s">
        <v>223</v>
      </c>
    </row>
    <row r="6956" ht="15.6" spans="4:11">
      <c r="D6956" s="4">
        <v>5624</v>
      </c>
      <c r="E6956" s="4" t="s">
        <v>223</v>
      </c>
      <c r="J6956" s="3" t="s">
        <v>7176</v>
      </c>
      <c r="K6956" s="3" t="s">
        <v>223</v>
      </c>
    </row>
    <row r="6957" ht="15.6" spans="4:11">
      <c r="D6957" s="4">
        <v>5625</v>
      </c>
      <c r="E6957" s="4" t="s">
        <v>223</v>
      </c>
      <c r="J6957" s="3" t="s">
        <v>7177</v>
      </c>
      <c r="K6957" s="3" t="s">
        <v>223</v>
      </c>
    </row>
    <row r="6958" ht="15.6" spans="4:11">
      <c r="D6958" s="4">
        <v>5626</v>
      </c>
      <c r="E6958" s="4" t="s">
        <v>223</v>
      </c>
      <c r="J6958" s="3" t="s">
        <v>7178</v>
      </c>
      <c r="K6958" s="3" t="s">
        <v>223</v>
      </c>
    </row>
    <row r="6959" ht="15.6" spans="4:11">
      <c r="D6959" s="4">
        <v>5627</v>
      </c>
      <c r="E6959" s="4" t="s">
        <v>223</v>
      </c>
      <c r="J6959" s="3" t="s">
        <v>7179</v>
      </c>
      <c r="K6959" s="3" t="s">
        <v>223</v>
      </c>
    </row>
    <row r="6960" ht="15.6" spans="4:11">
      <c r="D6960" s="4">
        <v>5628</v>
      </c>
      <c r="E6960" s="4" t="s">
        <v>223</v>
      </c>
      <c r="J6960" s="3" t="s">
        <v>7180</v>
      </c>
      <c r="K6960" s="3" t="s">
        <v>223</v>
      </c>
    </row>
    <row r="6961" ht="15.6" spans="4:11">
      <c r="D6961" s="4">
        <v>5629</v>
      </c>
      <c r="E6961" s="4" t="s">
        <v>223</v>
      </c>
      <c r="J6961" s="3" t="s">
        <v>7181</v>
      </c>
      <c r="K6961" s="3" t="s">
        <v>223</v>
      </c>
    </row>
    <row r="6962" ht="15.6" spans="4:11">
      <c r="D6962" s="4">
        <v>5630</v>
      </c>
      <c r="E6962" s="4" t="s">
        <v>223</v>
      </c>
      <c r="J6962" s="3" t="s">
        <v>7182</v>
      </c>
      <c r="K6962" s="3" t="s">
        <v>223</v>
      </c>
    </row>
    <row r="6963" ht="15.6" spans="4:11">
      <c r="D6963" s="4">
        <v>5631</v>
      </c>
      <c r="E6963" s="4" t="s">
        <v>223</v>
      </c>
      <c r="J6963" s="3" t="s">
        <v>7183</v>
      </c>
      <c r="K6963" s="3" t="s">
        <v>223</v>
      </c>
    </row>
    <row r="6964" ht="15.6" spans="4:11">
      <c r="D6964" s="4">
        <v>5632</v>
      </c>
      <c r="E6964" s="4" t="s">
        <v>223</v>
      </c>
      <c r="J6964" s="3" t="s">
        <v>7184</v>
      </c>
      <c r="K6964" s="3" t="s">
        <v>223</v>
      </c>
    </row>
    <row r="6965" ht="15.6" spans="4:11">
      <c r="D6965" s="4">
        <v>5633</v>
      </c>
      <c r="E6965" s="4" t="s">
        <v>223</v>
      </c>
      <c r="J6965" s="3" t="s">
        <v>7185</v>
      </c>
      <c r="K6965" s="3" t="s">
        <v>223</v>
      </c>
    </row>
    <row r="6966" ht="15.6" spans="4:11">
      <c r="D6966" s="4">
        <v>5634</v>
      </c>
      <c r="E6966" s="4" t="s">
        <v>223</v>
      </c>
      <c r="J6966" s="3" t="s">
        <v>7186</v>
      </c>
      <c r="K6966" s="3" t="s">
        <v>223</v>
      </c>
    </row>
    <row r="6967" ht="15.6" spans="4:11">
      <c r="D6967" s="4">
        <v>5635</v>
      </c>
      <c r="E6967" s="4" t="s">
        <v>223</v>
      </c>
      <c r="J6967" s="3" t="s">
        <v>7187</v>
      </c>
      <c r="K6967" s="3" t="s">
        <v>223</v>
      </c>
    </row>
    <row r="6968" ht="15.6" spans="4:11">
      <c r="D6968" s="4">
        <v>5636</v>
      </c>
      <c r="E6968" s="4" t="s">
        <v>223</v>
      </c>
      <c r="J6968" s="3" t="s">
        <v>7188</v>
      </c>
      <c r="K6968" s="3" t="s">
        <v>223</v>
      </c>
    </row>
    <row r="6969" ht="15.6" spans="4:11">
      <c r="D6969" s="4">
        <v>5637</v>
      </c>
      <c r="E6969" s="4" t="s">
        <v>223</v>
      </c>
      <c r="J6969" s="3" t="s">
        <v>7189</v>
      </c>
      <c r="K6969" s="3" t="s">
        <v>223</v>
      </c>
    </row>
    <row r="6970" ht="15.6" spans="4:11">
      <c r="D6970" s="4">
        <v>5638</v>
      </c>
      <c r="E6970" s="4" t="s">
        <v>223</v>
      </c>
      <c r="J6970" s="3" t="s">
        <v>7190</v>
      </c>
      <c r="K6970" s="3" t="s">
        <v>223</v>
      </c>
    </row>
    <row r="6971" ht="15.6" spans="4:11">
      <c r="D6971" s="4">
        <v>5639</v>
      </c>
      <c r="E6971" s="4" t="s">
        <v>223</v>
      </c>
      <c r="J6971" s="3" t="s">
        <v>7191</v>
      </c>
      <c r="K6971" s="3" t="s">
        <v>223</v>
      </c>
    </row>
    <row r="6972" ht="15.6" spans="4:11">
      <c r="D6972" s="4">
        <v>5640</v>
      </c>
      <c r="E6972" s="4" t="s">
        <v>223</v>
      </c>
      <c r="J6972" s="3" t="s">
        <v>7192</v>
      </c>
      <c r="K6972" s="3" t="s">
        <v>223</v>
      </c>
    </row>
    <row r="6973" ht="15.6" spans="4:11">
      <c r="D6973" s="4">
        <v>5641</v>
      </c>
      <c r="E6973" s="4" t="s">
        <v>223</v>
      </c>
      <c r="J6973" s="3" t="s">
        <v>7193</v>
      </c>
      <c r="K6973" s="3" t="s">
        <v>223</v>
      </c>
    </row>
    <row r="6974" ht="15.6" spans="4:11">
      <c r="D6974" s="4">
        <v>5642</v>
      </c>
      <c r="E6974" s="4" t="s">
        <v>223</v>
      </c>
      <c r="J6974" s="3" t="s">
        <v>7194</v>
      </c>
      <c r="K6974" s="3" t="s">
        <v>223</v>
      </c>
    </row>
    <row r="6975" ht="15.6" spans="4:11">
      <c r="D6975" s="4">
        <v>5643</v>
      </c>
      <c r="E6975" s="4" t="s">
        <v>223</v>
      </c>
      <c r="J6975" s="3" t="s">
        <v>7195</v>
      </c>
      <c r="K6975" s="3" t="s">
        <v>223</v>
      </c>
    </row>
    <row r="6976" ht="15.6" spans="4:11">
      <c r="D6976" s="4">
        <v>5644</v>
      </c>
      <c r="E6976" s="4" t="s">
        <v>223</v>
      </c>
      <c r="J6976" s="3" t="s">
        <v>7196</v>
      </c>
      <c r="K6976" s="3" t="s">
        <v>223</v>
      </c>
    </row>
    <row r="6977" ht="15.6" spans="4:11">
      <c r="D6977" s="4">
        <v>5645</v>
      </c>
      <c r="E6977" s="4" t="s">
        <v>223</v>
      </c>
      <c r="J6977" s="3" t="s">
        <v>7197</v>
      </c>
      <c r="K6977" s="3" t="s">
        <v>223</v>
      </c>
    </row>
    <row r="6978" ht="15.6" spans="4:11">
      <c r="D6978" s="4">
        <v>5646</v>
      </c>
      <c r="E6978" s="4" t="s">
        <v>223</v>
      </c>
      <c r="J6978" s="3" t="s">
        <v>7198</v>
      </c>
      <c r="K6978" s="3" t="s">
        <v>223</v>
      </c>
    </row>
    <row r="6979" ht="15.6" spans="4:11">
      <c r="D6979" s="4">
        <v>5647</v>
      </c>
      <c r="E6979" s="4" t="s">
        <v>223</v>
      </c>
      <c r="J6979" s="3" t="s">
        <v>7199</v>
      </c>
      <c r="K6979" s="3" t="s">
        <v>223</v>
      </c>
    </row>
    <row r="6980" ht="15.6" spans="4:11">
      <c r="D6980" s="4">
        <v>5648</v>
      </c>
      <c r="E6980" s="4" t="s">
        <v>223</v>
      </c>
      <c r="J6980" s="3" t="s">
        <v>7200</v>
      </c>
      <c r="K6980" s="3" t="s">
        <v>223</v>
      </c>
    </row>
    <row r="6981" ht="15.6" spans="4:11">
      <c r="D6981" s="4">
        <v>5649</v>
      </c>
      <c r="E6981" s="4" t="s">
        <v>223</v>
      </c>
      <c r="J6981" s="3" t="s">
        <v>7201</v>
      </c>
      <c r="K6981" s="3" t="s">
        <v>223</v>
      </c>
    </row>
    <row r="6982" ht="15.6" spans="4:11">
      <c r="D6982" s="4">
        <v>5650</v>
      </c>
      <c r="E6982" s="4" t="s">
        <v>223</v>
      </c>
      <c r="J6982" s="3" t="s">
        <v>7202</v>
      </c>
      <c r="K6982" s="3" t="s">
        <v>223</v>
      </c>
    </row>
    <row r="6983" ht="15.6" spans="4:11">
      <c r="D6983" s="4">
        <v>5651</v>
      </c>
      <c r="E6983" s="4" t="s">
        <v>223</v>
      </c>
      <c r="J6983" s="3" t="s">
        <v>7203</v>
      </c>
      <c r="K6983" s="3" t="s">
        <v>223</v>
      </c>
    </row>
    <row r="6984" ht="15.6" spans="4:11">
      <c r="D6984" s="4">
        <v>5652</v>
      </c>
      <c r="E6984" s="4" t="s">
        <v>223</v>
      </c>
      <c r="J6984" s="3" t="s">
        <v>7204</v>
      </c>
      <c r="K6984" s="3" t="s">
        <v>223</v>
      </c>
    </row>
    <row r="6985" ht="15.6" spans="4:11">
      <c r="D6985" s="4">
        <v>5653</v>
      </c>
      <c r="E6985" s="4" t="s">
        <v>223</v>
      </c>
      <c r="J6985" s="3" t="s">
        <v>7205</v>
      </c>
      <c r="K6985" s="3" t="s">
        <v>223</v>
      </c>
    </row>
    <row r="6986" ht="15.6" spans="4:11">
      <c r="D6986" s="4">
        <v>5654</v>
      </c>
      <c r="E6986" s="4" t="s">
        <v>223</v>
      </c>
      <c r="J6986" s="3" t="s">
        <v>7206</v>
      </c>
      <c r="K6986" s="3" t="s">
        <v>223</v>
      </c>
    </row>
    <row r="6987" ht="15.6" spans="4:11">
      <c r="D6987" s="4">
        <v>5655</v>
      </c>
      <c r="E6987" s="4" t="s">
        <v>223</v>
      </c>
      <c r="J6987" s="3" t="s">
        <v>7207</v>
      </c>
      <c r="K6987" s="3" t="s">
        <v>223</v>
      </c>
    </row>
    <row r="6988" ht="15.6" spans="4:11">
      <c r="D6988" s="4">
        <v>5656</v>
      </c>
      <c r="E6988" s="4" t="s">
        <v>223</v>
      </c>
      <c r="J6988" s="3" t="s">
        <v>7208</v>
      </c>
      <c r="K6988" s="3" t="s">
        <v>223</v>
      </c>
    </row>
    <row r="6989" ht="15.6" spans="4:11">
      <c r="D6989" s="4">
        <v>5657</v>
      </c>
      <c r="E6989" s="4" t="s">
        <v>223</v>
      </c>
      <c r="J6989" s="3" t="s">
        <v>7209</v>
      </c>
      <c r="K6989" s="3" t="s">
        <v>223</v>
      </c>
    </row>
    <row r="6990" ht="15.6" spans="4:11">
      <c r="D6990" s="4">
        <v>5658</v>
      </c>
      <c r="E6990" s="4" t="s">
        <v>223</v>
      </c>
      <c r="J6990" s="3" t="s">
        <v>7210</v>
      </c>
      <c r="K6990" s="3" t="s">
        <v>223</v>
      </c>
    </row>
    <row r="6991" ht="15.6" spans="4:11">
      <c r="D6991" s="4">
        <v>5659</v>
      </c>
      <c r="E6991" s="4" t="s">
        <v>223</v>
      </c>
      <c r="J6991" s="3" t="s">
        <v>7211</v>
      </c>
      <c r="K6991" s="3" t="s">
        <v>223</v>
      </c>
    </row>
    <row r="6992" ht="15.6" spans="4:11">
      <c r="D6992" s="4">
        <v>5660</v>
      </c>
      <c r="E6992" s="4" t="s">
        <v>223</v>
      </c>
      <c r="J6992" s="3" t="s">
        <v>7212</v>
      </c>
      <c r="K6992" s="3" t="s">
        <v>223</v>
      </c>
    </row>
    <row r="6993" ht="15.6" spans="4:11">
      <c r="D6993" s="4">
        <v>5661</v>
      </c>
      <c r="E6993" s="4" t="s">
        <v>223</v>
      </c>
      <c r="J6993" s="3" t="s">
        <v>7213</v>
      </c>
      <c r="K6993" s="3" t="s">
        <v>223</v>
      </c>
    </row>
    <row r="6994" ht="15.6" spans="4:11">
      <c r="D6994" s="4">
        <v>5662</v>
      </c>
      <c r="E6994" s="4" t="s">
        <v>223</v>
      </c>
      <c r="J6994" s="3" t="s">
        <v>7214</v>
      </c>
      <c r="K6994" s="3" t="s">
        <v>223</v>
      </c>
    </row>
    <row r="6995" ht="15.6" spans="4:11">
      <c r="D6995" s="4">
        <v>5663</v>
      </c>
      <c r="E6995" s="4" t="s">
        <v>223</v>
      </c>
      <c r="J6995" s="3" t="s">
        <v>7215</v>
      </c>
      <c r="K6995" s="3" t="s">
        <v>223</v>
      </c>
    </row>
    <row r="6996" ht="15.6" spans="4:11">
      <c r="D6996" s="4">
        <v>5664</v>
      </c>
      <c r="E6996" s="4" t="s">
        <v>223</v>
      </c>
      <c r="J6996" s="3" t="s">
        <v>7216</v>
      </c>
      <c r="K6996" s="3" t="s">
        <v>223</v>
      </c>
    </row>
    <row r="6997" ht="15.6" spans="4:11">
      <c r="D6997" s="4">
        <v>5665</v>
      </c>
      <c r="E6997" s="4" t="s">
        <v>223</v>
      </c>
      <c r="J6997" s="3" t="s">
        <v>7217</v>
      </c>
      <c r="K6997" s="3" t="s">
        <v>223</v>
      </c>
    </row>
    <row r="6998" ht="15.6" spans="4:11">
      <c r="D6998" s="4">
        <v>5666</v>
      </c>
      <c r="E6998" s="4" t="s">
        <v>223</v>
      </c>
      <c r="J6998" s="3" t="s">
        <v>7218</v>
      </c>
      <c r="K6998" s="3" t="s">
        <v>223</v>
      </c>
    </row>
    <row r="6999" ht="15.6" spans="4:11">
      <c r="D6999" s="4">
        <v>5667</v>
      </c>
      <c r="E6999" s="4" t="s">
        <v>223</v>
      </c>
      <c r="J6999" s="3" t="s">
        <v>7219</v>
      </c>
      <c r="K6999" s="3" t="s">
        <v>223</v>
      </c>
    </row>
    <row r="7000" ht="15.6" spans="4:11">
      <c r="D7000" s="4">
        <v>5668</v>
      </c>
      <c r="E7000" s="4" t="s">
        <v>223</v>
      </c>
      <c r="J7000" s="3" t="s">
        <v>7220</v>
      </c>
      <c r="K7000" s="3" t="s">
        <v>223</v>
      </c>
    </row>
    <row r="7001" ht="15.6" spans="4:11">
      <c r="D7001" s="4">
        <v>5669</v>
      </c>
      <c r="E7001" s="4" t="s">
        <v>223</v>
      </c>
      <c r="J7001" s="3" t="s">
        <v>7221</v>
      </c>
      <c r="K7001" s="3" t="s">
        <v>223</v>
      </c>
    </row>
    <row r="7002" ht="15.6" spans="4:11">
      <c r="D7002" s="4">
        <v>5670</v>
      </c>
      <c r="E7002" s="4" t="s">
        <v>223</v>
      </c>
      <c r="J7002" s="3" t="s">
        <v>7222</v>
      </c>
      <c r="K7002" s="3" t="s">
        <v>223</v>
      </c>
    </row>
    <row r="7003" ht="15.6" spans="4:11">
      <c r="D7003" s="4">
        <v>5671</v>
      </c>
      <c r="E7003" s="4" t="s">
        <v>223</v>
      </c>
      <c r="J7003" s="3" t="s">
        <v>7223</v>
      </c>
      <c r="K7003" s="3" t="s">
        <v>223</v>
      </c>
    </row>
    <row r="7004" ht="15.6" spans="4:11">
      <c r="D7004" s="4">
        <v>5672</v>
      </c>
      <c r="E7004" s="4" t="s">
        <v>223</v>
      </c>
      <c r="J7004" s="3" t="s">
        <v>7224</v>
      </c>
      <c r="K7004" s="3" t="s">
        <v>223</v>
      </c>
    </row>
    <row r="7005" ht="15.6" spans="4:11">
      <c r="D7005" s="4">
        <v>5673</v>
      </c>
      <c r="E7005" s="4" t="s">
        <v>223</v>
      </c>
      <c r="J7005" s="3" t="s">
        <v>7225</v>
      </c>
      <c r="K7005" s="3" t="s">
        <v>223</v>
      </c>
    </row>
    <row r="7006" ht="15.6" spans="4:11">
      <c r="D7006" s="4">
        <v>5674</v>
      </c>
      <c r="E7006" s="4" t="s">
        <v>223</v>
      </c>
      <c r="J7006" s="3" t="s">
        <v>7226</v>
      </c>
      <c r="K7006" s="3" t="s">
        <v>223</v>
      </c>
    </row>
    <row r="7007" ht="15.6" spans="4:11">
      <c r="D7007" s="4">
        <v>5675</v>
      </c>
      <c r="E7007" s="4" t="s">
        <v>223</v>
      </c>
      <c r="J7007" s="3" t="s">
        <v>7227</v>
      </c>
      <c r="K7007" s="3" t="s">
        <v>223</v>
      </c>
    </row>
    <row r="7008" ht="15.6" spans="4:11">
      <c r="D7008" s="4">
        <v>5676</v>
      </c>
      <c r="E7008" s="4" t="s">
        <v>223</v>
      </c>
      <c r="J7008" s="3" t="s">
        <v>7228</v>
      </c>
      <c r="K7008" s="3" t="s">
        <v>223</v>
      </c>
    </row>
    <row r="7009" ht="15.6" spans="4:11">
      <c r="D7009" s="4">
        <v>5677</v>
      </c>
      <c r="E7009" s="4" t="s">
        <v>223</v>
      </c>
      <c r="J7009" s="3" t="s">
        <v>7229</v>
      </c>
      <c r="K7009" s="3" t="s">
        <v>223</v>
      </c>
    </row>
    <row r="7010" ht="15.6" spans="4:11">
      <c r="D7010" s="4">
        <v>5678</v>
      </c>
      <c r="E7010" s="4" t="s">
        <v>223</v>
      </c>
      <c r="J7010" s="3" t="s">
        <v>7230</v>
      </c>
      <c r="K7010" s="3" t="s">
        <v>223</v>
      </c>
    </row>
    <row r="7011" ht="15.6" spans="4:11">
      <c r="D7011" s="4">
        <v>5679</v>
      </c>
      <c r="E7011" s="4" t="s">
        <v>223</v>
      </c>
      <c r="J7011" s="3" t="s">
        <v>7231</v>
      </c>
      <c r="K7011" s="3" t="s">
        <v>223</v>
      </c>
    </row>
    <row r="7012" ht="15.6" spans="4:11">
      <c r="D7012" s="4">
        <v>5680</v>
      </c>
      <c r="E7012" s="4" t="s">
        <v>223</v>
      </c>
      <c r="J7012" s="3" t="s">
        <v>7232</v>
      </c>
      <c r="K7012" s="3" t="s">
        <v>223</v>
      </c>
    </row>
    <row r="7013" ht="15.6" spans="4:11">
      <c r="D7013" s="4">
        <v>5681</v>
      </c>
      <c r="E7013" s="4" t="s">
        <v>223</v>
      </c>
      <c r="J7013" s="3" t="s">
        <v>7233</v>
      </c>
      <c r="K7013" s="3" t="s">
        <v>223</v>
      </c>
    </row>
    <row r="7014" ht="15.6" spans="4:11">
      <c r="D7014" s="4">
        <v>5682</v>
      </c>
      <c r="E7014" s="4" t="s">
        <v>223</v>
      </c>
      <c r="J7014" s="3" t="s">
        <v>7234</v>
      </c>
      <c r="K7014" s="3" t="s">
        <v>223</v>
      </c>
    </row>
    <row r="7015" ht="15.6" spans="4:11">
      <c r="D7015" s="4">
        <v>5683</v>
      </c>
      <c r="E7015" s="4" t="s">
        <v>223</v>
      </c>
      <c r="J7015" s="3" t="s">
        <v>7235</v>
      </c>
      <c r="K7015" s="3" t="s">
        <v>223</v>
      </c>
    </row>
    <row r="7016" ht="15.6" spans="4:11">
      <c r="D7016" s="4">
        <v>5684</v>
      </c>
      <c r="E7016" s="4" t="s">
        <v>223</v>
      </c>
      <c r="J7016" s="3" t="s">
        <v>7236</v>
      </c>
      <c r="K7016" s="3" t="s">
        <v>223</v>
      </c>
    </row>
    <row r="7017" ht="15.6" spans="4:11">
      <c r="D7017" s="4">
        <v>5685</v>
      </c>
      <c r="E7017" s="4" t="s">
        <v>223</v>
      </c>
      <c r="J7017" s="3" t="s">
        <v>7237</v>
      </c>
      <c r="K7017" s="3" t="s">
        <v>223</v>
      </c>
    </row>
    <row r="7018" ht="15.6" spans="4:11">
      <c r="D7018" s="4">
        <v>5686</v>
      </c>
      <c r="E7018" s="4" t="s">
        <v>223</v>
      </c>
      <c r="J7018" s="3" t="s">
        <v>7238</v>
      </c>
      <c r="K7018" s="3" t="s">
        <v>223</v>
      </c>
    </row>
    <row r="7019" ht="15.6" spans="4:11">
      <c r="D7019" s="4">
        <v>5687</v>
      </c>
      <c r="E7019" s="4" t="s">
        <v>223</v>
      </c>
      <c r="J7019" s="3" t="s">
        <v>7239</v>
      </c>
      <c r="K7019" s="3" t="s">
        <v>223</v>
      </c>
    </row>
    <row r="7020" ht="15.6" spans="4:11">
      <c r="D7020" s="4">
        <v>5688</v>
      </c>
      <c r="E7020" s="4" t="s">
        <v>223</v>
      </c>
      <c r="J7020" s="3" t="s">
        <v>7240</v>
      </c>
      <c r="K7020" s="3" t="s">
        <v>223</v>
      </c>
    </row>
    <row r="7021" ht="15.6" spans="4:11">
      <c r="D7021" s="4">
        <v>5689</v>
      </c>
      <c r="E7021" s="4" t="s">
        <v>223</v>
      </c>
      <c r="J7021" s="3" t="s">
        <v>7241</v>
      </c>
      <c r="K7021" s="3" t="s">
        <v>223</v>
      </c>
    </row>
    <row r="7022" ht="15.6" spans="4:11">
      <c r="D7022" s="4">
        <v>5690</v>
      </c>
      <c r="E7022" s="4" t="s">
        <v>223</v>
      </c>
      <c r="J7022" s="3" t="s">
        <v>7242</v>
      </c>
      <c r="K7022" s="3" t="s">
        <v>223</v>
      </c>
    </row>
    <row r="7023" ht="15.6" spans="4:11">
      <c r="D7023" s="4">
        <v>5691</v>
      </c>
      <c r="E7023" s="4" t="s">
        <v>223</v>
      </c>
      <c r="J7023" s="3" t="s">
        <v>7243</v>
      </c>
      <c r="K7023" s="3" t="s">
        <v>223</v>
      </c>
    </row>
    <row r="7024" ht="15.6" spans="4:11">
      <c r="D7024" s="4">
        <v>5692</v>
      </c>
      <c r="E7024" s="4" t="s">
        <v>223</v>
      </c>
      <c r="J7024" s="3" t="s">
        <v>7244</v>
      </c>
      <c r="K7024" s="3" t="s">
        <v>223</v>
      </c>
    </row>
    <row r="7025" ht="15.6" spans="4:11">
      <c r="D7025" s="4">
        <v>5693</v>
      </c>
      <c r="E7025" s="4" t="s">
        <v>223</v>
      </c>
      <c r="J7025" s="3" t="s">
        <v>7245</v>
      </c>
      <c r="K7025" s="3" t="s">
        <v>223</v>
      </c>
    </row>
    <row r="7026" ht="15.6" spans="4:11">
      <c r="D7026" s="4">
        <v>5694</v>
      </c>
      <c r="E7026" s="4" t="s">
        <v>223</v>
      </c>
      <c r="J7026" s="3" t="s">
        <v>7246</v>
      </c>
      <c r="K7026" s="3" t="s">
        <v>223</v>
      </c>
    </row>
    <row r="7027" ht="15.6" spans="4:11">
      <c r="D7027" s="4">
        <v>5695</v>
      </c>
      <c r="E7027" s="4" t="s">
        <v>223</v>
      </c>
      <c r="J7027" s="3" t="s">
        <v>7247</v>
      </c>
      <c r="K7027" s="3" t="s">
        <v>223</v>
      </c>
    </row>
    <row r="7028" ht="15.6" spans="4:11">
      <c r="D7028" s="4">
        <v>5696</v>
      </c>
      <c r="E7028" s="4" t="s">
        <v>223</v>
      </c>
      <c r="J7028" s="3" t="s">
        <v>7248</v>
      </c>
      <c r="K7028" s="3" t="s">
        <v>223</v>
      </c>
    </row>
    <row r="7029" ht="15.6" spans="4:11">
      <c r="D7029" s="4">
        <v>5697</v>
      </c>
      <c r="E7029" s="4" t="s">
        <v>223</v>
      </c>
      <c r="J7029" s="3" t="s">
        <v>7249</v>
      </c>
      <c r="K7029" s="3" t="s">
        <v>223</v>
      </c>
    </row>
    <row r="7030" ht="15.6" spans="4:11">
      <c r="D7030" s="4">
        <v>5698</v>
      </c>
      <c r="E7030" s="4" t="s">
        <v>223</v>
      </c>
      <c r="J7030" s="3" t="s">
        <v>7250</v>
      </c>
      <c r="K7030" s="3" t="s">
        <v>223</v>
      </c>
    </row>
    <row r="7031" ht="15.6" spans="4:11">
      <c r="D7031" s="4">
        <v>5699</v>
      </c>
      <c r="E7031" s="4" t="s">
        <v>223</v>
      </c>
      <c r="J7031" s="3" t="s">
        <v>7251</v>
      </c>
      <c r="K7031" s="3" t="s">
        <v>223</v>
      </c>
    </row>
    <row r="7032" ht="15.6" spans="4:11">
      <c r="D7032" s="4">
        <v>5700</v>
      </c>
      <c r="E7032" s="4" t="s">
        <v>223</v>
      </c>
      <c r="J7032" s="3" t="s">
        <v>7252</v>
      </c>
      <c r="K7032" s="3" t="s">
        <v>223</v>
      </c>
    </row>
    <row r="7033" ht="15.6" spans="4:11">
      <c r="D7033" s="4">
        <v>5701</v>
      </c>
      <c r="E7033" s="4" t="s">
        <v>223</v>
      </c>
      <c r="J7033" s="3" t="s">
        <v>7253</v>
      </c>
      <c r="K7033" s="3" t="s">
        <v>223</v>
      </c>
    </row>
    <row r="7034" ht="15.6" spans="4:11">
      <c r="D7034" s="4">
        <v>5702</v>
      </c>
      <c r="E7034" s="4" t="s">
        <v>223</v>
      </c>
      <c r="J7034" s="3" t="s">
        <v>7254</v>
      </c>
      <c r="K7034" s="3" t="s">
        <v>223</v>
      </c>
    </row>
    <row r="7035" ht="15.6" spans="4:11">
      <c r="D7035" s="4">
        <v>5703</v>
      </c>
      <c r="E7035" s="4" t="s">
        <v>223</v>
      </c>
      <c r="J7035" s="3" t="s">
        <v>7255</v>
      </c>
      <c r="K7035" s="3" t="s">
        <v>223</v>
      </c>
    </row>
    <row r="7036" ht="15.6" spans="4:11">
      <c r="D7036" s="4">
        <v>5704</v>
      </c>
      <c r="E7036" s="4" t="s">
        <v>223</v>
      </c>
      <c r="J7036" s="3" t="s">
        <v>7256</v>
      </c>
      <c r="K7036" s="3" t="s">
        <v>223</v>
      </c>
    </row>
    <row r="7037" ht="15.6" spans="4:11">
      <c r="D7037" s="4">
        <v>5705</v>
      </c>
      <c r="E7037" s="4" t="s">
        <v>223</v>
      </c>
      <c r="J7037" s="3" t="s">
        <v>7257</v>
      </c>
      <c r="K7037" s="3" t="s">
        <v>223</v>
      </c>
    </row>
    <row r="7038" ht="15.6" spans="4:11">
      <c r="D7038" s="4">
        <v>5706</v>
      </c>
      <c r="E7038" s="4" t="s">
        <v>223</v>
      </c>
      <c r="J7038" s="3" t="s">
        <v>7258</v>
      </c>
      <c r="K7038" s="3" t="s">
        <v>223</v>
      </c>
    </row>
    <row r="7039" ht="15.6" spans="4:11">
      <c r="D7039" s="4">
        <v>5707</v>
      </c>
      <c r="E7039" s="4" t="s">
        <v>223</v>
      </c>
      <c r="J7039" s="3" t="s">
        <v>7259</v>
      </c>
      <c r="K7039" s="3" t="s">
        <v>223</v>
      </c>
    </row>
    <row r="7040" ht="15.6" spans="4:11">
      <c r="D7040" s="4">
        <v>5708</v>
      </c>
      <c r="E7040" s="4" t="s">
        <v>223</v>
      </c>
      <c r="J7040" s="3" t="s">
        <v>7260</v>
      </c>
      <c r="K7040" s="3" t="s">
        <v>223</v>
      </c>
    </row>
    <row r="7041" ht="15.6" spans="4:11">
      <c r="D7041" s="4">
        <v>5709</v>
      </c>
      <c r="E7041" s="4" t="s">
        <v>223</v>
      </c>
      <c r="J7041" s="3" t="s">
        <v>7261</v>
      </c>
      <c r="K7041" s="3" t="s">
        <v>223</v>
      </c>
    </row>
    <row r="7042" ht="15.6" spans="4:11">
      <c r="D7042" s="4">
        <v>5710</v>
      </c>
      <c r="E7042" s="4" t="s">
        <v>223</v>
      </c>
      <c r="J7042" s="3" t="s">
        <v>7262</v>
      </c>
      <c r="K7042" s="3" t="s">
        <v>223</v>
      </c>
    </row>
    <row r="7043" ht="15.6" spans="4:11">
      <c r="D7043" s="4">
        <v>5711</v>
      </c>
      <c r="E7043" s="4" t="s">
        <v>223</v>
      </c>
      <c r="J7043" s="3" t="s">
        <v>7263</v>
      </c>
      <c r="K7043" s="3" t="s">
        <v>223</v>
      </c>
    </row>
    <row r="7044" ht="15.6" spans="4:11">
      <c r="D7044" s="4">
        <v>5712</v>
      </c>
      <c r="E7044" s="4" t="s">
        <v>223</v>
      </c>
      <c r="J7044" s="3" t="s">
        <v>7264</v>
      </c>
      <c r="K7044" s="3" t="s">
        <v>223</v>
      </c>
    </row>
    <row r="7045" ht="15.6" spans="4:11">
      <c r="D7045" s="4">
        <v>5713</v>
      </c>
      <c r="E7045" s="4" t="s">
        <v>223</v>
      </c>
      <c r="J7045" s="3" t="s">
        <v>7265</v>
      </c>
      <c r="K7045" s="3" t="s">
        <v>223</v>
      </c>
    </row>
    <row r="7046" ht="15.6" spans="4:11">
      <c r="D7046" s="4">
        <v>5714</v>
      </c>
      <c r="E7046" s="4" t="s">
        <v>223</v>
      </c>
      <c r="J7046" s="3" t="s">
        <v>7266</v>
      </c>
      <c r="K7046" s="3" t="s">
        <v>223</v>
      </c>
    </row>
    <row r="7047" ht="15.6" spans="4:11">
      <c r="D7047" s="4">
        <v>5715</v>
      </c>
      <c r="E7047" s="4" t="s">
        <v>223</v>
      </c>
      <c r="J7047" s="3" t="s">
        <v>7267</v>
      </c>
      <c r="K7047" s="3" t="s">
        <v>223</v>
      </c>
    </row>
    <row r="7048" ht="15.6" spans="4:11">
      <c r="D7048" s="4">
        <v>5716</v>
      </c>
      <c r="E7048" s="4" t="s">
        <v>223</v>
      </c>
      <c r="J7048" s="3" t="s">
        <v>7268</v>
      </c>
      <c r="K7048" s="3" t="s">
        <v>223</v>
      </c>
    </row>
    <row r="7049" ht="15.6" spans="4:11">
      <c r="D7049" s="4">
        <v>5717</v>
      </c>
      <c r="E7049" s="4" t="s">
        <v>223</v>
      </c>
      <c r="J7049" s="3" t="s">
        <v>7269</v>
      </c>
      <c r="K7049" s="3" t="s">
        <v>223</v>
      </c>
    </row>
    <row r="7050" ht="15.6" spans="4:11">
      <c r="D7050" s="4">
        <v>5718</v>
      </c>
      <c r="E7050" s="4" t="s">
        <v>223</v>
      </c>
      <c r="J7050" s="3" t="s">
        <v>7270</v>
      </c>
      <c r="K7050" s="3" t="s">
        <v>223</v>
      </c>
    </row>
    <row r="7051" ht="15.6" spans="4:11">
      <c r="D7051" s="4">
        <v>5719</v>
      </c>
      <c r="E7051" s="4" t="s">
        <v>223</v>
      </c>
      <c r="J7051" s="3" t="s">
        <v>7271</v>
      </c>
      <c r="K7051" s="3" t="s">
        <v>223</v>
      </c>
    </row>
    <row r="7052" ht="15.6" spans="4:11">
      <c r="D7052" s="4">
        <v>5720</v>
      </c>
      <c r="E7052" s="4" t="s">
        <v>223</v>
      </c>
      <c r="J7052" s="3" t="s">
        <v>7272</v>
      </c>
      <c r="K7052" s="3" t="s">
        <v>223</v>
      </c>
    </row>
    <row r="7053" ht="15.6" spans="4:11">
      <c r="D7053" s="4">
        <v>5721</v>
      </c>
      <c r="E7053" s="4" t="s">
        <v>223</v>
      </c>
      <c r="J7053" s="3" t="s">
        <v>7273</v>
      </c>
      <c r="K7053" s="3" t="s">
        <v>223</v>
      </c>
    </row>
    <row r="7054" ht="15.6" spans="4:11">
      <c r="D7054" s="4">
        <v>5722</v>
      </c>
      <c r="E7054" s="4" t="s">
        <v>223</v>
      </c>
      <c r="J7054" s="3" t="s">
        <v>7274</v>
      </c>
      <c r="K7054" s="3" t="s">
        <v>223</v>
      </c>
    </row>
    <row r="7055" ht="15.6" spans="4:11">
      <c r="D7055" s="4">
        <v>5723</v>
      </c>
      <c r="E7055" s="4" t="s">
        <v>223</v>
      </c>
      <c r="J7055" s="3" t="s">
        <v>7275</v>
      </c>
      <c r="K7055" s="3" t="s">
        <v>223</v>
      </c>
    </row>
    <row r="7056" ht="15.6" spans="4:11">
      <c r="D7056" s="4">
        <v>5724</v>
      </c>
      <c r="E7056" s="4" t="s">
        <v>223</v>
      </c>
      <c r="J7056" s="3" t="s">
        <v>7276</v>
      </c>
      <c r="K7056" s="3" t="s">
        <v>223</v>
      </c>
    </row>
    <row r="7057" ht="15.6" spans="4:11">
      <c r="D7057" s="4">
        <v>5725</v>
      </c>
      <c r="E7057" s="4" t="s">
        <v>223</v>
      </c>
      <c r="J7057" s="3" t="s">
        <v>7277</v>
      </c>
      <c r="K7057" s="3" t="s">
        <v>223</v>
      </c>
    </row>
    <row r="7058" ht="15.6" spans="4:11">
      <c r="D7058" s="4">
        <v>5726</v>
      </c>
      <c r="E7058" s="4" t="s">
        <v>223</v>
      </c>
      <c r="J7058" s="3" t="s">
        <v>7278</v>
      </c>
      <c r="K7058" s="3" t="s">
        <v>223</v>
      </c>
    </row>
    <row r="7059" ht="15.6" spans="4:11">
      <c r="D7059" s="4">
        <v>5727</v>
      </c>
      <c r="E7059" s="4" t="s">
        <v>223</v>
      </c>
      <c r="J7059" s="3" t="s">
        <v>7279</v>
      </c>
      <c r="K7059" s="3" t="s">
        <v>223</v>
      </c>
    </row>
    <row r="7060" ht="15.6" spans="4:11">
      <c r="D7060" s="4">
        <v>5728</v>
      </c>
      <c r="E7060" s="4" t="s">
        <v>223</v>
      </c>
      <c r="J7060" s="3" t="s">
        <v>7280</v>
      </c>
      <c r="K7060" s="3" t="s">
        <v>223</v>
      </c>
    </row>
    <row r="7061" ht="15.6" spans="4:11">
      <c r="D7061" s="4">
        <v>5729</v>
      </c>
      <c r="E7061" s="4" t="s">
        <v>223</v>
      </c>
      <c r="J7061" s="3" t="s">
        <v>7281</v>
      </c>
      <c r="K7061" s="3" t="s">
        <v>223</v>
      </c>
    </row>
    <row r="7062" ht="15.6" spans="4:11">
      <c r="D7062" s="4">
        <v>5730</v>
      </c>
      <c r="E7062" s="4" t="s">
        <v>223</v>
      </c>
      <c r="J7062" s="3" t="s">
        <v>7282</v>
      </c>
      <c r="K7062" s="3" t="s">
        <v>223</v>
      </c>
    </row>
    <row r="7063" ht="15.6" spans="4:11">
      <c r="D7063" s="4">
        <v>5731</v>
      </c>
      <c r="E7063" s="4" t="s">
        <v>223</v>
      </c>
      <c r="J7063" s="3" t="s">
        <v>7283</v>
      </c>
      <c r="K7063" s="3" t="s">
        <v>223</v>
      </c>
    </row>
    <row r="7064" ht="15.6" spans="4:11">
      <c r="D7064" s="4">
        <v>5732</v>
      </c>
      <c r="E7064" s="4" t="s">
        <v>223</v>
      </c>
      <c r="J7064" s="3" t="s">
        <v>7284</v>
      </c>
      <c r="K7064" s="3" t="s">
        <v>223</v>
      </c>
    </row>
    <row r="7065" ht="15.6" spans="4:11">
      <c r="D7065" s="4">
        <v>5733</v>
      </c>
      <c r="E7065" s="4" t="s">
        <v>223</v>
      </c>
      <c r="J7065" s="3" t="s">
        <v>7285</v>
      </c>
      <c r="K7065" s="3" t="s">
        <v>223</v>
      </c>
    </row>
    <row r="7066" ht="15.6" spans="4:11">
      <c r="D7066" s="4">
        <v>5734</v>
      </c>
      <c r="E7066" s="4" t="s">
        <v>223</v>
      </c>
      <c r="J7066" s="3" t="s">
        <v>7286</v>
      </c>
      <c r="K7066" s="3" t="s">
        <v>223</v>
      </c>
    </row>
    <row r="7067" ht="15.6" spans="4:11">
      <c r="D7067" s="4">
        <v>5735</v>
      </c>
      <c r="E7067" s="4" t="s">
        <v>223</v>
      </c>
      <c r="J7067" s="3" t="s">
        <v>7287</v>
      </c>
      <c r="K7067" s="3" t="s">
        <v>223</v>
      </c>
    </row>
    <row r="7068" ht="15.6" spans="4:11">
      <c r="D7068" s="4">
        <v>5736</v>
      </c>
      <c r="E7068" s="4" t="s">
        <v>223</v>
      </c>
      <c r="J7068" s="3" t="s">
        <v>7288</v>
      </c>
      <c r="K7068" s="3" t="s">
        <v>223</v>
      </c>
    </row>
    <row r="7069" ht="15.6" spans="4:11">
      <c r="D7069" s="4">
        <v>5737</v>
      </c>
      <c r="E7069" s="4" t="s">
        <v>223</v>
      </c>
      <c r="J7069" s="3" t="s">
        <v>7289</v>
      </c>
      <c r="K7069" s="3" t="s">
        <v>223</v>
      </c>
    </row>
    <row r="7070" ht="15.6" spans="4:11">
      <c r="D7070" s="4">
        <v>5738</v>
      </c>
      <c r="E7070" s="4" t="s">
        <v>223</v>
      </c>
      <c r="J7070" s="3" t="s">
        <v>7290</v>
      </c>
      <c r="K7070" s="3" t="s">
        <v>223</v>
      </c>
    </row>
    <row r="7071" ht="15.6" spans="4:11">
      <c r="D7071" s="4">
        <v>5739</v>
      </c>
      <c r="E7071" s="4" t="s">
        <v>223</v>
      </c>
      <c r="J7071" s="3" t="s">
        <v>7291</v>
      </c>
      <c r="K7071" s="3" t="s">
        <v>223</v>
      </c>
    </row>
    <row r="7072" ht="15.6" spans="4:11">
      <c r="D7072" s="4">
        <v>5740</v>
      </c>
      <c r="E7072" s="4" t="s">
        <v>223</v>
      </c>
      <c r="J7072" s="3" t="s">
        <v>7292</v>
      </c>
      <c r="K7072" s="3" t="s">
        <v>223</v>
      </c>
    </row>
    <row r="7073" ht="15.6" spans="4:11">
      <c r="D7073" s="4">
        <v>5741</v>
      </c>
      <c r="E7073" s="4" t="s">
        <v>223</v>
      </c>
      <c r="J7073" s="3" t="s">
        <v>7293</v>
      </c>
      <c r="K7073" s="3" t="s">
        <v>223</v>
      </c>
    </row>
    <row r="7074" ht="15.6" spans="4:11">
      <c r="D7074" s="4">
        <v>5742</v>
      </c>
      <c r="E7074" s="4" t="s">
        <v>223</v>
      </c>
      <c r="J7074" s="3" t="s">
        <v>7294</v>
      </c>
      <c r="K7074" s="3" t="s">
        <v>223</v>
      </c>
    </row>
    <row r="7075" ht="15.6" spans="4:11">
      <c r="D7075" s="4">
        <v>5743</v>
      </c>
      <c r="E7075" s="4" t="s">
        <v>223</v>
      </c>
      <c r="J7075" s="3" t="s">
        <v>7295</v>
      </c>
      <c r="K7075" s="3" t="s">
        <v>223</v>
      </c>
    </row>
    <row r="7076" ht="15.6" spans="4:11">
      <c r="D7076" s="4">
        <v>5744</v>
      </c>
      <c r="E7076" s="4" t="s">
        <v>223</v>
      </c>
      <c r="J7076" s="3" t="s">
        <v>7296</v>
      </c>
      <c r="K7076" s="3" t="s">
        <v>223</v>
      </c>
    </row>
    <row r="7077" ht="15.6" spans="4:11">
      <c r="D7077" s="4">
        <v>5745</v>
      </c>
      <c r="E7077" s="4" t="s">
        <v>223</v>
      </c>
      <c r="J7077" s="3" t="s">
        <v>7297</v>
      </c>
      <c r="K7077" s="3" t="s">
        <v>223</v>
      </c>
    </row>
    <row r="7078" ht="15.6" spans="4:11">
      <c r="D7078" s="4">
        <v>5746</v>
      </c>
      <c r="E7078" s="4" t="s">
        <v>223</v>
      </c>
      <c r="J7078" s="3" t="s">
        <v>7298</v>
      </c>
      <c r="K7078" s="3" t="s">
        <v>223</v>
      </c>
    </row>
    <row r="7079" ht="15.6" spans="4:11">
      <c r="D7079" s="4">
        <v>5747</v>
      </c>
      <c r="E7079" s="4" t="s">
        <v>223</v>
      </c>
      <c r="J7079" s="3" t="s">
        <v>7299</v>
      </c>
      <c r="K7079" s="3" t="s">
        <v>223</v>
      </c>
    </row>
    <row r="7080" ht="15.6" spans="4:11">
      <c r="D7080" s="4">
        <v>5748</v>
      </c>
      <c r="E7080" s="4" t="s">
        <v>223</v>
      </c>
      <c r="J7080" s="3" t="s">
        <v>7300</v>
      </c>
      <c r="K7080" s="3" t="s">
        <v>223</v>
      </c>
    </row>
    <row r="7081" ht="15.6" spans="4:11">
      <c r="D7081" s="4">
        <v>5749</v>
      </c>
      <c r="E7081" s="4" t="s">
        <v>223</v>
      </c>
      <c r="J7081" s="3" t="s">
        <v>7301</v>
      </c>
      <c r="K7081" s="3" t="s">
        <v>223</v>
      </c>
    </row>
    <row r="7082" ht="15.6" spans="4:11">
      <c r="D7082" s="4">
        <v>6002</v>
      </c>
      <c r="E7082" s="4" t="s">
        <v>223</v>
      </c>
      <c r="J7082" s="3" t="s">
        <v>7302</v>
      </c>
      <c r="K7082" s="3" t="s">
        <v>223</v>
      </c>
    </row>
    <row r="7083" ht="15.6" spans="4:11">
      <c r="D7083" s="4">
        <v>6013</v>
      </c>
      <c r="E7083" s="4" t="s">
        <v>223</v>
      </c>
      <c r="J7083" s="3" t="s">
        <v>7303</v>
      </c>
      <c r="K7083" s="3" t="s">
        <v>223</v>
      </c>
    </row>
    <row r="7084" ht="15.6" spans="4:11">
      <c r="D7084" s="4">
        <v>6091</v>
      </c>
      <c r="E7084" s="4" t="s">
        <v>223</v>
      </c>
      <c r="J7084" s="3" t="s">
        <v>7304</v>
      </c>
      <c r="K7084" s="3" t="s">
        <v>223</v>
      </c>
    </row>
    <row r="7085" ht="15.6" spans="4:11">
      <c r="D7085" s="4">
        <v>6092</v>
      </c>
      <c r="E7085" s="4" t="s">
        <v>223</v>
      </c>
      <c r="J7085" s="3" t="s">
        <v>7305</v>
      </c>
      <c r="K7085" s="3" t="s">
        <v>223</v>
      </c>
    </row>
    <row r="7086" ht="15.6" spans="4:11">
      <c r="D7086" s="4">
        <v>6093</v>
      </c>
      <c r="E7086" s="4" t="s">
        <v>223</v>
      </c>
      <c r="J7086" s="3" t="s">
        <v>7306</v>
      </c>
      <c r="K7086" s="3" t="s">
        <v>223</v>
      </c>
    </row>
    <row r="7087" ht="15.6" spans="4:11">
      <c r="D7087" s="4">
        <v>6094</v>
      </c>
      <c r="E7087" s="4" t="s">
        <v>223</v>
      </c>
      <c r="J7087" s="3" t="s">
        <v>7307</v>
      </c>
      <c r="K7087" s="3" t="s">
        <v>223</v>
      </c>
    </row>
    <row r="7088" ht="15.6" spans="4:11">
      <c r="D7088" s="4">
        <v>6095</v>
      </c>
      <c r="E7088" s="4" t="s">
        <v>223</v>
      </c>
      <c r="J7088" s="3" t="s">
        <v>7308</v>
      </c>
      <c r="K7088" s="3" t="s">
        <v>223</v>
      </c>
    </row>
    <row r="7089" ht="15.6" spans="4:11">
      <c r="D7089" s="4">
        <v>6096</v>
      </c>
      <c r="E7089" s="4" t="s">
        <v>223</v>
      </c>
      <c r="J7089" s="3" t="s">
        <v>7309</v>
      </c>
      <c r="K7089" s="3" t="s">
        <v>223</v>
      </c>
    </row>
    <row r="7090" ht="15.6" spans="4:11">
      <c r="D7090" s="4">
        <v>6097</v>
      </c>
      <c r="E7090" s="4" t="s">
        <v>223</v>
      </c>
      <c r="J7090" s="3" t="s">
        <v>7310</v>
      </c>
      <c r="K7090" s="3" t="s">
        <v>223</v>
      </c>
    </row>
    <row r="7091" ht="15.6" spans="4:11">
      <c r="D7091" s="4">
        <v>6098</v>
      </c>
      <c r="E7091" s="4" t="s">
        <v>223</v>
      </c>
      <c r="J7091" s="3" t="s">
        <v>7311</v>
      </c>
      <c r="K7091" s="3" t="s">
        <v>223</v>
      </c>
    </row>
    <row r="7092" ht="15.6" spans="4:11">
      <c r="D7092" s="4">
        <v>6099</v>
      </c>
      <c r="E7092" s="4" t="s">
        <v>223</v>
      </c>
      <c r="J7092" s="3" t="s">
        <v>7312</v>
      </c>
      <c r="K7092" s="3" t="s">
        <v>223</v>
      </c>
    </row>
    <row r="7093" ht="15.6" spans="4:11">
      <c r="D7093" s="4">
        <v>6113</v>
      </c>
      <c r="E7093" s="4" t="s">
        <v>223</v>
      </c>
      <c r="J7093" s="3" t="s">
        <v>7313</v>
      </c>
      <c r="K7093" s="3" t="s">
        <v>223</v>
      </c>
    </row>
    <row r="7094" ht="15.6" spans="4:11">
      <c r="D7094" s="4">
        <v>6114</v>
      </c>
      <c r="E7094" s="4" t="s">
        <v>223</v>
      </c>
      <c r="J7094" s="3" t="s">
        <v>7314</v>
      </c>
      <c r="K7094" s="3" t="s">
        <v>223</v>
      </c>
    </row>
    <row r="7095" ht="15.6" spans="4:11">
      <c r="D7095" s="4">
        <v>6115</v>
      </c>
      <c r="E7095" s="4" t="s">
        <v>223</v>
      </c>
      <c r="J7095" s="3" t="s">
        <v>7315</v>
      </c>
      <c r="K7095" s="3" t="s">
        <v>223</v>
      </c>
    </row>
    <row r="7096" ht="15.6" spans="4:11">
      <c r="D7096" s="4">
        <v>6116</v>
      </c>
      <c r="E7096" s="4" t="s">
        <v>223</v>
      </c>
      <c r="J7096" s="3" t="s">
        <v>7316</v>
      </c>
      <c r="K7096" s="3" t="s">
        <v>223</v>
      </c>
    </row>
    <row r="7097" ht="15.6" spans="4:11">
      <c r="D7097" s="4">
        <v>6117</v>
      </c>
      <c r="E7097" s="4" t="s">
        <v>223</v>
      </c>
      <c r="J7097" s="3" t="s">
        <v>7317</v>
      </c>
      <c r="K7097" s="3" t="s">
        <v>223</v>
      </c>
    </row>
    <row r="7098" ht="15.6" spans="4:11">
      <c r="D7098" s="4">
        <v>6118</v>
      </c>
      <c r="E7098" s="4" t="s">
        <v>223</v>
      </c>
      <c r="J7098" s="3" t="s">
        <v>7318</v>
      </c>
      <c r="K7098" s="3" t="s">
        <v>223</v>
      </c>
    </row>
    <row r="7099" ht="15.6" spans="4:11">
      <c r="D7099" s="4">
        <v>6119</v>
      </c>
      <c r="E7099" s="4" t="s">
        <v>223</v>
      </c>
      <c r="J7099" s="3" t="s">
        <v>7319</v>
      </c>
      <c r="K7099" s="3" t="s">
        <v>223</v>
      </c>
    </row>
    <row r="7100" ht="15.6" spans="4:11">
      <c r="D7100" s="4">
        <v>6120</v>
      </c>
      <c r="E7100" s="4" t="s">
        <v>223</v>
      </c>
      <c r="J7100" s="3" t="s">
        <v>7320</v>
      </c>
      <c r="K7100" s="3" t="s">
        <v>223</v>
      </c>
    </row>
    <row r="7101" ht="15.6" spans="4:11">
      <c r="D7101" s="4">
        <v>6183</v>
      </c>
      <c r="E7101" s="4" t="s">
        <v>223</v>
      </c>
      <c r="J7101" s="3" t="s">
        <v>7321</v>
      </c>
      <c r="K7101" s="3" t="s">
        <v>223</v>
      </c>
    </row>
    <row r="7102" ht="15.6" spans="4:11">
      <c r="D7102" s="4">
        <v>6184</v>
      </c>
      <c r="E7102" s="4" t="s">
        <v>223</v>
      </c>
      <c r="J7102" s="3" t="s">
        <v>7322</v>
      </c>
      <c r="K7102" s="3" t="s">
        <v>223</v>
      </c>
    </row>
    <row r="7103" ht="15.6" spans="4:11">
      <c r="D7103" s="4">
        <v>6185</v>
      </c>
      <c r="E7103" s="4" t="s">
        <v>223</v>
      </c>
      <c r="J7103" s="3" t="s">
        <v>7323</v>
      </c>
      <c r="K7103" s="3" t="s">
        <v>223</v>
      </c>
    </row>
    <row r="7104" ht="15.6" spans="4:11">
      <c r="D7104" s="4">
        <v>6186</v>
      </c>
      <c r="E7104" s="4" t="s">
        <v>223</v>
      </c>
      <c r="J7104" s="3" t="s">
        <v>7324</v>
      </c>
      <c r="K7104" s="3" t="s">
        <v>223</v>
      </c>
    </row>
    <row r="7105" ht="15.6" spans="4:11">
      <c r="D7105" s="4">
        <v>6187</v>
      </c>
      <c r="E7105" s="4" t="s">
        <v>223</v>
      </c>
      <c r="J7105" s="3" t="s">
        <v>7325</v>
      </c>
      <c r="K7105" s="3" t="s">
        <v>223</v>
      </c>
    </row>
    <row r="7106" ht="15.6" spans="4:11">
      <c r="D7106" s="4">
        <v>6188</v>
      </c>
      <c r="E7106" s="4" t="s">
        <v>223</v>
      </c>
      <c r="J7106" s="3" t="s">
        <v>7326</v>
      </c>
      <c r="K7106" s="3" t="s">
        <v>223</v>
      </c>
    </row>
    <row r="7107" ht="15.6" spans="4:11">
      <c r="D7107" s="4">
        <v>6189</v>
      </c>
      <c r="E7107" s="4" t="s">
        <v>223</v>
      </c>
      <c r="J7107" s="3" t="s">
        <v>7327</v>
      </c>
      <c r="K7107" s="3" t="s">
        <v>223</v>
      </c>
    </row>
    <row r="7108" ht="15.6" spans="4:11">
      <c r="D7108" s="4">
        <v>6190</v>
      </c>
      <c r="E7108" s="4" t="s">
        <v>223</v>
      </c>
      <c r="J7108" s="3" t="s">
        <v>7328</v>
      </c>
      <c r="K7108" s="3" t="s">
        <v>223</v>
      </c>
    </row>
    <row r="7109" ht="15.6" spans="4:11">
      <c r="D7109" s="4">
        <v>6191</v>
      </c>
      <c r="E7109" s="4" t="s">
        <v>223</v>
      </c>
      <c r="J7109" s="3" t="s">
        <v>7329</v>
      </c>
      <c r="K7109" s="3" t="s">
        <v>223</v>
      </c>
    </row>
    <row r="7110" ht="15.6" spans="4:11">
      <c r="D7110" s="4">
        <v>6192</v>
      </c>
      <c r="E7110" s="4" t="s">
        <v>223</v>
      </c>
      <c r="J7110" s="3" t="s">
        <v>7330</v>
      </c>
      <c r="K7110" s="3" t="s">
        <v>223</v>
      </c>
    </row>
    <row r="7111" ht="15.6" spans="4:11">
      <c r="D7111" s="4">
        <v>6193</v>
      </c>
      <c r="E7111" s="4" t="s">
        <v>223</v>
      </c>
      <c r="J7111" s="3" t="s">
        <v>7331</v>
      </c>
      <c r="K7111" s="3" t="s">
        <v>223</v>
      </c>
    </row>
    <row r="7112" ht="15.6" spans="4:11">
      <c r="D7112" s="4">
        <v>6194</v>
      </c>
      <c r="E7112" s="4" t="s">
        <v>223</v>
      </c>
      <c r="J7112" s="3" t="s">
        <v>7332</v>
      </c>
      <c r="K7112" s="3" t="s">
        <v>223</v>
      </c>
    </row>
    <row r="7113" ht="15.6" spans="4:11">
      <c r="D7113" s="4">
        <v>6195</v>
      </c>
      <c r="E7113" s="4" t="s">
        <v>223</v>
      </c>
      <c r="J7113" s="3" t="s">
        <v>7333</v>
      </c>
      <c r="K7113" s="3" t="s">
        <v>223</v>
      </c>
    </row>
    <row r="7114" ht="15.6" spans="4:11">
      <c r="D7114" s="4">
        <v>6196</v>
      </c>
      <c r="E7114" s="4" t="s">
        <v>223</v>
      </c>
      <c r="J7114" s="3" t="s">
        <v>7334</v>
      </c>
      <c r="K7114" s="3" t="s">
        <v>223</v>
      </c>
    </row>
    <row r="7115" ht="15.6" spans="4:11">
      <c r="D7115" s="4">
        <v>6197</v>
      </c>
      <c r="E7115" s="4" t="s">
        <v>223</v>
      </c>
      <c r="J7115" s="3" t="s">
        <v>7335</v>
      </c>
      <c r="K7115" s="3" t="s">
        <v>223</v>
      </c>
    </row>
    <row r="7116" ht="15.6" spans="4:11">
      <c r="D7116" s="4">
        <v>6198</v>
      </c>
      <c r="E7116" s="4" t="s">
        <v>223</v>
      </c>
      <c r="J7116" s="3" t="s">
        <v>7336</v>
      </c>
      <c r="K7116" s="3" t="s">
        <v>223</v>
      </c>
    </row>
    <row r="7117" ht="15.6" spans="4:11">
      <c r="D7117" s="4">
        <v>6199</v>
      </c>
      <c r="E7117" s="4" t="s">
        <v>223</v>
      </c>
      <c r="J7117" s="3" t="s">
        <v>7337</v>
      </c>
      <c r="K7117" s="3" t="s">
        <v>223</v>
      </c>
    </row>
    <row r="7118" ht="15.6" spans="4:11">
      <c r="D7118" s="4">
        <v>6200</v>
      </c>
      <c r="E7118" s="4" t="s">
        <v>223</v>
      </c>
      <c r="J7118" s="3" t="s">
        <v>7338</v>
      </c>
      <c r="K7118" s="3" t="s">
        <v>223</v>
      </c>
    </row>
    <row r="7119" ht="15.6" spans="4:11">
      <c r="D7119" s="4">
        <v>6201</v>
      </c>
      <c r="E7119" s="4" t="s">
        <v>223</v>
      </c>
      <c r="J7119" s="3" t="s">
        <v>7339</v>
      </c>
      <c r="K7119" s="3" t="s">
        <v>223</v>
      </c>
    </row>
    <row r="7120" ht="15.6" spans="4:11">
      <c r="D7120" s="4">
        <v>6202</v>
      </c>
      <c r="E7120" s="4" t="s">
        <v>223</v>
      </c>
      <c r="J7120" s="3" t="s">
        <v>7340</v>
      </c>
      <c r="K7120" s="3" t="s">
        <v>223</v>
      </c>
    </row>
    <row r="7121" ht="15.6" spans="4:11">
      <c r="D7121" s="4">
        <v>6203</v>
      </c>
      <c r="E7121" s="4" t="s">
        <v>223</v>
      </c>
      <c r="J7121" s="3" t="s">
        <v>7341</v>
      </c>
      <c r="K7121" s="3" t="s">
        <v>223</v>
      </c>
    </row>
    <row r="7122" ht="15.6" spans="4:11">
      <c r="D7122" s="4">
        <v>6204</v>
      </c>
      <c r="E7122" s="4" t="s">
        <v>223</v>
      </c>
      <c r="J7122" s="3" t="s">
        <v>7342</v>
      </c>
      <c r="K7122" s="3" t="s">
        <v>223</v>
      </c>
    </row>
    <row r="7123" ht="15.6" spans="4:11">
      <c r="D7123" s="4">
        <v>6205</v>
      </c>
      <c r="E7123" s="4" t="s">
        <v>223</v>
      </c>
      <c r="J7123" s="3" t="s">
        <v>7343</v>
      </c>
      <c r="K7123" s="3" t="s">
        <v>223</v>
      </c>
    </row>
    <row r="7124" ht="15.6" spans="4:11">
      <c r="D7124" s="4">
        <v>6206</v>
      </c>
      <c r="E7124" s="4" t="s">
        <v>223</v>
      </c>
      <c r="J7124" s="3" t="s">
        <v>7344</v>
      </c>
      <c r="K7124" s="3" t="s">
        <v>223</v>
      </c>
    </row>
    <row r="7125" ht="15.6" spans="4:11">
      <c r="D7125" s="4">
        <v>6215</v>
      </c>
      <c r="E7125" s="4" t="s">
        <v>223</v>
      </c>
      <c r="J7125" s="3" t="s">
        <v>7345</v>
      </c>
      <c r="K7125" s="3" t="s">
        <v>223</v>
      </c>
    </row>
    <row r="7126" ht="15.6" spans="4:11">
      <c r="D7126" s="4">
        <v>6216</v>
      </c>
      <c r="E7126" s="4" t="s">
        <v>223</v>
      </c>
      <c r="J7126" s="3" t="s">
        <v>7346</v>
      </c>
      <c r="K7126" s="3" t="s">
        <v>223</v>
      </c>
    </row>
    <row r="7127" ht="15.6" spans="4:11">
      <c r="D7127" s="4">
        <v>6217</v>
      </c>
      <c r="E7127" s="4" t="s">
        <v>223</v>
      </c>
      <c r="J7127" s="3" t="s">
        <v>7347</v>
      </c>
      <c r="K7127" s="3" t="s">
        <v>223</v>
      </c>
    </row>
    <row r="7128" ht="15.6" spans="4:11">
      <c r="D7128" s="4">
        <v>6218</v>
      </c>
      <c r="E7128" s="4" t="s">
        <v>223</v>
      </c>
      <c r="J7128" s="3" t="s">
        <v>7348</v>
      </c>
      <c r="K7128" s="3" t="s">
        <v>223</v>
      </c>
    </row>
    <row r="7129" ht="15.6" spans="4:11">
      <c r="D7129" s="4">
        <v>6219</v>
      </c>
      <c r="E7129" s="4" t="s">
        <v>223</v>
      </c>
      <c r="J7129" s="3" t="s">
        <v>7349</v>
      </c>
      <c r="K7129" s="3" t="s">
        <v>223</v>
      </c>
    </row>
    <row r="7130" ht="15.6" spans="4:11">
      <c r="D7130" s="4">
        <v>6220</v>
      </c>
      <c r="E7130" s="4" t="s">
        <v>223</v>
      </c>
      <c r="J7130" s="3" t="s">
        <v>7350</v>
      </c>
      <c r="K7130" s="3" t="s">
        <v>223</v>
      </c>
    </row>
    <row r="7131" ht="15.6" spans="4:11">
      <c r="D7131" s="4">
        <v>6221</v>
      </c>
      <c r="E7131" s="4" t="s">
        <v>223</v>
      </c>
      <c r="J7131" s="3" t="s">
        <v>7351</v>
      </c>
      <c r="K7131" s="3" t="s">
        <v>223</v>
      </c>
    </row>
    <row r="7132" ht="15.6" spans="4:11">
      <c r="D7132" s="4">
        <v>6222</v>
      </c>
      <c r="E7132" s="4" t="s">
        <v>223</v>
      </c>
      <c r="J7132" s="3" t="s">
        <v>7352</v>
      </c>
      <c r="K7132" s="3" t="s">
        <v>223</v>
      </c>
    </row>
    <row r="7133" ht="15.6" spans="4:11">
      <c r="D7133" s="4">
        <v>6223</v>
      </c>
      <c r="E7133" s="4" t="s">
        <v>223</v>
      </c>
      <c r="J7133" s="3" t="s">
        <v>7353</v>
      </c>
      <c r="K7133" s="3" t="s">
        <v>223</v>
      </c>
    </row>
    <row r="7134" ht="15.6" spans="4:11">
      <c r="D7134" s="4">
        <v>6224</v>
      </c>
      <c r="E7134" s="4" t="s">
        <v>223</v>
      </c>
      <c r="J7134" s="3" t="s">
        <v>7354</v>
      </c>
      <c r="K7134" s="3" t="s">
        <v>223</v>
      </c>
    </row>
    <row r="7135" ht="15.6" spans="4:11">
      <c r="D7135" s="4">
        <v>6225</v>
      </c>
      <c r="E7135" s="4" t="s">
        <v>223</v>
      </c>
      <c r="J7135" s="3" t="s">
        <v>7355</v>
      </c>
      <c r="K7135" s="3" t="s">
        <v>223</v>
      </c>
    </row>
    <row r="7136" ht="15.6" spans="4:11">
      <c r="D7136" s="4">
        <v>6226</v>
      </c>
      <c r="E7136" s="4" t="s">
        <v>223</v>
      </c>
      <c r="J7136" s="3" t="s">
        <v>7356</v>
      </c>
      <c r="K7136" s="3" t="s">
        <v>223</v>
      </c>
    </row>
    <row r="7137" ht="15.6" spans="4:11">
      <c r="D7137" s="4">
        <v>6227</v>
      </c>
      <c r="E7137" s="4" t="s">
        <v>223</v>
      </c>
      <c r="J7137" s="3" t="s">
        <v>7357</v>
      </c>
      <c r="K7137" s="3" t="s">
        <v>223</v>
      </c>
    </row>
    <row r="7138" ht="15.6" spans="4:11">
      <c r="D7138" s="4">
        <v>6228</v>
      </c>
      <c r="E7138" s="4" t="s">
        <v>223</v>
      </c>
      <c r="J7138" s="3" t="s">
        <v>7358</v>
      </c>
      <c r="K7138" s="3" t="s">
        <v>223</v>
      </c>
    </row>
    <row r="7139" ht="15.6" spans="4:11">
      <c r="D7139" s="4">
        <v>6229</v>
      </c>
      <c r="E7139" s="4" t="s">
        <v>223</v>
      </c>
      <c r="J7139" s="3" t="s">
        <v>7359</v>
      </c>
      <c r="K7139" s="3" t="s">
        <v>223</v>
      </c>
    </row>
    <row r="7140" ht="15.6" spans="4:11">
      <c r="D7140" s="4">
        <v>6230</v>
      </c>
      <c r="E7140" s="4" t="s">
        <v>223</v>
      </c>
      <c r="J7140" s="3" t="s">
        <v>7360</v>
      </c>
      <c r="K7140" s="3" t="s">
        <v>223</v>
      </c>
    </row>
    <row r="7141" ht="15.6" spans="4:11">
      <c r="D7141" s="4">
        <v>6231</v>
      </c>
      <c r="E7141" s="4" t="s">
        <v>223</v>
      </c>
      <c r="J7141" s="3" t="s">
        <v>7361</v>
      </c>
      <c r="K7141" s="3" t="s">
        <v>223</v>
      </c>
    </row>
    <row r="7142" ht="15.6" spans="4:11">
      <c r="D7142" s="4">
        <v>6232</v>
      </c>
      <c r="E7142" s="4" t="s">
        <v>223</v>
      </c>
      <c r="J7142" s="3" t="s">
        <v>7362</v>
      </c>
      <c r="K7142" s="3" t="s">
        <v>223</v>
      </c>
    </row>
    <row r="7143" ht="15.6" spans="4:11">
      <c r="D7143" s="4">
        <v>6233</v>
      </c>
      <c r="E7143" s="4" t="s">
        <v>223</v>
      </c>
      <c r="J7143" s="3" t="s">
        <v>7363</v>
      </c>
      <c r="K7143" s="3" t="s">
        <v>223</v>
      </c>
    </row>
    <row r="7144" ht="15.6" spans="4:11">
      <c r="D7144" s="4">
        <v>6234</v>
      </c>
      <c r="E7144" s="4" t="s">
        <v>223</v>
      </c>
      <c r="J7144" s="3" t="s">
        <v>7364</v>
      </c>
      <c r="K7144" s="3" t="s">
        <v>223</v>
      </c>
    </row>
    <row r="7145" ht="15.6" spans="4:11">
      <c r="D7145" s="4">
        <v>6235</v>
      </c>
      <c r="E7145" s="4" t="s">
        <v>223</v>
      </c>
      <c r="J7145" s="3" t="s">
        <v>7365</v>
      </c>
      <c r="K7145" s="3" t="s">
        <v>223</v>
      </c>
    </row>
    <row r="7146" ht="15.6" spans="4:11">
      <c r="D7146" s="4">
        <v>6236</v>
      </c>
      <c r="E7146" s="4" t="s">
        <v>223</v>
      </c>
      <c r="J7146" s="3" t="s">
        <v>7366</v>
      </c>
      <c r="K7146" s="3" t="s">
        <v>223</v>
      </c>
    </row>
    <row r="7147" ht="15.6" spans="4:11">
      <c r="D7147" s="4">
        <v>6237</v>
      </c>
      <c r="E7147" s="4" t="s">
        <v>223</v>
      </c>
      <c r="J7147" s="3" t="s">
        <v>7367</v>
      </c>
      <c r="K7147" s="3" t="s">
        <v>223</v>
      </c>
    </row>
    <row r="7148" ht="15.6" spans="4:11">
      <c r="D7148" s="4">
        <v>6238</v>
      </c>
      <c r="E7148" s="4" t="s">
        <v>223</v>
      </c>
      <c r="J7148" s="3" t="s">
        <v>7368</v>
      </c>
      <c r="K7148" s="3" t="s">
        <v>223</v>
      </c>
    </row>
    <row r="7149" ht="15.6" spans="4:11">
      <c r="D7149" s="4">
        <v>6239</v>
      </c>
      <c r="E7149" s="4" t="s">
        <v>223</v>
      </c>
      <c r="J7149" s="3" t="s">
        <v>7369</v>
      </c>
      <c r="K7149" s="3" t="s">
        <v>223</v>
      </c>
    </row>
    <row r="7150" ht="15.6" spans="4:11">
      <c r="D7150" s="4">
        <v>6240</v>
      </c>
      <c r="E7150" s="4" t="s">
        <v>223</v>
      </c>
      <c r="J7150" s="3" t="s">
        <v>7370</v>
      </c>
      <c r="K7150" s="3" t="s">
        <v>223</v>
      </c>
    </row>
    <row r="7151" ht="15.6" spans="4:11">
      <c r="D7151" s="4">
        <v>6241</v>
      </c>
      <c r="E7151" s="4" t="s">
        <v>223</v>
      </c>
      <c r="J7151" s="3" t="s">
        <v>7371</v>
      </c>
      <c r="K7151" s="3" t="s">
        <v>223</v>
      </c>
    </row>
    <row r="7152" ht="15.6" spans="4:11">
      <c r="D7152" s="4">
        <v>6242</v>
      </c>
      <c r="E7152" s="4" t="s">
        <v>223</v>
      </c>
      <c r="J7152" s="3" t="s">
        <v>7372</v>
      </c>
      <c r="K7152" s="3" t="s">
        <v>223</v>
      </c>
    </row>
    <row r="7153" ht="15.6" spans="4:11">
      <c r="D7153" s="4">
        <v>6243</v>
      </c>
      <c r="E7153" s="4" t="s">
        <v>223</v>
      </c>
      <c r="J7153" s="3" t="s">
        <v>7373</v>
      </c>
      <c r="K7153" s="3" t="s">
        <v>223</v>
      </c>
    </row>
    <row r="7154" ht="15.6" spans="4:11">
      <c r="D7154" s="4">
        <v>6244</v>
      </c>
      <c r="E7154" s="4" t="s">
        <v>223</v>
      </c>
      <c r="J7154" s="3" t="s">
        <v>7374</v>
      </c>
      <c r="K7154" s="3" t="s">
        <v>223</v>
      </c>
    </row>
    <row r="7155" ht="15.6" spans="4:11">
      <c r="D7155" s="4">
        <v>6245</v>
      </c>
      <c r="E7155" s="4" t="s">
        <v>223</v>
      </c>
      <c r="J7155" s="3" t="s">
        <v>7375</v>
      </c>
      <c r="K7155" s="3" t="s">
        <v>223</v>
      </c>
    </row>
    <row r="7156" ht="15.6" spans="4:11">
      <c r="D7156" s="4">
        <v>6246</v>
      </c>
      <c r="E7156" s="4" t="s">
        <v>223</v>
      </c>
      <c r="J7156" s="3" t="s">
        <v>7376</v>
      </c>
      <c r="K7156" s="3" t="s">
        <v>223</v>
      </c>
    </row>
    <row r="7157" ht="15.6" spans="4:11">
      <c r="D7157" s="4">
        <v>6247</v>
      </c>
      <c r="E7157" s="4" t="s">
        <v>223</v>
      </c>
      <c r="J7157" s="3" t="s">
        <v>7377</v>
      </c>
      <c r="K7157" s="3" t="s">
        <v>223</v>
      </c>
    </row>
    <row r="7158" ht="15.6" spans="4:11">
      <c r="D7158" s="4">
        <v>6248</v>
      </c>
      <c r="E7158" s="4" t="s">
        <v>223</v>
      </c>
      <c r="J7158" s="3" t="s">
        <v>7378</v>
      </c>
      <c r="K7158" s="3" t="s">
        <v>223</v>
      </c>
    </row>
    <row r="7159" ht="15.6" spans="4:11">
      <c r="D7159" s="4">
        <v>6249</v>
      </c>
      <c r="E7159" s="4" t="s">
        <v>223</v>
      </c>
      <c r="J7159" s="3" t="s">
        <v>7379</v>
      </c>
      <c r="K7159" s="3" t="s">
        <v>223</v>
      </c>
    </row>
    <row r="7160" ht="15.6" spans="4:11">
      <c r="D7160" s="4">
        <v>6250</v>
      </c>
      <c r="E7160" s="4" t="s">
        <v>223</v>
      </c>
      <c r="J7160" s="3" t="s">
        <v>7380</v>
      </c>
      <c r="K7160" s="3" t="s">
        <v>223</v>
      </c>
    </row>
    <row r="7161" ht="15.6" spans="4:11">
      <c r="D7161" s="4">
        <v>6251</v>
      </c>
      <c r="E7161" s="4" t="s">
        <v>223</v>
      </c>
      <c r="J7161" s="3" t="s">
        <v>7381</v>
      </c>
      <c r="K7161" s="3" t="s">
        <v>223</v>
      </c>
    </row>
    <row r="7162" ht="15.6" spans="4:11">
      <c r="D7162" s="4">
        <v>6252</v>
      </c>
      <c r="E7162" s="4" t="s">
        <v>223</v>
      </c>
      <c r="J7162" s="3" t="s">
        <v>7382</v>
      </c>
      <c r="K7162" s="3" t="s">
        <v>223</v>
      </c>
    </row>
    <row r="7163" ht="15.6" spans="4:11">
      <c r="D7163" s="4">
        <v>6253</v>
      </c>
      <c r="E7163" s="4" t="s">
        <v>223</v>
      </c>
      <c r="J7163" s="3" t="s">
        <v>7383</v>
      </c>
      <c r="K7163" s="3" t="s">
        <v>223</v>
      </c>
    </row>
    <row r="7164" ht="15.6" spans="4:11">
      <c r="D7164" s="4">
        <v>6254</v>
      </c>
      <c r="E7164" s="4" t="s">
        <v>223</v>
      </c>
      <c r="J7164" s="3" t="s">
        <v>7384</v>
      </c>
      <c r="K7164" s="3" t="s">
        <v>223</v>
      </c>
    </row>
    <row r="7165" ht="15.6" spans="4:11">
      <c r="D7165" s="4">
        <v>6255</v>
      </c>
      <c r="E7165" s="4" t="s">
        <v>223</v>
      </c>
      <c r="J7165" s="3" t="s">
        <v>7385</v>
      </c>
      <c r="K7165" s="3" t="s">
        <v>223</v>
      </c>
    </row>
    <row r="7166" ht="15.6" spans="4:11">
      <c r="D7166" s="4">
        <v>6256</v>
      </c>
      <c r="E7166" s="4" t="s">
        <v>223</v>
      </c>
      <c r="J7166" s="3" t="s">
        <v>7386</v>
      </c>
      <c r="K7166" s="3" t="s">
        <v>223</v>
      </c>
    </row>
    <row r="7167" ht="15.6" spans="4:11">
      <c r="D7167" s="4">
        <v>6257</v>
      </c>
      <c r="E7167" s="4" t="s">
        <v>223</v>
      </c>
      <c r="J7167" s="3" t="s">
        <v>7387</v>
      </c>
      <c r="K7167" s="3" t="s">
        <v>223</v>
      </c>
    </row>
    <row r="7168" ht="15.6" spans="4:11">
      <c r="D7168" s="4">
        <v>6258</v>
      </c>
      <c r="E7168" s="4" t="s">
        <v>223</v>
      </c>
      <c r="J7168" s="3" t="s">
        <v>7388</v>
      </c>
      <c r="K7168" s="3" t="s">
        <v>223</v>
      </c>
    </row>
    <row r="7169" ht="15.6" spans="4:11">
      <c r="D7169" s="4">
        <v>6259</v>
      </c>
      <c r="E7169" s="4" t="s">
        <v>223</v>
      </c>
      <c r="J7169" s="3" t="s">
        <v>7389</v>
      </c>
      <c r="K7169" s="3" t="s">
        <v>223</v>
      </c>
    </row>
    <row r="7170" ht="15.6" spans="4:11">
      <c r="D7170" s="4">
        <v>6260</v>
      </c>
      <c r="E7170" s="4" t="s">
        <v>223</v>
      </c>
      <c r="J7170" s="3" t="s">
        <v>7390</v>
      </c>
      <c r="K7170" s="3" t="s">
        <v>223</v>
      </c>
    </row>
    <row r="7171" ht="15.6" spans="4:11">
      <c r="D7171" s="4">
        <v>6261</v>
      </c>
      <c r="E7171" s="4" t="s">
        <v>223</v>
      </c>
      <c r="J7171" s="3" t="s">
        <v>7391</v>
      </c>
      <c r="K7171" s="3" t="s">
        <v>223</v>
      </c>
    </row>
    <row r="7172" ht="15.6" spans="4:11">
      <c r="D7172" s="4">
        <v>6262</v>
      </c>
      <c r="E7172" s="4" t="s">
        <v>223</v>
      </c>
      <c r="J7172" s="3" t="s">
        <v>7392</v>
      </c>
      <c r="K7172" s="3" t="s">
        <v>223</v>
      </c>
    </row>
    <row r="7173" ht="15.6" spans="4:11">
      <c r="D7173" s="4">
        <v>6263</v>
      </c>
      <c r="E7173" s="4" t="s">
        <v>223</v>
      </c>
      <c r="J7173" s="3" t="s">
        <v>7393</v>
      </c>
      <c r="K7173" s="3" t="s">
        <v>223</v>
      </c>
    </row>
    <row r="7174" ht="15.6" spans="4:11">
      <c r="D7174" s="4">
        <v>6264</v>
      </c>
      <c r="E7174" s="4" t="s">
        <v>223</v>
      </c>
      <c r="J7174" s="3" t="s">
        <v>7394</v>
      </c>
      <c r="K7174" s="3" t="s">
        <v>223</v>
      </c>
    </row>
    <row r="7175" ht="15.6" spans="4:11">
      <c r="D7175" s="4">
        <v>6265</v>
      </c>
      <c r="E7175" s="4" t="s">
        <v>223</v>
      </c>
      <c r="J7175" s="3" t="s">
        <v>7395</v>
      </c>
      <c r="K7175" s="3" t="s">
        <v>223</v>
      </c>
    </row>
    <row r="7176" ht="15.6" spans="4:11">
      <c r="D7176" s="4">
        <v>6266</v>
      </c>
      <c r="E7176" s="4" t="s">
        <v>223</v>
      </c>
      <c r="J7176" s="3" t="s">
        <v>7396</v>
      </c>
      <c r="K7176" s="3" t="s">
        <v>223</v>
      </c>
    </row>
    <row r="7177" ht="15.6" spans="4:11">
      <c r="D7177" s="4">
        <v>6267</v>
      </c>
      <c r="E7177" s="4" t="s">
        <v>223</v>
      </c>
      <c r="J7177" s="3" t="s">
        <v>7397</v>
      </c>
      <c r="K7177" s="3" t="s">
        <v>223</v>
      </c>
    </row>
    <row r="7178" ht="15.6" spans="4:11">
      <c r="D7178" s="4">
        <v>6268</v>
      </c>
      <c r="E7178" s="4" t="s">
        <v>223</v>
      </c>
      <c r="J7178" s="3" t="s">
        <v>7398</v>
      </c>
      <c r="K7178" s="3" t="s">
        <v>223</v>
      </c>
    </row>
    <row r="7179" ht="15.6" spans="4:11">
      <c r="D7179" s="4">
        <v>6269</v>
      </c>
      <c r="E7179" s="4" t="s">
        <v>223</v>
      </c>
      <c r="J7179" s="3" t="s">
        <v>7399</v>
      </c>
      <c r="K7179" s="3" t="s">
        <v>223</v>
      </c>
    </row>
    <row r="7180" ht="15.6" spans="4:11">
      <c r="D7180" s="4">
        <v>6270</v>
      </c>
      <c r="E7180" s="4" t="s">
        <v>223</v>
      </c>
      <c r="J7180" s="3" t="s">
        <v>7400</v>
      </c>
      <c r="K7180" s="3" t="s">
        <v>223</v>
      </c>
    </row>
    <row r="7181" ht="15.6" spans="4:11">
      <c r="D7181" s="4">
        <v>6271</v>
      </c>
      <c r="E7181" s="4" t="s">
        <v>223</v>
      </c>
      <c r="J7181" s="3" t="s">
        <v>7401</v>
      </c>
      <c r="K7181" s="3" t="s">
        <v>223</v>
      </c>
    </row>
    <row r="7182" ht="15.6" spans="4:11">
      <c r="D7182" s="4">
        <v>6272</v>
      </c>
      <c r="E7182" s="4" t="s">
        <v>223</v>
      </c>
      <c r="J7182" s="3" t="s">
        <v>7402</v>
      </c>
      <c r="K7182" s="3" t="s">
        <v>223</v>
      </c>
    </row>
    <row r="7183" ht="15.6" spans="4:11">
      <c r="D7183" s="4">
        <v>6273</v>
      </c>
      <c r="E7183" s="4" t="s">
        <v>223</v>
      </c>
      <c r="J7183" s="3" t="s">
        <v>7403</v>
      </c>
      <c r="K7183" s="3" t="s">
        <v>223</v>
      </c>
    </row>
    <row r="7184" ht="15.6" spans="4:11">
      <c r="D7184" s="4">
        <v>6274</v>
      </c>
      <c r="E7184" s="4" t="s">
        <v>223</v>
      </c>
      <c r="J7184" s="3" t="s">
        <v>7404</v>
      </c>
      <c r="K7184" s="3" t="s">
        <v>223</v>
      </c>
    </row>
    <row r="7185" ht="15.6" spans="4:11">
      <c r="D7185" s="4">
        <v>6275</v>
      </c>
      <c r="E7185" s="4" t="s">
        <v>223</v>
      </c>
      <c r="J7185" s="3" t="s">
        <v>7405</v>
      </c>
      <c r="K7185" s="3" t="s">
        <v>223</v>
      </c>
    </row>
    <row r="7186" ht="15.6" spans="4:11">
      <c r="D7186" s="4">
        <v>6276</v>
      </c>
      <c r="E7186" s="4" t="s">
        <v>223</v>
      </c>
      <c r="J7186" s="3" t="s">
        <v>7406</v>
      </c>
      <c r="K7186" s="3" t="s">
        <v>223</v>
      </c>
    </row>
    <row r="7187" ht="15.6" spans="4:11">
      <c r="D7187" s="4">
        <v>6277</v>
      </c>
      <c r="E7187" s="4" t="s">
        <v>223</v>
      </c>
      <c r="J7187" s="3" t="s">
        <v>7407</v>
      </c>
      <c r="K7187" s="3" t="s">
        <v>223</v>
      </c>
    </row>
    <row r="7188" ht="15.6" spans="4:11">
      <c r="D7188" s="4">
        <v>6278</v>
      </c>
      <c r="E7188" s="4" t="s">
        <v>223</v>
      </c>
      <c r="J7188" s="3" t="s">
        <v>7408</v>
      </c>
      <c r="K7188" s="3" t="s">
        <v>223</v>
      </c>
    </row>
    <row r="7189" ht="15.6" spans="4:11">
      <c r="D7189" s="4">
        <v>6279</v>
      </c>
      <c r="E7189" s="4" t="s">
        <v>223</v>
      </c>
      <c r="J7189" s="3" t="s">
        <v>7409</v>
      </c>
      <c r="K7189" s="3" t="s">
        <v>223</v>
      </c>
    </row>
    <row r="7190" ht="15.6" spans="4:11">
      <c r="D7190" s="4">
        <v>6280</v>
      </c>
      <c r="E7190" s="4" t="s">
        <v>223</v>
      </c>
      <c r="J7190" s="3" t="s">
        <v>7410</v>
      </c>
      <c r="K7190" s="3" t="s">
        <v>223</v>
      </c>
    </row>
    <row r="7191" ht="15.6" spans="4:11">
      <c r="D7191" s="4">
        <v>6281</v>
      </c>
      <c r="E7191" s="4" t="s">
        <v>223</v>
      </c>
      <c r="J7191" s="3" t="s">
        <v>7411</v>
      </c>
      <c r="K7191" s="3" t="s">
        <v>223</v>
      </c>
    </row>
    <row r="7192" ht="15.6" spans="4:11">
      <c r="D7192" s="4">
        <v>6282</v>
      </c>
      <c r="E7192" s="4" t="s">
        <v>223</v>
      </c>
      <c r="J7192" s="3" t="s">
        <v>7412</v>
      </c>
      <c r="K7192" s="3" t="s">
        <v>223</v>
      </c>
    </row>
    <row r="7193" ht="15.6" spans="4:11">
      <c r="D7193" s="4">
        <v>6283</v>
      </c>
      <c r="E7193" s="4" t="s">
        <v>223</v>
      </c>
      <c r="J7193" s="3" t="s">
        <v>7413</v>
      </c>
      <c r="K7193" s="3" t="s">
        <v>223</v>
      </c>
    </row>
    <row r="7194" ht="15.6" spans="4:11">
      <c r="D7194" s="4">
        <v>6284</v>
      </c>
      <c r="E7194" s="4" t="s">
        <v>223</v>
      </c>
      <c r="J7194" s="3" t="s">
        <v>7414</v>
      </c>
      <c r="K7194" s="3" t="s">
        <v>223</v>
      </c>
    </row>
    <row r="7195" ht="15.6" spans="4:11">
      <c r="D7195" s="4">
        <v>6285</v>
      </c>
      <c r="E7195" s="4" t="s">
        <v>223</v>
      </c>
      <c r="J7195" s="3" t="s">
        <v>7415</v>
      </c>
      <c r="K7195" s="3" t="s">
        <v>223</v>
      </c>
    </row>
    <row r="7196" ht="15.6" spans="4:11">
      <c r="D7196" s="4">
        <v>6286</v>
      </c>
      <c r="E7196" s="4" t="s">
        <v>223</v>
      </c>
      <c r="J7196" s="3" t="s">
        <v>7416</v>
      </c>
      <c r="K7196" s="3" t="s">
        <v>223</v>
      </c>
    </row>
    <row r="7197" ht="15.6" spans="4:11">
      <c r="D7197" s="4">
        <v>6287</v>
      </c>
      <c r="E7197" s="4" t="s">
        <v>223</v>
      </c>
      <c r="J7197" s="3" t="s">
        <v>7417</v>
      </c>
      <c r="K7197" s="3" t="s">
        <v>223</v>
      </c>
    </row>
    <row r="7198" ht="15.6" spans="4:11">
      <c r="D7198" s="4">
        <v>6288</v>
      </c>
      <c r="E7198" s="4" t="s">
        <v>223</v>
      </c>
      <c r="J7198" s="3" t="s">
        <v>7418</v>
      </c>
      <c r="K7198" s="3" t="s">
        <v>223</v>
      </c>
    </row>
    <row r="7199" ht="15.6" spans="4:11">
      <c r="D7199" s="4">
        <v>6289</v>
      </c>
      <c r="E7199" s="4" t="s">
        <v>223</v>
      </c>
      <c r="J7199" s="3" t="s">
        <v>7419</v>
      </c>
      <c r="K7199" s="3" t="s">
        <v>223</v>
      </c>
    </row>
    <row r="7200" ht="15.6" spans="4:11">
      <c r="D7200" s="4">
        <v>6290</v>
      </c>
      <c r="E7200" s="4" t="s">
        <v>223</v>
      </c>
      <c r="J7200" s="3" t="s">
        <v>7420</v>
      </c>
      <c r="K7200" s="3" t="s">
        <v>223</v>
      </c>
    </row>
    <row r="7201" ht="15.6" spans="4:11">
      <c r="D7201" s="4">
        <v>6291</v>
      </c>
      <c r="E7201" s="4" t="s">
        <v>223</v>
      </c>
      <c r="J7201" s="3" t="s">
        <v>7421</v>
      </c>
      <c r="K7201" s="3" t="s">
        <v>223</v>
      </c>
    </row>
    <row r="7202" ht="15.6" spans="4:11">
      <c r="D7202" s="4">
        <v>6292</v>
      </c>
      <c r="E7202" s="4" t="s">
        <v>223</v>
      </c>
      <c r="J7202" s="3" t="s">
        <v>7422</v>
      </c>
      <c r="K7202" s="3" t="s">
        <v>223</v>
      </c>
    </row>
    <row r="7203" ht="15.6" spans="4:11">
      <c r="D7203" s="4">
        <v>6293</v>
      </c>
      <c r="E7203" s="4" t="s">
        <v>223</v>
      </c>
      <c r="J7203" s="3" t="s">
        <v>7423</v>
      </c>
      <c r="K7203" s="3" t="s">
        <v>223</v>
      </c>
    </row>
    <row r="7204" ht="15.6" spans="4:11">
      <c r="D7204" s="4">
        <v>6294</v>
      </c>
      <c r="E7204" s="4" t="s">
        <v>223</v>
      </c>
      <c r="J7204" s="3" t="s">
        <v>7424</v>
      </c>
      <c r="K7204" s="3" t="s">
        <v>223</v>
      </c>
    </row>
    <row r="7205" ht="15.6" spans="4:11">
      <c r="D7205" s="4">
        <v>6295</v>
      </c>
      <c r="E7205" s="4" t="s">
        <v>223</v>
      </c>
      <c r="J7205" s="3" t="s">
        <v>7425</v>
      </c>
      <c r="K7205" s="3" t="s">
        <v>223</v>
      </c>
    </row>
    <row r="7206" ht="15.6" spans="4:11">
      <c r="D7206" s="4">
        <v>6296</v>
      </c>
      <c r="E7206" s="4" t="s">
        <v>223</v>
      </c>
      <c r="J7206" s="3" t="s">
        <v>7426</v>
      </c>
      <c r="K7206" s="3" t="s">
        <v>223</v>
      </c>
    </row>
    <row r="7207" ht="15.6" spans="4:11">
      <c r="D7207" s="4">
        <v>6297</v>
      </c>
      <c r="E7207" s="4" t="s">
        <v>223</v>
      </c>
      <c r="J7207" s="3" t="s">
        <v>7427</v>
      </c>
      <c r="K7207" s="3" t="s">
        <v>223</v>
      </c>
    </row>
    <row r="7208" ht="15.6" spans="4:11">
      <c r="D7208" s="4">
        <v>6298</v>
      </c>
      <c r="E7208" s="4" t="s">
        <v>223</v>
      </c>
      <c r="J7208" s="3" t="s">
        <v>7428</v>
      </c>
      <c r="K7208" s="3" t="s">
        <v>223</v>
      </c>
    </row>
    <row r="7209" ht="15.6" spans="4:11">
      <c r="D7209" s="4">
        <v>6299</v>
      </c>
      <c r="E7209" s="4" t="s">
        <v>223</v>
      </c>
      <c r="J7209" s="3" t="s">
        <v>7429</v>
      </c>
      <c r="K7209" s="3" t="s">
        <v>223</v>
      </c>
    </row>
    <row r="7210" ht="15.6" spans="4:11">
      <c r="D7210" s="4">
        <v>6300</v>
      </c>
      <c r="E7210" s="4" t="s">
        <v>223</v>
      </c>
      <c r="J7210" s="3" t="s">
        <v>7430</v>
      </c>
      <c r="K7210" s="3" t="s">
        <v>223</v>
      </c>
    </row>
    <row r="7211" ht="15.6" spans="4:11">
      <c r="D7211" s="4">
        <v>6301</v>
      </c>
      <c r="E7211" s="4" t="s">
        <v>223</v>
      </c>
      <c r="J7211" s="3" t="s">
        <v>7431</v>
      </c>
      <c r="K7211" s="3" t="s">
        <v>223</v>
      </c>
    </row>
    <row r="7212" ht="15.6" spans="4:11">
      <c r="D7212" s="4">
        <v>6302</v>
      </c>
      <c r="E7212" s="4" t="s">
        <v>223</v>
      </c>
      <c r="J7212" s="3" t="s">
        <v>7432</v>
      </c>
      <c r="K7212" s="3" t="s">
        <v>223</v>
      </c>
    </row>
    <row r="7213" ht="15.6" spans="4:11">
      <c r="D7213" s="4">
        <v>6303</v>
      </c>
      <c r="E7213" s="4" t="s">
        <v>223</v>
      </c>
      <c r="J7213" s="3" t="s">
        <v>7433</v>
      </c>
      <c r="K7213" s="3" t="s">
        <v>223</v>
      </c>
    </row>
    <row r="7214" ht="15.6" spans="4:11">
      <c r="D7214" s="4">
        <v>6304</v>
      </c>
      <c r="E7214" s="4" t="s">
        <v>223</v>
      </c>
      <c r="J7214" s="3" t="s">
        <v>7434</v>
      </c>
      <c r="K7214" s="3" t="s">
        <v>223</v>
      </c>
    </row>
    <row r="7215" ht="15.6" spans="4:11">
      <c r="D7215" s="4">
        <v>6305</v>
      </c>
      <c r="E7215" s="4" t="s">
        <v>223</v>
      </c>
      <c r="J7215" s="3" t="s">
        <v>7435</v>
      </c>
      <c r="K7215" s="3" t="s">
        <v>223</v>
      </c>
    </row>
    <row r="7216" ht="15.6" spans="4:11">
      <c r="D7216" s="4">
        <v>6306</v>
      </c>
      <c r="E7216" s="4" t="s">
        <v>223</v>
      </c>
      <c r="J7216" s="3" t="s">
        <v>7436</v>
      </c>
      <c r="K7216" s="3" t="s">
        <v>223</v>
      </c>
    </row>
    <row r="7217" ht="15.6" spans="4:11">
      <c r="D7217" s="4">
        <v>6307</v>
      </c>
      <c r="E7217" s="4" t="s">
        <v>223</v>
      </c>
      <c r="J7217" s="3" t="s">
        <v>7437</v>
      </c>
      <c r="K7217" s="3" t="s">
        <v>223</v>
      </c>
    </row>
    <row r="7218" ht="15.6" spans="4:11">
      <c r="D7218" s="4">
        <v>6308</v>
      </c>
      <c r="E7218" s="4" t="s">
        <v>223</v>
      </c>
      <c r="J7218" s="3" t="s">
        <v>7438</v>
      </c>
      <c r="K7218" s="3" t="s">
        <v>223</v>
      </c>
    </row>
    <row r="7219" ht="15.6" spans="4:11">
      <c r="D7219" s="4">
        <v>6309</v>
      </c>
      <c r="E7219" s="4" t="s">
        <v>223</v>
      </c>
      <c r="J7219" s="3" t="s">
        <v>7439</v>
      </c>
      <c r="K7219" s="3" t="s">
        <v>223</v>
      </c>
    </row>
    <row r="7220" ht="15.6" spans="4:11">
      <c r="D7220" s="4">
        <v>6310</v>
      </c>
      <c r="E7220" s="4" t="s">
        <v>223</v>
      </c>
      <c r="J7220" s="3" t="s">
        <v>7440</v>
      </c>
      <c r="K7220" s="3" t="s">
        <v>223</v>
      </c>
    </row>
    <row r="7221" ht="15.6" spans="4:11">
      <c r="D7221" s="4">
        <v>6311</v>
      </c>
      <c r="E7221" s="4" t="s">
        <v>223</v>
      </c>
      <c r="J7221" s="3" t="s">
        <v>7441</v>
      </c>
      <c r="K7221" s="3" t="s">
        <v>223</v>
      </c>
    </row>
    <row r="7222" ht="15.6" spans="4:11">
      <c r="D7222" s="4">
        <v>6312</v>
      </c>
      <c r="E7222" s="4" t="s">
        <v>223</v>
      </c>
      <c r="J7222" s="3" t="s">
        <v>7442</v>
      </c>
      <c r="K7222" s="3" t="s">
        <v>223</v>
      </c>
    </row>
    <row r="7223" ht="15.6" spans="4:11">
      <c r="D7223" s="4">
        <v>6313</v>
      </c>
      <c r="E7223" s="4" t="s">
        <v>223</v>
      </c>
      <c r="J7223" s="3" t="s">
        <v>7443</v>
      </c>
      <c r="K7223" s="3" t="s">
        <v>223</v>
      </c>
    </row>
    <row r="7224" ht="15.6" spans="4:11">
      <c r="D7224" s="4">
        <v>6314</v>
      </c>
      <c r="E7224" s="4" t="s">
        <v>223</v>
      </c>
      <c r="J7224" s="3" t="s">
        <v>7444</v>
      </c>
      <c r="K7224" s="3" t="s">
        <v>223</v>
      </c>
    </row>
    <row r="7225" ht="15.6" spans="4:11">
      <c r="D7225" s="4">
        <v>6315</v>
      </c>
      <c r="E7225" s="4" t="s">
        <v>223</v>
      </c>
      <c r="J7225" s="3" t="s">
        <v>7445</v>
      </c>
      <c r="K7225" s="3" t="s">
        <v>223</v>
      </c>
    </row>
    <row r="7226" ht="15.6" spans="4:11">
      <c r="D7226" s="4">
        <v>6316</v>
      </c>
      <c r="E7226" s="4" t="s">
        <v>223</v>
      </c>
      <c r="J7226" s="3" t="s">
        <v>7446</v>
      </c>
      <c r="K7226" s="3" t="s">
        <v>223</v>
      </c>
    </row>
    <row r="7227" ht="15.6" spans="4:11">
      <c r="D7227" s="4">
        <v>6317</v>
      </c>
      <c r="E7227" s="4" t="s">
        <v>223</v>
      </c>
      <c r="J7227" s="3" t="s">
        <v>7447</v>
      </c>
      <c r="K7227" s="3" t="s">
        <v>223</v>
      </c>
    </row>
    <row r="7228" ht="15.6" spans="4:11">
      <c r="D7228" s="4">
        <v>6318</v>
      </c>
      <c r="E7228" s="4" t="s">
        <v>223</v>
      </c>
      <c r="J7228" s="3" t="s">
        <v>7448</v>
      </c>
      <c r="K7228" s="3" t="s">
        <v>223</v>
      </c>
    </row>
    <row r="7229" ht="15.6" spans="4:11">
      <c r="D7229" s="4">
        <v>6319</v>
      </c>
      <c r="E7229" s="4" t="s">
        <v>223</v>
      </c>
      <c r="J7229" s="3" t="s">
        <v>7449</v>
      </c>
      <c r="K7229" s="3" t="s">
        <v>223</v>
      </c>
    </row>
    <row r="7230" ht="15.6" spans="4:11">
      <c r="D7230" s="4">
        <v>6320</v>
      </c>
      <c r="E7230" s="4" t="s">
        <v>223</v>
      </c>
      <c r="J7230" s="3" t="s">
        <v>7450</v>
      </c>
      <c r="K7230" s="3" t="s">
        <v>223</v>
      </c>
    </row>
    <row r="7231" ht="15.6" spans="4:11">
      <c r="D7231" s="4">
        <v>6321</v>
      </c>
      <c r="E7231" s="4" t="s">
        <v>223</v>
      </c>
      <c r="J7231" s="3" t="s">
        <v>7451</v>
      </c>
      <c r="K7231" s="3" t="s">
        <v>223</v>
      </c>
    </row>
    <row r="7232" ht="15.6" spans="4:11">
      <c r="D7232" s="4">
        <v>6322</v>
      </c>
      <c r="E7232" s="4" t="s">
        <v>223</v>
      </c>
      <c r="J7232" s="3" t="s">
        <v>7452</v>
      </c>
      <c r="K7232" s="3" t="s">
        <v>223</v>
      </c>
    </row>
    <row r="7233" ht="15.6" spans="4:11">
      <c r="D7233" s="4">
        <v>6323</v>
      </c>
      <c r="E7233" s="4" t="s">
        <v>223</v>
      </c>
      <c r="J7233" s="3" t="s">
        <v>7453</v>
      </c>
      <c r="K7233" s="3" t="s">
        <v>223</v>
      </c>
    </row>
    <row r="7234" ht="15.6" spans="4:11">
      <c r="D7234" s="4">
        <v>6324</v>
      </c>
      <c r="E7234" s="4" t="s">
        <v>223</v>
      </c>
      <c r="J7234" s="3" t="s">
        <v>7454</v>
      </c>
      <c r="K7234" s="3" t="s">
        <v>223</v>
      </c>
    </row>
    <row r="7235" ht="15.6" spans="4:11">
      <c r="D7235" s="4">
        <v>6325</v>
      </c>
      <c r="E7235" s="4" t="s">
        <v>223</v>
      </c>
      <c r="J7235" s="3" t="s">
        <v>7455</v>
      </c>
      <c r="K7235" s="3" t="s">
        <v>223</v>
      </c>
    </row>
    <row r="7236" ht="15.6" spans="4:11">
      <c r="D7236" s="4">
        <v>6326</v>
      </c>
      <c r="E7236" s="4" t="s">
        <v>223</v>
      </c>
      <c r="J7236" s="3" t="s">
        <v>7456</v>
      </c>
      <c r="K7236" s="3" t="s">
        <v>223</v>
      </c>
    </row>
    <row r="7237" ht="15.6" spans="4:11">
      <c r="D7237" s="4">
        <v>6327</v>
      </c>
      <c r="E7237" s="4" t="s">
        <v>223</v>
      </c>
      <c r="J7237" s="3" t="s">
        <v>7457</v>
      </c>
      <c r="K7237" s="3" t="s">
        <v>223</v>
      </c>
    </row>
    <row r="7238" ht="15.6" spans="4:11">
      <c r="D7238" s="4">
        <v>6328</v>
      </c>
      <c r="E7238" s="4" t="s">
        <v>223</v>
      </c>
      <c r="J7238" s="3" t="s">
        <v>7458</v>
      </c>
      <c r="K7238" s="3" t="s">
        <v>223</v>
      </c>
    </row>
    <row r="7239" ht="15.6" spans="4:11">
      <c r="D7239" s="4">
        <v>6329</v>
      </c>
      <c r="E7239" s="4" t="s">
        <v>223</v>
      </c>
      <c r="J7239" s="3" t="s">
        <v>7459</v>
      </c>
      <c r="K7239" s="3" t="s">
        <v>223</v>
      </c>
    </row>
    <row r="7240" ht="15.6" spans="4:11">
      <c r="D7240" s="4">
        <v>6330</v>
      </c>
      <c r="E7240" s="4" t="s">
        <v>223</v>
      </c>
      <c r="J7240" s="3" t="s">
        <v>7460</v>
      </c>
      <c r="K7240" s="3" t="s">
        <v>223</v>
      </c>
    </row>
    <row r="7241" ht="15.6" spans="4:11">
      <c r="D7241" s="4">
        <v>6331</v>
      </c>
      <c r="E7241" s="4" t="s">
        <v>223</v>
      </c>
      <c r="J7241" s="3" t="s">
        <v>7461</v>
      </c>
      <c r="K7241" s="3" t="s">
        <v>223</v>
      </c>
    </row>
    <row r="7242" ht="15.6" spans="4:11">
      <c r="D7242" s="4">
        <v>6332</v>
      </c>
      <c r="E7242" s="4" t="s">
        <v>223</v>
      </c>
      <c r="J7242" s="3" t="s">
        <v>7462</v>
      </c>
      <c r="K7242" s="3" t="s">
        <v>223</v>
      </c>
    </row>
    <row r="7243" ht="15.6" spans="4:11">
      <c r="D7243" s="4">
        <v>6333</v>
      </c>
      <c r="E7243" s="4" t="s">
        <v>223</v>
      </c>
      <c r="J7243" s="3" t="s">
        <v>7463</v>
      </c>
      <c r="K7243" s="3" t="s">
        <v>223</v>
      </c>
    </row>
    <row r="7244" ht="15.6" spans="4:11">
      <c r="D7244" s="4">
        <v>6334</v>
      </c>
      <c r="E7244" s="4" t="s">
        <v>223</v>
      </c>
      <c r="J7244" s="3" t="s">
        <v>7464</v>
      </c>
      <c r="K7244" s="3" t="s">
        <v>223</v>
      </c>
    </row>
    <row r="7245" ht="15.6" spans="4:11">
      <c r="D7245" s="4">
        <v>6335</v>
      </c>
      <c r="E7245" s="4" t="s">
        <v>223</v>
      </c>
      <c r="J7245" s="3" t="s">
        <v>7465</v>
      </c>
      <c r="K7245" s="3" t="s">
        <v>223</v>
      </c>
    </row>
    <row r="7246" ht="15.6" spans="4:11">
      <c r="D7246" s="4">
        <v>6336</v>
      </c>
      <c r="E7246" s="4" t="s">
        <v>223</v>
      </c>
      <c r="J7246" s="3" t="s">
        <v>7466</v>
      </c>
      <c r="K7246" s="3" t="s">
        <v>223</v>
      </c>
    </row>
    <row r="7247" ht="15.6" spans="4:11">
      <c r="D7247" s="4">
        <v>6337</v>
      </c>
      <c r="E7247" s="4" t="s">
        <v>223</v>
      </c>
      <c r="J7247" s="3" t="s">
        <v>7467</v>
      </c>
      <c r="K7247" s="3" t="s">
        <v>223</v>
      </c>
    </row>
    <row r="7248" ht="15.6" spans="4:11">
      <c r="D7248" s="4">
        <v>6338</v>
      </c>
      <c r="E7248" s="4" t="s">
        <v>223</v>
      </c>
      <c r="J7248" s="3" t="s">
        <v>7468</v>
      </c>
      <c r="K7248" s="3" t="s">
        <v>223</v>
      </c>
    </row>
    <row r="7249" ht="15.6" spans="4:11">
      <c r="D7249" s="4">
        <v>6339</v>
      </c>
      <c r="E7249" s="4" t="s">
        <v>223</v>
      </c>
      <c r="J7249" s="3" t="s">
        <v>7469</v>
      </c>
      <c r="K7249" s="3" t="s">
        <v>223</v>
      </c>
    </row>
    <row r="7250" ht="15.6" spans="4:11">
      <c r="D7250" s="4">
        <v>6340</v>
      </c>
      <c r="E7250" s="4" t="s">
        <v>223</v>
      </c>
      <c r="J7250" s="3" t="s">
        <v>7470</v>
      </c>
      <c r="K7250" s="3" t="s">
        <v>223</v>
      </c>
    </row>
    <row r="7251" ht="15.6" spans="4:11">
      <c r="D7251" s="4">
        <v>6341</v>
      </c>
      <c r="E7251" s="4" t="s">
        <v>223</v>
      </c>
      <c r="J7251" s="3" t="s">
        <v>7471</v>
      </c>
      <c r="K7251" s="3" t="s">
        <v>223</v>
      </c>
    </row>
    <row r="7252" ht="15.6" spans="4:11">
      <c r="D7252" s="4">
        <v>6342</v>
      </c>
      <c r="E7252" s="4" t="s">
        <v>223</v>
      </c>
      <c r="J7252" s="3" t="s">
        <v>7472</v>
      </c>
      <c r="K7252" s="3" t="s">
        <v>223</v>
      </c>
    </row>
    <row r="7253" ht="15.6" spans="4:11">
      <c r="D7253" s="4">
        <v>6343</v>
      </c>
      <c r="E7253" s="4" t="s">
        <v>223</v>
      </c>
      <c r="J7253" s="3" t="s">
        <v>7473</v>
      </c>
      <c r="K7253" s="3" t="s">
        <v>223</v>
      </c>
    </row>
    <row r="7254" ht="15.6" spans="4:11">
      <c r="D7254" s="4">
        <v>6344</v>
      </c>
      <c r="E7254" s="4" t="s">
        <v>223</v>
      </c>
      <c r="J7254" s="3" t="s">
        <v>7474</v>
      </c>
      <c r="K7254" s="3" t="s">
        <v>223</v>
      </c>
    </row>
    <row r="7255" ht="15.6" spans="4:11">
      <c r="D7255" s="4">
        <v>6345</v>
      </c>
      <c r="E7255" s="4" t="s">
        <v>223</v>
      </c>
      <c r="J7255" s="3" t="s">
        <v>7475</v>
      </c>
      <c r="K7255" s="3" t="s">
        <v>223</v>
      </c>
    </row>
    <row r="7256" ht="15.6" spans="4:11">
      <c r="D7256" s="4">
        <v>6346</v>
      </c>
      <c r="E7256" s="4" t="s">
        <v>223</v>
      </c>
      <c r="J7256" s="3" t="s">
        <v>7476</v>
      </c>
      <c r="K7256" s="3" t="s">
        <v>223</v>
      </c>
    </row>
    <row r="7257" ht="15.6" spans="4:11">
      <c r="D7257" s="4">
        <v>6347</v>
      </c>
      <c r="E7257" s="4" t="s">
        <v>223</v>
      </c>
      <c r="J7257" s="3" t="s">
        <v>7477</v>
      </c>
      <c r="K7257" s="3" t="s">
        <v>223</v>
      </c>
    </row>
    <row r="7258" ht="15.6" spans="4:11">
      <c r="D7258" s="4">
        <v>6348</v>
      </c>
      <c r="E7258" s="4" t="s">
        <v>223</v>
      </c>
      <c r="J7258" s="3" t="s">
        <v>7478</v>
      </c>
      <c r="K7258" s="3" t="s">
        <v>223</v>
      </c>
    </row>
    <row r="7259" ht="15.6" spans="4:11">
      <c r="D7259" s="4">
        <v>6349</v>
      </c>
      <c r="E7259" s="4" t="s">
        <v>223</v>
      </c>
      <c r="J7259" s="3" t="s">
        <v>7479</v>
      </c>
      <c r="K7259" s="3" t="s">
        <v>223</v>
      </c>
    </row>
    <row r="7260" ht="15.6" spans="4:11">
      <c r="D7260" s="4">
        <v>6350</v>
      </c>
      <c r="E7260" s="4" t="s">
        <v>223</v>
      </c>
      <c r="J7260" s="3" t="s">
        <v>7480</v>
      </c>
      <c r="K7260" s="3" t="s">
        <v>223</v>
      </c>
    </row>
    <row r="7261" ht="15.6" spans="4:11">
      <c r="D7261" s="4">
        <v>6351</v>
      </c>
      <c r="E7261" s="4" t="s">
        <v>223</v>
      </c>
      <c r="J7261" s="3" t="s">
        <v>7481</v>
      </c>
      <c r="K7261" s="3" t="s">
        <v>223</v>
      </c>
    </row>
    <row r="7262" ht="15.6" spans="4:11">
      <c r="D7262" s="4">
        <v>6352</v>
      </c>
      <c r="E7262" s="4" t="s">
        <v>223</v>
      </c>
      <c r="J7262" s="3" t="s">
        <v>7482</v>
      </c>
      <c r="K7262" s="3" t="s">
        <v>223</v>
      </c>
    </row>
    <row r="7263" ht="15.6" spans="4:11">
      <c r="D7263" s="4">
        <v>6353</v>
      </c>
      <c r="E7263" s="4" t="s">
        <v>223</v>
      </c>
      <c r="J7263" s="3" t="s">
        <v>7483</v>
      </c>
      <c r="K7263" s="3" t="s">
        <v>223</v>
      </c>
    </row>
    <row r="7264" ht="15.6" spans="4:11">
      <c r="D7264" s="4">
        <v>6354</v>
      </c>
      <c r="E7264" s="4" t="s">
        <v>223</v>
      </c>
      <c r="J7264" s="3" t="s">
        <v>7484</v>
      </c>
      <c r="K7264" s="3" t="s">
        <v>223</v>
      </c>
    </row>
    <row r="7265" ht="15.6" spans="4:11">
      <c r="D7265" s="4">
        <v>6355</v>
      </c>
      <c r="E7265" s="4" t="s">
        <v>223</v>
      </c>
      <c r="J7265" s="3" t="s">
        <v>7485</v>
      </c>
      <c r="K7265" s="3" t="s">
        <v>223</v>
      </c>
    </row>
    <row r="7266" ht="15.6" spans="4:11">
      <c r="D7266" s="4">
        <v>6356</v>
      </c>
      <c r="E7266" s="4" t="s">
        <v>223</v>
      </c>
      <c r="J7266" s="3" t="s">
        <v>7486</v>
      </c>
      <c r="K7266" s="3" t="s">
        <v>223</v>
      </c>
    </row>
    <row r="7267" ht="15.6" spans="4:11">
      <c r="D7267" s="4">
        <v>6357</v>
      </c>
      <c r="E7267" s="4" t="s">
        <v>223</v>
      </c>
      <c r="J7267" s="3" t="s">
        <v>7487</v>
      </c>
      <c r="K7267" s="3" t="s">
        <v>223</v>
      </c>
    </row>
    <row r="7268" ht="15.6" spans="4:11">
      <c r="D7268" s="4">
        <v>6358</v>
      </c>
      <c r="E7268" s="4" t="s">
        <v>223</v>
      </c>
      <c r="J7268" s="3" t="s">
        <v>7488</v>
      </c>
      <c r="K7268" s="3" t="s">
        <v>223</v>
      </c>
    </row>
    <row r="7269" ht="15.6" spans="4:11">
      <c r="D7269" s="4">
        <v>6359</v>
      </c>
      <c r="E7269" s="4" t="s">
        <v>223</v>
      </c>
      <c r="J7269" s="3" t="s">
        <v>7489</v>
      </c>
      <c r="K7269" s="3" t="s">
        <v>223</v>
      </c>
    </row>
    <row r="7270" ht="15.6" spans="4:11">
      <c r="D7270" s="4">
        <v>6360</v>
      </c>
      <c r="E7270" s="4" t="s">
        <v>223</v>
      </c>
      <c r="J7270" s="3" t="s">
        <v>7490</v>
      </c>
      <c r="K7270" s="3" t="s">
        <v>223</v>
      </c>
    </row>
    <row r="7271" ht="15.6" spans="4:11">
      <c r="D7271" s="4">
        <v>6361</v>
      </c>
      <c r="E7271" s="4" t="s">
        <v>223</v>
      </c>
      <c r="J7271" s="3" t="s">
        <v>7491</v>
      </c>
      <c r="K7271" s="3" t="s">
        <v>223</v>
      </c>
    </row>
    <row r="7272" ht="15.6" spans="4:11">
      <c r="D7272" s="4">
        <v>6362</v>
      </c>
      <c r="E7272" s="4" t="s">
        <v>223</v>
      </c>
      <c r="J7272" s="3" t="s">
        <v>7492</v>
      </c>
      <c r="K7272" s="3" t="s">
        <v>223</v>
      </c>
    </row>
    <row r="7273" ht="15.6" spans="4:11">
      <c r="D7273" s="4">
        <v>6363</v>
      </c>
      <c r="E7273" s="4" t="s">
        <v>223</v>
      </c>
      <c r="J7273" s="3" t="s">
        <v>7493</v>
      </c>
      <c r="K7273" s="3" t="s">
        <v>223</v>
      </c>
    </row>
    <row r="7274" ht="15.6" spans="4:11">
      <c r="D7274" s="4">
        <v>6364</v>
      </c>
      <c r="E7274" s="4" t="s">
        <v>223</v>
      </c>
      <c r="J7274" s="3" t="s">
        <v>7494</v>
      </c>
      <c r="K7274" s="3" t="s">
        <v>223</v>
      </c>
    </row>
    <row r="7275" ht="15.6" spans="4:11">
      <c r="D7275" s="4">
        <v>6365</v>
      </c>
      <c r="E7275" s="4" t="s">
        <v>223</v>
      </c>
      <c r="J7275" s="3" t="s">
        <v>7495</v>
      </c>
      <c r="K7275" s="3" t="s">
        <v>223</v>
      </c>
    </row>
    <row r="7276" ht="15.6" spans="4:11">
      <c r="D7276" s="4">
        <v>6366</v>
      </c>
      <c r="E7276" s="4" t="s">
        <v>223</v>
      </c>
      <c r="J7276" s="3" t="s">
        <v>7496</v>
      </c>
      <c r="K7276" s="3" t="s">
        <v>223</v>
      </c>
    </row>
    <row r="7277" ht="15.6" spans="4:11">
      <c r="D7277" s="4">
        <v>6367</v>
      </c>
      <c r="E7277" s="4" t="s">
        <v>223</v>
      </c>
      <c r="J7277" s="3" t="s">
        <v>7497</v>
      </c>
      <c r="K7277" s="3" t="s">
        <v>223</v>
      </c>
    </row>
    <row r="7278" ht="15.6" spans="4:11">
      <c r="D7278" s="4">
        <v>6368</v>
      </c>
      <c r="E7278" s="4" t="s">
        <v>223</v>
      </c>
      <c r="J7278" s="3" t="s">
        <v>7498</v>
      </c>
      <c r="K7278" s="3" t="s">
        <v>223</v>
      </c>
    </row>
    <row r="7279" ht="15.6" spans="4:11">
      <c r="D7279" s="4">
        <v>6369</v>
      </c>
      <c r="E7279" s="4" t="s">
        <v>223</v>
      </c>
      <c r="J7279" s="3" t="s">
        <v>7499</v>
      </c>
      <c r="K7279" s="3" t="s">
        <v>223</v>
      </c>
    </row>
    <row r="7280" ht="15.6" spans="4:11">
      <c r="D7280" s="4">
        <v>6370</v>
      </c>
      <c r="E7280" s="4" t="s">
        <v>223</v>
      </c>
      <c r="J7280" s="3" t="s">
        <v>7500</v>
      </c>
      <c r="K7280" s="3" t="s">
        <v>223</v>
      </c>
    </row>
    <row r="7281" ht="15.6" spans="4:11">
      <c r="D7281" s="4">
        <v>6371</v>
      </c>
      <c r="E7281" s="4" t="s">
        <v>223</v>
      </c>
      <c r="J7281" s="3" t="s">
        <v>7501</v>
      </c>
      <c r="K7281" s="3" t="s">
        <v>223</v>
      </c>
    </row>
    <row r="7282" ht="15.6" spans="4:11">
      <c r="D7282" s="4">
        <v>6372</v>
      </c>
      <c r="E7282" s="4" t="s">
        <v>223</v>
      </c>
      <c r="J7282" s="3" t="s">
        <v>7502</v>
      </c>
      <c r="K7282" s="3" t="s">
        <v>223</v>
      </c>
    </row>
    <row r="7283" ht="15.6" spans="4:11">
      <c r="D7283" s="4">
        <v>6373</v>
      </c>
      <c r="E7283" s="4" t="s">
        <v>223</v>
      </c>
      <c r="J7283" s="3" t="s">
        <v>7503</v>
      </c>
      <c r="K7283" s="3" t="s">
        <v>223</v>
      </c>
    </row>
    <row r="7284" ht="15.6" spans="4:11">
      <c r="D7284" s="4">
        <v>6374</v>
      </c>
      <c r="E7284" s="4" t="s">
        <v>223</v>
      </c>
      <c r="J7284" s="3" t="s">
        <v>7504</v>
      </c>
      <c r="K7284" s="3" t="s">
        <v>223</v>
      </c>
    </row>
    <row r="7285" ht="15.6" spans="4:11">
      <c r="D7285" s="4">
        <v>6375</v>
      </c>
      <c r="E7285" s="4" t="s">
        <v>223</v>
      </c>
      <c r="J7285" s="3" t="s">
        <v>7505</v>
      </c>
      <c r="K7285" s="3" t="s">
        <v>223</v>
      </c>
    </row>
    <row r="7286" ht="15.6" spans="4:11">
      <c r="D7286" s="4">
        <v>6376</v>
      </c>
      <c r="E7286" s="4" t="s">
        <v>223</v>
      </c>
      <c r="J7286" s="3" t="s">
        <v>7506</v>
      </c>
      <c r="K7286" s="3" t="s">
        <v>223</v>
      </c>
    </row>
    <row r="7287" ht="15.6" spans="4:11">
      <c r="D7287" s="4">
        <v>6377</v>
      </c>
      <c r="E7287" s="4" t="s">
        <v>223</v>
      </c>
      <c r="J7287" s="3" t="s">
        <v>7507</v>
      </c>
      <c r="K7287" s="3" t="s">
        <v>223</v>
      </c>
    </row>
    <row r="7288" ht="15.6" spans="4:11">
      <c r="D7288" s="4">
        <v>6378</v>
      </c>
      <c r="E7288" s="4" t="s">
        <v>223</v>
      </c>
      <c r="J7288" s="3" t="s">
        <v>7508</v>
      </c>
      <c r="K7288" s="3" t="s">
        <v>223</v>
      </c>
    </row>
    <row r="7289" ht="15.6" spans="4:11">
      <c r="D7289" s="4">
        <v>6379</v>
      </c>
      <c r="E7289" s="4" t="s">
        <v>223</v>
      </c>
      <c r="J7289" s="3" t="s">
        <v>7509</v>
      </c>
      <c r="K7289" s="3" t="s">
        <v>223</v>
      </c>
    </row>
    <row r="7290" ht="15.6" spans="4:11">
      <c r="D7290" s="4">
        <v>6380</v>
      </c>
      <c r="E7290" s="4" t="s">
        <v>223</v>
      </c>
      <c r="J7290" s="3" t="s">
        <v>7510</v>
      </c>
      <c r="K7290" s="3" t="s">
        <v>223</v>
      </c>
    </row>
    <row r="7291" ht="15.6" spans="4:11">
      <c r="D7291" s="4">
        <v>6381</v>
      </c>
      <c r="E7291" s="4" t="s">
        <v>223</v>
      </c>
      <c r="J7291" s="3" t="s">
        <v>7511</v>
      </c>
      <c r="K7291" s="3" t="s">
        <v>223</v>
      </c>
    </row>
    <row r="7292" ht="15.6" spans="4:11">
      <c r="D7292" s="4">
        <v>6382</v>
      </c>
      <c r="E7292" s="4" t="s">
        <v>223</v>
      </c>
      <c r="J7292" s="3" t="s">
        <v>7512</v>
      </c>
      <c r="K7292" s="3" t="s">
        <v>223</v>
      </c>
    </row>
    <row r="7293" ht="15.6" spans="4:11">
      <c r="D7293" s="4">
        <v>6383</v>
      </c>
      <c r="E7293" s="4" t="s">
        <v>223</v>
      </c>
      <c r="J7293" s="3" t="s">
        <v>7513</v>
      </c>
      <c r="K7293" s="3" t="s">
        <v>223</v>
      </c>
    </row>
    <row r="7294" ht="15.6" spans="4:11">
      <c r="D7294" s="4">
        <v>6384</v>
      </c>
      <c r="E7294" s="4" t="s">
        <v>223</v>
      </c>
      <c r="J7294" s="3" t="s">
        <v>7514</v>
      </c>
      <c r="K7294" s="3" t="s">
        <v>223</v>
      </c>
    </row>
    <row r="7295" ht="15.6" spans="4:11">
      <c r="D7295" s="4">
        <v>6385</v>
      </c>
      <c r="E7295" s="4" t="s">
        <v>223</v>
      </c>
      <c r="J7295" s="3" t="s">
        <v>7515</v>
      </c>
      <c r="K7295" s="3" t="s">
        <v>223</v>
      </c>
    </row>
    <row r="7296" ht="15.6" spans="4:11">
      <c r="D7296" s="4">
        <v>6386</v>
      </c>
      <c r="E7296" s="4" t="s">
        <v>223</v>
      </c>
      <c r="J7296" s="3" t="s">
        <v>7516</v>
      </c>
      <c r="K7296" s="3" t="s">
        <v>223</v>
      </c>
    </row>
    <row r="7297" ht="15.6" spans="4:11">
      <c r="D7297" s="4">
        <v>6387</v>
      </c>
      <c r="E7297" s="4" t="s">
        <v>223</v>
      </c>
      <c r="J7297" s="3" t="s">
        <v>7517</v>
      </c>
      <c r="K7297" s="3" t="s">
        <v>223</v>
      </c>
    </row>
    <row r="7298" ht="15.6" spans="4:11">
      <c r="D7298" s="4">
        <v>6388</v>
      </c>
      <c r="E7298" s="4" t="s">
        <v>223</v>
      </c>
      <c r="J7298" s="3" t="s">
        <v>7518</v>
      </c>
      <c r="K7298" s="3" t="s">
        <v>223</v>
      </c>
    </row>
    <row r="7299" ht="15.6" spans="4:11">
      <c r="D7299" s="4">
        <v>6389</v>
      </c>
      <c r="E7299" s="4" t="s">
        <v>223</v>
      </c>
      <c r="J7299" s="3" t="s">
        <v>7519</v>
      </c>
      <c r="K7299" s="3" t="s">
        <v>223</v>
      </c>
    </row>
    <row r="7300" ht="15.6" spans="4:11">
      <c r="D7300" s="4">
        <v>6390</v>
      </c>
      <c r="E7300" s="4" t="s">
        <v>223</v>
      </c>
      <c r="J7300" s="3" t="s">
        <v>7520</v>
      </c>
      <c r="K7300" s="3" t="s">
        <v>223</v>
      </c>
    </row>
    <row r="7301" ht="15.6" spans="4:11">
      <c r="D7301" s="4">
        <v>6391</v>
      </c>
      <c r="E7301" s="4" t="s">
        <v>223</v>
      </c>
      <c r="J7301" s="3" t="s">
        <v>7521</v>
      </c>
      <c r="K7301" s="3" t="s">
        <v>223</v>
      </c>
    </row>
    <row r="7302" ht="15.6" spans="4:11">
      <c r="D7302" s="4">
        <v>6392</v>
      </c>
      <c r="E7302" s="4" t="s">
        <v>223</v>
      </c>
      <c r="J7302" s="3" t="s">
        <v>7522</v>
      </c>
      <c r="K7302" s="3" t="s">
        <v>223</v>
      </c>
    </row>
    <row r="7303" ht="15.6" spans="4:11">
      <c r="D7303" s="4">
        <v>6393</v>
      </c>
      <c r="E7303" s="4" t="s">
        <v>223</v>
      </c>
      <c r="J7303" s="3" t="s">
        <v>7523</v>
      </c>
      <c r="K7303" s="3" t="s">
        <v>223</v>
      </c>
    </row>
    <row r="7304" ht="15.6" spans="4:11">
      <c r="D7304" s="4">
        <v>6394</v>
      </c>
      <c r="E7304" s="4" t="s">
        <v>223</v>
      </c>
      <c r="J7304" s="3" t="s">
        <v>7524</v>
      </c>
      <c r="K7304" s="3" t="s">
        <v>223</v>
      </c>
    </row>
    <row r="7305" ht="15.6" spans="4:11">
      <c r="D7305" s="4">
        <v>6395</v>
      </c>
      <c r="E7305" s="4" t="s">
        <v>223</v>
      </c>
      <c r="J7305" s="3" t="s">
        <v>7525</v>
      </c>
      <c r="K7305" s="3" t="s">
        <v>223</v>
      </c>
    </row>
    <row r="7306" ht="15.6" spans="4:11">
      <c r="D7306" s="4">
        <v>6396</v>
      </c>
      <c r="E7306" s="4" t="s">
        <v>223</v>
      </c>
      <c r="J7306" s="3" t="s">
        <v>7526</v>
      </c>
      <c r="K7306" s="3" t="s">
        <v>223</v>
      </c>
    </row>
    <row r="7307" ht="15.6" spans="4:11">
      <c r="D7307" s="4">
        <v>6397</v>
      </c>
      <c r="E7307" s="4" t="s">
        <v>223</v>
      </c>
      <c r="J7307" s="3" t="s">
        <v>7527</v>
      </c>
      <c r="K7307" s="3" t="s">
        <v>223</v>
      </c>
    </row>
    <row r="7308" ht="15.6" spans="4:11">
      <c r="D7308" s="4">
        <v>6398</v>
      </c>
      <c r="E7308" s="4" t="s">
        <v>223</v>
      </c>
      <c r="J7308" s="3" t="s">
        <v>7528</v>
      </c>
      <c r="K7308" s="3" t="s">
        <v>223</v>
      </c>
    </row>
    <row r="7309" ht="15.6" spans="4:11">
      <c r="D7309" s="4">
        <v>6399</v>
      </c>
      <c r="E7309" s="4" t="s">
        <v>223</v>
      </c>
      <c r="J7309" s="3" t="s">
        <v>7529</v>
      </c>
      <c r="K7309" s="3" t="s">
        <v>223</v>
      </c>
    </row>
    <row r="7310" ht="15.6" spans="4:11">
      <c r="D7310" s="4">
        <v>6400</v>
      </c>
      <c r="E7310" s="4" t="s">
        <v>223</v>
      </c>
      <c r="J7310" s="3" t="s">
        <v>7530</v>
      </c>
      <c r="K7310" s="3" t="s">
        <v>223</v>
      </c>
    </row>
    <row r="7311" ht="15.6" spans="4:11">
      <c r="D7311" s="4">
        <v>6401</v>
      </c>
      <c r="E7311" s="4" t="s">
        <v>223</v>
      </c>
      <c r="J7311" s="3" t="s">
        <v>7531</v>
      </c>
      <c r="K7311" s="3" t="s">
        <v>223</v>
      </c>
    </row>
    <row r="7312" ht="15.6" spans="4:11">
      <c r="D7312" s="4">
        <v>6402</v>
      </c>
      <c r="E7312" s="4" t="s">
        <v>223</v>
      </c>
      <c r="J7312" s="3" t="s">
        <v>7532</v>
      </c>
      <c r="K7312" s="3" t="s">
        <v>223</v>
      </c>
    </row>
    <row r="7313" ht="15.6" spans="4:11">
      <c r="D7313" s="4">
        <v>6403</v>
      </c>
      <c r="E7313" s="4" t="s">
        <v>223</v>
      </c>
      <c r="J7313" s="3" t="s">
        <v>7533</v>
      </c>
      <c r="K7313" s="3" t="s">
        <v>223</v>
      </c>
    </row>
    <row r="7314" ht="15.6" spans="4:11">
      <c r="D7314" s="4">
        <v>6404</v>
      </c>
      <c r="E7314" s="4" t="s">
        <v>223</v>
      </c>
      <c r="J7314" s="3" t="s">
        <v>7534</v>
      </c>
      <c r="K7314" s="3" t="s">
        <v>223</v>
      </c>
    </row>
    <row r="7315" ht="15.6" spans="4:11">
      <c r="D7315" s="4">
        <v>6405</v>
      </c>
      <c r="E7315" s="4" t="s">
        <v>223</v>
      </c>
      <c r="J7315" s="3" t="s">
        <v>7535</v>
      </c>
      <c r="K7315" s="3" t="s">
        <v>223</v>
      </c>
    </row>
    <row r="7316" ht="15.6" spans="4:11">
      <c r="D7316" s="4">
        <v>6406</v>
      </c>
      <c r="E7316" s="4" t="s">
        <v>223</v>
      </c>
      <c r="J7316" s="3" t="s">
        <v>7536</v>
      </c>
      <c r="K7316" s="3" t="s">
        <v>223</v>
      </c>
    </row>
    <row r="7317" ht="15.6" spans="4:11">
      <c r="D7317" s="4">
        <v>6407</v>
      </c>
      <c r="E7317" s="4" t="s">
        <v>223</v>
      </c>
      <c r="J7317" s="3" t="s">
        <v>7537</v>
      </c>
      <c r="K7317" s="3" t="s">
        <v>223</v>
      </c>
    </row>
    <row r="7318" ht="15.6" spans="4:11">
      <c r="D7318" s="4">
        <v>6408</v>
      </c>
      <c r="E7318" s="4" t="s">
        <v>223</v>
      </c>
      <c r="J7318" s="3" t="s">
        <v>7538</v>
      </c>
      <c r="K7318" s="3" t="s">
        <v>223</v>
      </c>
    </row>
    <row r="7319" ht="15.6" spans="4:11">
      <c r="D7319" s="4">
        <v>6409</v>
      </c>
      <c r="E7319" s="4" t="s">
        <v>223</v>
      </c>
      <c r="J7319" s="3" t="s">
        <v>7539</v>
      </c>
      <c r="K7319" s="3" t="s">
        <v>223</v>
      </c>
    </row>
    <row r="7320" ht="15.6" spans="4:11">
      <c r="D7320" s="4">
        <v>6410</v>
      </c>
      <c r="E7320" s="4" t="s">
        <v>223</v>
      </c>
      <c r="J7320" s="3" t="s">
        <v>7540</v>
      </c>
      <c r="K7320" s="3" t="s">
        <v>223</v>
      </c>
    </row>
    <row r="7321" ht="15.6" spans="4:11">
      <c r="D7321" s="4">
        <v>6411</v>
      </c>
      <c r="E7321" s="4" t="s">
        <v>223</v>
      </c>
      <c r="J7321" s="3" t="s">
        <v>7541</v>
      </c>
      <c r="K7321" s="3" t="s">
        <v>223</v>
      </c>
    </row>
    <row r="7322" ht="15.6" spans="4:11">
      <c r="D7322" s="4">
        <v>6412</v>
      </c>
      <c r="E7322" s="4" t="s">
        <v>223</v>
      </c>
      <c r="J7322" s="3" t="s">
        <v>7542</v>
      </c>
      <c r="K7322" s="3" t="s">
        <v>223</v>
      </c>
    </row>
    <row r="7323" ht="15.6" spans="4:11">
      <c r="D7323" s="4">
        <v>6413</v>
      </c>
      <c r="E7323" s="4" t="s">
        <v>223</v>
      </c>
      <c r="J7323" s="3" t="s">
        <v>7543</v>
      </c>
      <c r="K7323" s="3" t="s">
        <v>223</v>
      </c>
    </row>
    <row r="7324" ht="15.6" spans="4:11">
      <c r="D7324" s="4">
        <v>6414</v>
      </c>
      <c r="E7324" s="4" t="s">
        <v>223</v>
      </c>
      <c r="J7324" s="3" t="s">
        <v>7544</v>
      </c>
      <c r="K7324" s="3" t="s">
        <v>223</v>
      </c>
    </row>
    <row r="7325" ht="15.6" spans="4:11">
      <c r="D7325" s="4">
        <v>6415</v>
      </c>
      <c r="E7325" s="4" t="s">
        <v>223</v>
      </c>
      <c r="J7325" s="3" t="s">
        <v>7545</v>
      </c>
      <c r="K7325" s="3" t="s">
        <v>223</v>
      </c>
    </row>
    <row r="7326" ht="15.6" spans="4:11">
      <c r="D7326" s="4">
        <v>6416</v>
      </c>
      <c r="E7326" s="4" t="s">
        <v>223</v>
      </c>
      <c r="J7326" s="3" t="s">
        <v>7546</v>
      </c>
      <c r="K7326" s="3" t="s">
        <v>223</v>
      </c>
    </row>
    <row r="7327" ht="15.6" spans="4:11">
      <c r="D7327" s="4">
        <v>6417</v>
      </c>
      <c r="E7327" s="4" t="s">
        <v>223</v>
      </c>
      <c r="J7327" s="3" t="s">
        <v>7547</v>
      </c>
      <c r="K7327" s="3" t="s">
        <v>223</v>
      </c>
    </row>
    <row r="7328" ht="15.6" spans="4:11">
      <c r="D7328" s="4">
        <v>6418</v>
      </c>
      <c r="E7328" s="4" t="s">
        <v>223</v>
      </c>
      <c r="J7328" s="3" t="s">
        <v>7548</v>
      </c>
      <c r="K7328" s="3" t="s">
        <v>223</v>
      </c>
    </row>
    <row r="7329" ht="15.6" spans="4:11">
      <c r="D7329" s="4">
        <v>6419</v>
      </c>
      <c r="E7329" s="4" t="s">
        <v>223</v>
      </c>
      <c r="J7329" s="3" t="s">
        <v>7549</v>
      </c>
      <c r="K7329" s="3" t="s">
        <v>223</v>
      </c>
    </row>
    <row r="7330" ht="15.6" spans="4:11">
      <c r="D7330" s="4">
        <v>6420</v>
      </c>
      <c r="E7330" s="4" t="s">
        <v>223</v>
      </c>
      <c r="J7330" s="3" t="s">
        <v>7550</v>
      </c>
      <c r="K7330" s="3" t="s">
        <v>223</v>
      </c>
    </row>
    <row r="7331" ht="15.6" spans="4:11">
      <c r="D7331" s="4">
        <v>6421</v>
      </c>
      <c r="E7331" s="4" t="s">
        <v>223</v>
      </c>
      <c r="J7331" s="3" t="s">
        <v>7551</v>
      </c>
      <c r="K7331" s="3" t="s">
        <v>223</v>
      </c>
    </row>
    <row r="7332" ht="15.6" spans="4:11">
      <c r="D7332" s="4">
        <v>6422</v>
      </c>
      <c r="E7332" s="4" t="s">
        <v>223</v>
      </c>
      <c r="J7332" s="3" t="s">
        <v>7552</v>
      </c>
      <c r="K7332" s="3" t="s">
        <v>223</v>
      </c>
    </row>
    <row r="7333" ht="15.6" spans="4:11">
      <c r="D7333" s="4">
        <v>6423</v>
      </c>
      <c r="E7333" s="4" t="s">
        <v>223</v>
      </c>
      <c r="J7333" s="3" t="s">
        <v>7553</v>
      </c>
      <c r="K7333" s="3" t="s">
        <v>223</v>
      </c>
    </row>
    <row r="7334" ht="15.6" spans="4:11">
      <c r="D7334" s="4">
        <v>6424</v>
      </c>
      <c r="E7334" s="4" t="s">
        <v>223</v>
      </c>
      <c r="J7334" s="3" t="s">
        <v>7554</v>
      </c>
      <c r="K7334" s="3" t="s">
        <v>223</v>
      </c>
    </row>
    <row r="7335" ht="15.6" spans="4:11">
      <c r="D7335" s="4">
        <v>6425</v>
      </c>
      <c r="E7335" s="4" t="s">
        <v>223</v>
      </c>
      <c r="J7335" s="3" t="s">
        <v>7555</v>
      </c>
      <c r="K7335" s="3" t="s">
        <v>223</v>
      </c>
    </row>
    <row r="7336" ht="15.6" spans="4:11">
      <c r="D7336" s="4">
        <v>6426</v>
      </c>
      <c r="E7336" s="4" t="s">
        <v>223</v>
      </c>
      <c r="J7336" s="3" t="s">
        <v>7556</v>
      </c>
      <c r="K7336" s="3" t="s">
        <v>223</v>
      </c>
    </row>
    <row r="7337" ht="15.6" spans="4:11">
      <c r="D7337" s="4">
        <v>6427</v>
      </c>
      <c r="E7337" s="4" t="s">
        <v>223</v>
      </c>
      <c r="J7337" s="3" t="s">
        <v>7557</v>
      </c>
      <c r="K7337" s="3" t="s">
        <v>223</v>
      </c>
    </row>
    <row r="7338" ht="15.6" spans="4:11">
      <c r="D7338" s="4">
        <v>6428</v>
      </c>
      <c r="E7338" s="4" t="s">
        <v>223</v>
      </c>
      <c r="J7338" s="3" t="s">
        <v>7558</v>
      </c>
      <c r="K7338" s="3" t="s">
        <v>223</v>
      </c>
    </row>
    <row r="7339" ht="15.6" spans="4:11">
      <c r="D7339" s="4">
        <v>6429</v>
      </c>
      <c r="E7339" s="4" t="s">
        <v>223</v>
      </c>
      <c r="J7339" s="3" t="s">
        <v>7559</v>
      </c>
      <c r="K7339" s="3" t="s">
        <v>223</v>
      </c>
    </row>
    <row r="7340" ht="15.6" spans="4:11">
      <c r="D7340" s="4">
        <v>6430</v>
      </c>
      <c r="E7340" s="4" t="s">
        <v>223</v>
      </c>
      <c r="J7340" s="3" t="s">
        <v>7560</v>
      </c>
      <c r="K7340" s="3" t="s">
        <v>223</v>
      </c>
    </row>
    <row r="7341" ht="15.6" spans="4:11">
      <c r="D7341" s="4">
        <v>6431</v>
      </c>
      <c r="E7341" s="4" t="s">
        <v>223</v>
      </c>
      <c r="J7341" s="3" t="s">
        <v>7561</v>
      </c>
      <c r="K7341" s="3" t="s">
        <v>223</v>
      </c>
    </row>
    <row r="7342" ht="15.6" spans="4:11">
      <c r="D7342" s="4">
        <v>6432</v>
      </c>
      <c r="E7342" s="4" t="s">
        <v>223</v>
      </c>
      <c r="J7342" s="3" t="s">
        <v>7562</v>
      </c>
      <c r="K7342" s="3" t="s">
        <v>223</v>
      </c>
    </row>
    <row r="7343" ht="15.6" spans="4:11">
      <c r="D7343" s="4">
        <v>6433</v>
      </c>
      <c r="E7343" s="4" t="s">
        <v>223</v>
      </c>
      <c r="J7343" s="3" t="s">
        <v>7563</v>
      </c>
      <c r="K7343" s="3" t="s">
        <v>223</v>
      </c>
    </row>
    <row r="7344" ht="15.6" spans="4:11">
      <c r="D7344" s="4">
        <v>6434</v>
      </c>
      <c r="E7344" s="4" t="s">
        <v>223</v>
      </c>
      <c r="J7344" s="3" t="s">
        <v>7564</v>
      </c>
      <c r="K7344" s="3" t="s">
        <v>223</v>
      </c>
    </row>
    <row r="7345" ht="15.6" spans="4:11">
      <c r="D7345" s="4">
        <v>6435</v>
      </c>
      <c r="E7345" s="4" t="s">
        <v>223</v>
      </c>
      <c r="J7345" s="3" t="s">
        <v>7565</v>
      </c>
      <c r="K7345" s="3" t="s">
        <v>223</v>
      </c>
    </row>
    <row r="7346" ht="15.6" spans="4:11">
      <c r="D7346" s="4">
        <v>6436</v>
      </c>
      <c r="E7346" s="4" t="s">
        <v>223</v>
      </c>
      <c r="J7346" s="3" t="s">
        <v>7566</v>
      </c>
      <c r="K7346" s="3" t="s">
        <v>223</v>
      </c>
    </row>
    <row r="7347" ht="15.6" spans="4:11">
      <c r="D7347" s="4">
        <v>6437</v>
      </c>
      <c r="E7347" s="4" t="s">
        <v>223</v>
      </c>
      <c r="J7347" s="3" t="s">
        <v>7567</v>
      </c>
      <c r="K7347" s="3" t="s">
        <v>223</v>
      </c>
    </row>
    <row r="7348" ht="15.6" spans="4:11">
      <c r="D7348" s="4">
        <v>6438</v>
      </c>
      <c r="E7348" s="4" t="s">
        <v>223</v>
      </c>
      <c r="J7348" s="3" t="s">
        <v>7568</v>
      </c>
      <c r="K7348" s="3" t="s">
        <v>223</v>
      </c>
    </row>
    <row r="7349" ht="15.6" spans="4:11">
      <c r="D7349" s="4">
        <v>6439</v>
      </c>
      <c r="E7349" s="4" t="s">
        <v>223</v>
      </c>
      <c r="J7349" s="3" t="s">
        <v>7569</v>
      </c>
      <c r="K7349" s="3" t="s">
        <v>223</v>
      </c>
    </row>
    <row r="7350" ht="15.6" spans="4:11">
      <c r="D7350" s="4">
        <v>6440</v>
      </c>
      <c r="E7350" s="4" t="s">
        <v>223</v>
      </c>
      <c r="J7350" s="3" t="s">
        <v>7570</v>
      </c>
      <c r="K7350" s="3" t="s">
        <v>223</v>
      </c>
    </row>
    <row r="7351" ht="15.6" spans="4:11">
      <c r="D7351" s="4">
        <v>6441</v>
      </c>
      <c r="E7351" s="4" t="s">
        <v>223</v>
      </c>
      <c r="J7351" s="3" t="s">
        <v>7571</v>
      </c>
      <c r="K7351" s="3" t="s">
        <v>223</v>
      </c>
    </row>
    <row r="7352" ht="15.6" spans="4:11">
      <c r="D7352" s="4">
        <v>6442</v>
      </c>
      <c r="E7352" s="4" t="s">
        <v>223</v>
      </c>
      <c r="J7352" s="3" t="s">
        <v>7572</v>
      </c>
      <c r="K7352" s="3" t="s">
        <v>223</v>
      </c>
    </row>
    <row r="7353" ht="15.6" spans="4:11">
      <c r="D7353" s="4">
        <v>6443</v>
      </c>
      <c r="E7353" s="4" t="s">
        <v>223</v>
      </c>
      <c r="J7353" s="3" t="s">
        <v>7573</v>
      </c>
      <c r="K7353" s="3" t="s">
        <v>223</v>
      </c>
    </row>
    <row r="7354" ht="15.6" spans="4:11">
      <c r="D7354" s="4">
        <v>6444</v>
      </c>
      <c r="E7354" s="4" t="s">
        <v>223</v>
      </c>
      <c r="J7354" s="3" t="s">
        <v>7574</v>
      </c>
      <c r="K7354" s="3" t="s">
        <v>223</v>
      </c>
    </row>
    <row r="7355" ht="15.6" spans="4:11">
      <c r="D7355" s="4">
        <v>6445</v>
      </c>
      <c r="E7355" s="4" t="s">
        <v>223</v>
      </c>
      <c r="J7355" s="3" t="s">
        <v>7575</v>
      </c>
      <c r="K7355" s="3" t="s">
        <v>223</v>
      </c>
    </row>
    <row r="7356" ht="15.6" spans="4:11">
      <c r="D7356" s="4">
        <v>6446</v>
      </c>
      <c r="E7356" s="4" t="s">
        <v>223</v>
      </c>
      <c r="J7356" s="3" t="s">
        <v>7576</v>
      </c>
      <c r="K7356" s="3" t="s">
        <v>223</v>
      </c>
    </row>
    <row r="7357" ht="15.6" spans="4:11">
      <c r="D7357" s="4">
        <v>6447</v>
      </c>
      <c r="E7357" s="4" t="s">
        <v>223</v>
      </c>
      <c r="J7357" s="3" t="s">
        <v>7577</v>
      </c>
      <c r="K7357" s="3" t="s">
        <v>223</v>
      </c>
    </row>
    <row r="7358" ht="15.6" spans="4:11">
      <c r="D7358" s="4">
        <v>6448</v>
      </c>
      <c r="E7358" s="4" t="s">
        <v>223</v>
      </c>
      <c r="J7358" s="3" t="s">
        <v>7578</v>
      </c>
      <c r="K7358" s="3" t="s">
        <v>223</v>
      </c>
    </row>
    <row r="7359" ht="15.6" spans="4:11">
      <c r="D7359" s="4">
        <v>6449</v>
      </c>
      <c r="E7359" s="4" t="s">
        <v>223</v>
      </c>
      <c r="J7359" s="3" t="s">
        <v>7579</v>
      </c>
      <c r="K7359" s="3" t="s">
        <v>223</v>
      </c>
    </row>
    <row r="7360" ht="15.6" spans="4:11">
      <c r="D7360" s="4">
        <v>6450</v>
      </c>
      <c r="E7360" s="4" t="s">
        <v>223</v>
      </c>
      <c r="J7360" s="3" t="s">
        <v>7580</v>
      </c>
      <c r="K7360" s="3" t="s">
        <v>223</v>
      </c>
    </row>
    <row r="7361" ht="15.6" spans="4:11">
      <c r="D7361" s="4">
        <v>6451</v>
      </c>
      <c r="E7361" s="4" t="s">
        <v>223</v>
      </c>
      <c r="J7361" s="3" t="s">
        <v>7581</v>
      </c>
      <c r="K7361" s="3" t="s">
        <v>223</v>
      </c>
    </row>
    <row r="7362" ht="15.6" spans="4:11">
      <c r="D7362" s="4">
        <v>6452</v>
      </c>
      <c r="E7362" s="4" t="s">
        <v>223</v>
      </c>
      <c r="J7362" s="3" t="s">
        <v>7582</v>
      </c>
      <c r="K7362" s="3" t="s">
        <v>223</v>
      </c>
    </row>
    <row r="7363" ht="15.6" spans="4:11">
      <c r="D7363" s="4">
        <v>6453</v>
      </c>
      <c r="E7363" s="4" t="s">
        <v>223</v>
      </c>
      <c r="J7363" s="3" t="s">
        <v>7583</v>
      </c>
      <c r="K7363" s="3" t="s">
        <v>223</v>
      </c>
    </row>
    <row r="7364" ht="15.6" spans="4:11">
      <c r="D7364" s="4">
        <v>6454</v>
      </c>
      <c r="E7364" s="4" t="s">
        <v>223</v>
      </c>
      <c r="J7364" s="3" t="s">
        <v>7584</v>
      </c>
      <c r="K7364" s="3" t="s">
        <v>223</v>
      </c>
    </row>
    <row r="7365" ht="15.6" spans="4:11">
      <c r="D7365" s="4">
        <v>6455</v>
      </c>
      <c r="E7365" s="4" t="s">
        <v>223</v>
      </c>
      <c r="J7365" s="3" t="s">
        <v>7585</v>
      </c>
      <c r="K7365" s="3" t="s">
        <v>223</v>
      </c>
    </row>
    <row r="7366" ht="15.6" spans="4:11">
      <c r="D7366" s="4">
        <v>6456</v>
      </c>
      <c r="E7366" s="4" t="s">
        <v>223</v>
      </c>
      <c r="J7366" s="3" t="s">
        <v>7586</v>
      </c>
      <c r="K7366" s="3" t="s">
        <v>223</v>
      </c>
    </row>
    <row r="7367" ht="15.6" spans="4:11">
      <c r="D7367" s="4">
        <v>6457</v>
      </c>
      <c r="E7367" s="4" t="s">
        <v>223</v>
      </c>
      <c r="J7367" s="3" t="s">
        <v>7587</v>
      </c>
      <c r="K7367" s="3" t="s">
        <v>223</v>
      </c>
    </row>
    <row r="7368" ht="15.6" spans="4:11">
      <c r="D7368" s="4">
        <v>6458</v>
      </c>
      <c r="E7368" s="4" t="s">
        <v>223</v>
      </c>
      <c r="J7368" s="3" t="s">
        <v>7588</v>
      </c>
      <c r="K7368" s="3" t="s">
        <v>223</v>
      </c>
    </row>
    <row r="7369" ht="15.6" spans="4:11">
      <c r="D7369" s="4">
        <v>6459</v>
      </c>
      <c r="E7369" s="4" t="s">
        <v>223</v>
      </c>
      <c r="J7369" s="3" t="s">
        <v>7589</v>
      </c>
      <c r="K7369" s="3" t="s">
        <v>223</v>
      </c>
    </row>
    <row r="7370" ht="15.6" spans="4:11">
      <c r="D7370" s="4">
        <v>6460</v>
      </c>
      <c r="E7370" s="4" t="s">
        <v>223</v>
      </c>
      <c r="J7370" s="3" t="s">
        <v>7590</v>
      </c>
      <c r="K7370" s="3" t="s">
        <v>223</v>
      </c>
    </row>
    <row r="7371" ht="15.6" spans="4:11">
      <c r="D7371" s="4">
        <v>6461</v>
      </c>
      <c r="E7371" s="4" t="s">
        <v>223</v>
      </c>
      <c r="J7371" s="3" t="s">
        <v>7591</v>
      </c>
      <c r="K7371" s="3" t="s">
        <v>223</v>
      </c>
    </row>
    <row r="7372" ht="15.6" spans="4:11">
      <c r="D7372" s="4">
        <v>6462</v>
      </c>
      <c r="E7372" s="4" t="s">
        <v>223</v>
      </c>
      <c r="J7372" s="3" t="s">
        <v>7592</v>
      </c>
      <c r="K7372" s="3" t="s">
        <v>223</v>
      </c>
    </row>
    <row r="7373" ht="15.6" spans="4:11">
      <c r="D7373" s="4">
        <v>6463</v>
      </c>
      <c r="E7373" s="4" t="s">
        <v>223</v>
      </c>
      <c r="J7373" s="3" t="s">
        <v>7593</v>
      </c>
      <c r="K7373" s="3" t="s">
        <v>223</v>
      </c>
    </row>
    <row r="7374" ht="15.6" spans="4:11">
      <c r="D7374" s="4">
        <v>6464</v>
      </c>
      <c r="E7374" s="4" t="s">
        <v>223</v>
      </c>
      <c r="J7374" s="3" t="s">
        <v>7594</v>
      </c>
      <c r="K7374" s="3" t="s">
        <v>223</v>
      </c>
    </row>
    <row r="7375" ht="15.6" spans="4:11">
      <c r="D7375" s="4">
        <v>6465</v>
      </c>
      <c r="E7375" s="4" t="s">
        <v>223</v>
      </c>
      <c r="J7375" s="3" t="s">
        <v>7595</v>
      </c>
      <c r="K7375" s="3" t="s">
        <v>223</v>
      </c>
    </row>
    <row r="7376" ht="15.6" spans="4:11">
      <c r="D7376" s="4">
        <v>6466</v>
      </c>
      <c r="E7376" s="4" t="s">
        <v>223</v>
      </c>
      <c r="J7376" s="3" t="s">
        <v>7596</v>
      </c>
      <c r="K7376" s="3" t="s">
        <v>223</v>
      </c>
    </row>
    <row r="7377" ht="15.6" spans="4:11">
      <c r="D7377" s="4">
        <v>6467</v>
      </c>
      <c r="E7377" s="4" t="s">
        <v>223</v>
      </c>
      <c r="J7377" s="3" t="s">
        <v>7597</v>
      </c>
      <c r="K7377" s="3" t="s">
        <v>223</v>
      </c>
    </row>
    <row r="7378" ht="15.6" spans="4:11">
      <c r="D7378" s="4">
        <v>6468</v>
      </c>
      <c r="E7378" s="4" t="s">
        <v>223</v>
      </c>
      <c r="J7378" s="3" t="s">
        <v>7598</v>
      </c>
      <c r="K7378" s="3" t="s">
        <v>223</v>
      </c>
    </row>
    <row r="7379" ht="15.6" spans="4:11">
      <c r="D7379" s="4">
        <v>6469</v>
      </c>
      <c r="E7379" s="4" t="s">
        <v>223</v>
      </c>
      <c r="J7379" s="3" t="s">
        <v>7599</v>
      </c>
      <c r="K7379" s="3" t="s">
        <v>223</v>
      </c>
    </row>
    <row r="7380" ht="15.6" spans="4:11">
      <c r="D7380" s="4">
        <v>6470</v>
      </c>
      <c r="E7380" s="4" t="s">
        <v>223</v>
      </c>
      <c r="J7380" s="3" t="s">
        <v>7600</v>
      </c>
      <c r="K7380" s="3" t="s">
        <v>223</v>
      </c>
    </row>
    <row r="7381" ht="15.6" spans="4:11">
      <c r="D7381" s="4">
        <v>6471</v>
      </c>
      <c r="E7381" s="4" t="s">
        <v>223</v>
      </c>
      <c r="J7381" s="3" t="s">
        <v>7601</v>
      </c>
      <c r="K7381" s="3" t="s">
        <v>223</v>
      </c>
    </row>
    <row r="7382" ht="15.6" spans="4:11">
      <c r="D7382" s="4">
        <v>6472</v>
      </c>
      <c r="E7382" s="4" t="s">
        <v>223</v>
      </c>
      <c r="J7382" s="3" t="s">
        <v>7602</v>
      </c>
      <c r="K7382" s="3" t="s">
        <v>223</v>
      </c>
    </row>
    <row r="7383" ht="15.6" spans="4:11">
      <c r="D7383" s="4">
        <v>6473</v>
      </c>
      <c r="E7383" s="4" t="s">
        <v>223</v>
      </c>
      <c r="J7383" s="3" t="s">
        <v>7603</v>
      </c>
      <c r="K7383" s="3" t="s">
        <v>223</v>
      </c>
    </row>
    <row r="7384" ht="15.6" spans="4:11">
      <c r="D7384" s="4">
        <v>6474</v>
      </c>
      <c r="E7384" s="4" t="s">
        <v>223</v>
      </c>
      <c r="J7384" s="3" t="s">
        <v>7604</v>
      </c>
      <c r="K7384" s="3" t="s">
        <v>223</v>
      </c>
    </row>
    <row r="7385" ht="15.6" spans="4:11">
      <c r="D7385" s="4">
        <v>6475</v>
      </c>
      <c r="E7385" s="4" t="s">
        <v>223</v>
      </c>
      <c r="J7385" s="3" t="s">
        <v>7605</v>
      </c>
      <c r="K7385" s="3" t="s">
        <v>223</v>
      </c>
    </row>
    <row r="7386" ht="15.6" spans="4:11">
      <c r="D7386" s="4">
        <v>6476</v>
      </c>
      <c r="E7386" s="4" t="s">
        <v>223</v>
      </c>
      <c r="J7386" s="3" t="s">
        <v>7606</v>
      </c>
      <c r="K7386" s="3" t="s">
        <v>223</v>
      </c>
    </row>
    <row r="7387" ht="15.6" spans="4:11">
      <c r="D7387" s="4">
        <v>6477</v>
      </c>
      <c r="E7387" s="4" t="s">
        <v>223</v>
      </c>
      <c r="J7387" s="3" t="s">
        <v>7607</v>
      </c>
      <c r="K7387" s="3" t="s">
        <v>223</v>
      </c>
    </row>
    <row r="7388" ht="15.6" spans="4:11">
      <c r="D7388" s="4">
        <v>6478</v>
      </c>
      <c r="E7388" s="4" t="s">
        <v>223</v>
      </c>
      <c r="J7388" s="3" t="s">
        <v>7608</v>
      </c>
      <c r="K7388" s="3" t="s">
        <v>223</v>
      </c>
    </row>
    <row r="7389" ht="15.6" spans="4:11">
      <c r="D7389" s="4">
        <v>6479</v>
      </c>
      <c r="E7389" s="4" t="s">
        <v>223</v>
      </c>
      <c r="J7389" s="3" t="s">
        <v>7609</v>
      </c>
      <c r="K7389" s="3" t="s">
        <v>223</v>
      </c>
    </row>
    <row r="7390" ht="15.6" spans="4:11">
      <c r="D7390" s="4">
        <v>6480</v>
      </c>
      <c r="E7390" s="4" t="s">
        <v>223</v>
      </c>
      <c r="J7390" s="3" t="s">
        <v>7610</v>
      </c>
      <c r="K7390" s="3" t="s">
        <v>223</v>
      </c>
    </row>
    <row r="7391" ht="15.6" spans="4:11">
      <c r="D7391" s="4">
        <v>6481</v>
      </c>
      <c r="E7391" s="4" t="s">
        <v>223</v>
      </c>
      <c r="J7391" s="3" t="s">
        <v>7611</v>
      </c>
      <c r="K7391" s="3" t="s">
        <v>223</v>
      </c>
    </row>
    <row r="7392" ht="15.6" spans="4:11">
      <c r="D7392" s="4">
        <v>6482</v>
      </c>
      <c r="E7392" s="4" t="s">
        <v>223</v>
      </c>
      <c r="J7392" s="3" t="s">
        <v>7612</v>
      </c>
      <c r="K7392" s="3" t="s">
        <v>223</v>
      </c>
    </row>
    <row r="7393" ht="15.6" spans="4:11">
      <c r="D7393" s="4">
        <v>6483</v>
      </c>
      <c r="E7393" s="4" t="s">
        <v>223</v>
      </c>
      <c r="J7393" s="3" t="s">
        <v>7613</v>
      </c>
      <c r="K7393" s="3" t="s">
        <v>223</v>
      </c>
    </row>
    <row r="7394" ht="15.6" spans="4:11">
      <c r="D7394" s="4">
        <v>6484</v>
      </c>
      <c r="E7394" s="4" t="s">
        <v>223</v>
      </c>
      <c r="J7394" s="3" t="s">
        <v>7614</v>
      </c>
      <c r="K7394" s="3" t="s">
        <v>223</v>
      </c>
    </row>
    <row r="7395" ht="15.6" spans="4:11">
      <c r="D7395" s="4">
        <v>6485</v>
      </c>
      <c r="E7395" s="4" t="s">
        <v>223</v>
      </c>
      <c r="J7395" s="3" t="s">
        <v>7615</v>
      </c>
      <c r="K7395" s="3" t="s">
        <v>223</v>
      </c>
    </row>
    <row r="7396" ht="15.6" spans="4:11">
      <c r="D7396" s="4">
        <v>6486</v>
      </c>
      <c r="E7396" s="4" t="s">
        <v>223</v>
      </c>
      <c r="J7396" s="3" t="s">
        <v>7616</v>
      </c>
      <c r="K7396" s="3" t="s">
        <v>223</v>
      </c>
    </row>
    <row r="7397" ht="15.6" spans="4:11">
      <c r="D7397" s="4">
        <v>6487</v>
      </c>
      <c r="E7397" s="4" t="s">
        <v>223</v>
      </c>
      <c r="J7397" s="3" t="s">
        <v>7617</v>
      </c>
      <c r="K7397" s="3" t="s">
        <v>223</v>
      </c>
    </row>
    <row r="7398" ht="15.6" spans="4:11">
      <c r="D7398" s="4">
        <v>6488</v>
      </c>
      <c r="E7398" s="4" t="s">
        <v>223</v>
      </c>
      <c r="J7398" s="3" t="s">
        <v>7618</v>
      </c>
      <c r="K7398" s="3" t="s">
        <v>223</v>
      </c>
    </row>
    <row r="7399" ht="15.6" spans="4:11">
      <c r="D7399" s="4">
        <v>6489</v>
      </c>
      <c r="E7399" s="4" t="s">
        <v>223</v>
      </c>
      <c r="J7399" s="3" t="s">
        <v>7619</v>
      </c>
      <c r="K7399" s="3" t="s">
        <v>223</v>
      </c>
    </row>
    <row r="7400" ht="15.6" spans="4:11">
      <c r="D7400" s="4">
        <v>6490</v>
      </c>
      <c r="E7400" s="4" t="s">
        <v>223</v>
      </c>
      <c r="J7400" s="3" t="s">
        <v>7620</v>
      </c>
      <c r="K7400" s="3" t="s">
        <v>223</v>
      </c>
    </row>
    <row r="7401" ht="15.6" spans="4:11">
      <c r="D7401" s="4">
        <v>6491</v>
      </c>
      <c r="E7401" s="4" t="s">
        <v>223</v>
      </c>
      <c r="J7401" s="3" t="s">
        <v>7621</v>
      </c>
      <c r="K7401" s="3" t="s">
        <v>223</v>
      </c>
    </row>
    <row r="7402" ht="15.6" spans="4:11">
      <c r="D7402" s="4">
        <v>6492</v>
      </c>
      <c r="E7402" s="4" t="s">
        <v>223</v>
      </c>
      <c r="J7402" s="3" t="s">
        <v>7622</v>
      </c>
      <c r="K7402" s="3" t="s">
        <v>223</v>
      </c>
    </row>
    <row r="7403" ht="15.6" spans="4:11">
      <c r="D7403" s="4">
        <v>6493</v>
      </c>
      <c r="E7403" s="4" t="s">
        <v>223</v>
      </c>
      <c r="J7403" s="3" t="s">
        <v>7623</v>
      </c>
      <c r="K7403" s="3" t="s">
        <v>223</v>
      </c>
    </row>
    <row r="7404" ht="15.6" spans="4:11">
      <c r="D7404" s="4">
        <v>6494</v>
      </c>
      <c r="E7404" s="4" t="s">
        <v>223</v>
      </c>
      <c r="J7404" s="3" t="s">
        <v>7624</v>
      </c>
      <c r="K7404" s="3" t="s">
        <v>223</v>
      </c>
    </row>
    <row r="7405" ht="15.6" spans="4:11">
      <c r="D7405" s="4">
        <v>6495</v>
      </c>
      <c r="E7405" s="4" t="s">
        <v>223</v>
      </c>
      <c r="J7405" s="3" t="s">
        <v>7625</v>
      </c>
      <c r="K7405" s="3" t="s">
        <v>223</v>
      </c>
    </row>
    <row r="7406" ht="15.6" spans="4:11">
      <c r="D7406" s="4">
        <v>6496</v>
      </c>
      <c r="E7406" s="4" t="s">
        <v>223</v>
      </c>
      <c r="J7406" s="3" t="s">
        <v>7626</v>
      </c>
      <c r="K7406" s="3" t="s">
        <v>223</v>
      </c>
    </row>
    <row r="7407" ht="15.6" spans="4:11">
      <c r="D7407" s="4">
        <v>6497</v>
      </c>
      <c r="E7407" s="4" t="s">
        <v>223</v>
      </c>
      <c r="J7407" s="3" t="s">
        <v>7627</v>
      </c>
      <c r="K7407" s="3" t="s">
        <v>223</v>
      </c>
    </row>
    <row r="7408" ht="15.6" spans="4:11">
      <c r="D7408" s="4">
        <v>6498</v>
      </c>
      <c r="E7408" s="4" t="s">
        <v>223</v>
      </c>
      <c r="J7408" s="3" t="s">
        <v>7628</v>
      </c>
      <c r="K7408" s="3" t="s">
        <v>223</v>
      </c>
    </row>
    <row r="7409" ht="15.6" spans="4:11">
      <c r="D7409" s="4">
        <v>6499</v>
      </c>
      <c r="E7409" s="4" t="s">
        <v>223</v>
      </c>
      <c r="J7409" s="3" t="s">
        <v>7629</v>
      </c>
      <c r="K7409" s="3" t="s">
        <v>223</v>
      </c>
    </row>
    <row r="7410" ht="15.6" spans="4:11">
      <c r="D7410" s="4">
        <v>6500</v>
      </c>
      <c r="E7410" s="4" t="s">
        <v>223</v>
      </c>
      <c r="J7410" s="3" t="s">
        <v>7630</v>
      </c>
      <c r="K7410" s="3" t="s">
        <v>223</v>
      </c>
    </row>
    <row r="7411" ht="15.6" spans="4:11">
      <c r="D7411" s="4">
        <v>6501</v>
      </c>
      <c r="E7411" s="4" t="s">
        <v>223</v>
      </c>
      <c r="J7411" s="3" t="s">
        <v>7631</v>
      </c>
      <c r="K7411" s="3" t="s">
        <v>223</v>
      </c>
    </row>
    <row r="7412" ht="15.6" spans="4:11">
      <c r="D7412" s="4">
        <v>6502</v>
      </c>
      <c r="E7412" s="4" t="s">
        <v>223</v>
      </c>
      <c r="J7412" s="3" t="s">
        <v>7632</v>
      </c>
      <c r="K7412" s="3" t="s">
        <v>223</v>
      </c>
    </row>
    <row r="7413" ht="15.6" spans="4:11">
      <c r="D7413" s="4">
        <v>6503</v>
      </c>
      <c r="E7413" s="4" t="s">
        <v>223</v>
      </c>
      <c r="J7413" s="3" t="s">
        <v>7633</v>
      </c>
      <c r="K7413" s="3" t="s">
        <v>223</v>
      </c>
    </row>
    <row r="7414" ht="15.6" spans="4:11">
      <c r="D7414" s="4">
        <v>6504</v>
      </c>
      <c r="E7414" s="4" t="s">
        <v>223</v>
      </c>
      <c r="J7414" s="3" t="s">
        <v>7634</v>
      </c>
      <c r="K7414" s="3" t="s">
        <v>223</v>
      </c>
    </row>
    <row r="7415" ht="15.6" spans="4:11">
      <c r="D7415" s="4">
        <v>6505</v>
      </c>
      <c r="E7415" s="4" t="s">
        <v>223</v>
      </c>
      <c r="J7415" s="3" t="s">
        <v>7635</v>
      </c>
      <c r="K7415" s="3" t="s">
        <v>223</v>
      </c>
    </row>
    <row r="7416" ht="15.6" spans="4:11">
      <c r="D7416" s="4">
        <v>6506</v>
      </c>
      <c r="E7416" s="4" t="s">
        <v>223</v>
      </c>
      <c r="J7416" s="3" t="s">
        <v>7636</v>
      </c>
      <c r="K7416" s="3" t="s">
        <v>223</v>
      </c>
    </row>
    <row r="7417" ht="15.6" spans="4:11">
      <c r="D7417" s="4">
        <v>6507</v>
      </c>
      <c r="E7417" s="4" t="s">
        <v>223</v>
      </c>
      <c r="J7417" s="3" t="s">
        <v>7637</v>
      </c>
      <c r="K7417" s="3" t="s">
        <v>223</v>
      </c>
    </row>
    <row r="7418" ht="15.6" spans="4:11">
      <c r="D7418" s="4">
        <v>6508</v>
      </c>
      <c r="E7418" s="4" t="s">
        <v>223</v>
      </c>
      <c r="J7418" s="3" t="s">
        <v>7638</v>
      </c>
      <c r="K7418" s="3" t="s">
        <v>223</v>
      </c>
    </row>
    <row r="7419" ht="15.6" spans="4:11">
      <c r="D7419" s="4">
        <v>6509</v>
      </c>
      <c r="E7419" s="4" t="s">
        <v>223</v>
      </c>
      <c r="J7419" s="3" t="s">
        <v>7639</v>
      </c>
      <c r="K7419" s="3" t="s">
        <v>223</v>
      </c>
    </row>
    <row r="7420" ht="15.6" spans="4:11">
      <c r="D7420" s="4">
        <v>6510</v>
      </c>
      <c r="E7420" s="4" t="s">
        <v>223</v>
      </c>
      <c r="J7420" s="3" t="s">
        <v>7640</v>
      </c>
      <c r="K7420" s="3" t="s">
        <v>223</v>
      </c>
    </row>
    <row r="7421" ht="15.6" spans="4:11">
      <c r="D7421" s="4">
        <v>6511</v>
      </c>
      <c r="E7421" s="4" t="s">
        <v>223</v>
      </c>
      <c r="J7421" s="3" t="s">
        <v>7641</v>
      </c>
      <c r="K7421" s="3" t="s">
        <v>223</v>
      </c>
    </row>
    <row r="7422" ht="15.6" spans="4:11">
      <c r="D7422" s="4">
        <v>6512</v>
      </c>
      <c r="E7422" s="4" t="s">
        <v>223</v>
      </c>
      <c r="J7422" s="3" t="s">
        <v>7642</v>
      </c>
      <c r="K7422" s="3" t="s">
        <v>223</v>
      </c>
    </row>
    <row r="7423" ht="15.6" spans="4:11">
      <c r="D7423" s="4">
        <v>6513</v>
      </c>
      <c r="E7423" s="4" t="s">
        <v>223</v>
      </c>
      <c r="J7423" s="3" t="s">
        <v>7643</v>
      </c>
      <c r="K7423" s="3" t="s">
        <v>223</v>
      </c>
    </row>
    <row r="7424" ht="15.6" spans="4:11">
      <c r="D7424" s="4">
        <v>6514</v>
      </c>
      <c r="E7424" s="4" t="s">
        <v>223</v>
      </c>
      <c r="J7424" s="3" t="s">
        <v>7644</v>
      </c>
      <c r="K7424" s="3" t="s">
        <v>223</v>
      </c>
    </row>
    <row r="7425" ht="15.6" spans="4:11">
      <c r="D7425" s="4">
        <v>6515</v>
      </c>
      <c r="E7425" s="4" t="s">
        <v>223</v>
      </c>
      <c r="J7425" s="3" t="s">
        <v>7645</v>
      </c>
      <c r="K7425" s="3" t="s">
        <v>223</v>
      </c>
    </row>
    <row r="7426" ht="15.6" spans="4:11">
      <c r="D7426" s="4">
        <v>6516</v>
      </c>
      <c r="E7426" s="4" t="s">
        <v>223</v>
      </c>
      <c r="J7426" s="3" t="s">
        <v>7646</v>
      </c>
      <c r="K7426" s="3" t="s">
        <v>223</v>
      </c>
    </row>
    <row r="7427" ht="15.6" spans="4:11">
      <c r="D7427" s="4">
        <v>6517</v>
      </c>
      <c r="E7427" s="4" t="s">
        <v>223</v>
      </c>
      <c r="J7427" s="3" t="s">
        <v>7647</v>
      </c>
      <c r="K7427" s="3" t="s">
        <v>223</v>
      </c>
    </row>
    <row r="7428" ht="15.6" spans="4:11">
      <c r="D7428" s="4">
        <v>6518</v>
      </c>
      <c r="E7428" s="4" t="s">
        <v>223</v>
      </c>
      <c r="J7428" s="3" t="s">
        <v>7648</v>
      </c>
      <c r="K7428" s="3" t="s">
        <v>223</v>
      </c>
    </row>
    <row r="7429" ht="15.6" spans="4:11">
      <c r="D7429" s="4">
        <v>6519</v>
      </c>
      <c r="E7429" s="4" t="s">
        <v>223</v>
      </c>
      <c r="J7429" s="3" t="s">
        <v>7649</v>
      </c>
      <c r="K7429" s="3" t="s">
        <v>223</v>
      </c>
    </row>
    <row r="7430" ht="15.6" spans="4:11">
      <c r="D7430" s="4">
        <v>6520</v>
      </c>
      <c r="E7430" s="4" t="s">
        <v>223</v>
      </c>
      <c r="J7430" s="3" t="s">
        <v>7650</v>
      </c>
      <c r="K7430" s="3" t="s">
        <v>223</v>
      </c>
    </row>
    <row r="7431" ht="15.6" spans="4:11">
      <c r="D7431" s="4">
        <v>6521</v>
      </c>
      <c r="E7431" s="4" t="s">
        <v>223</v>
      </c>
      <c r="J7431" s="3" t="s">
        <v>7651</v>
      </c>
      <c r="K7431" s="3" t="s">
        <v>223</v>
      </c>
    </row>
    <row r="7432" ht="15.6" spans="4:11">
      <c r="D7432" s="4">
        <v>6522</v>
      </c>
      <c r="E7432" s="4" t="s">
        <v>223</v>
      </c>
      <c r="J7432" s="3" t="s">
        <v>7652</v>
      </c>
      <c r="K7432" s="3" t="s">
        <v>223</v>
      </c>
    </row>
    <row r="7433" ht="15.6" spans="4:11">
      <c r="D7433" s="4">
        <v>6523</v>
      </c>
      <c r="E7433" s="4" t="s">
        <v>223</v>
      </c>
      <c r="J7433" s="3" t="s">
        <v>7653</v>
      </c>
      <c r="K7433" s="3" t="s">
        <v>223</v>
      </c>
    </row>
    <row r="7434" ht="15.6" spans="4:11">
      <c r="D7434" s="4">
        <v>6524</v>
      </c>
      <c r="E7434" s="4" t="s">
        <v>223</v>
      </c>
      <c r="J7434" s="3" t="s">
        <v>7654</v>
      </c>
      <c r="K7434" s="3" t="s">
        <v>223</v>
      </c>
    </row>
    <row r="7435" ht="15.6" spans="4:11">
      <c r="D7435" s="4">
        <v>6525</v>
      </c>
      <c r="E7435" s="4" t="s">
        <v>223</v>
      </c>
      <c r="J7435" s="3" t="s">
        <v>7655</v>
      </c>
      <c r="K7435" s="3" t="s">
        <v>223</v>
      </c>
    </row>
    <row r="7436" ht="15.6" spans="4:11">
      <c r="D7436" s="4">
        <v>6526</v>
      </c>
      <c r="E7436" s="4" t="s">
        <v>223</v>
      </c>
      <c r="J7436" s="3" t="s">
        <v>7656</v>
      </c>
      <c r="K7436" s="3" t="s">
        <v>223</v>
      </c>
    </row>
    <row r="7437" ht="15.6" spans="4:11">
      <c r="D7437" s="4">
        <v>6527</v>
      </c>
      <c r="E7437" s="4" t="s">
        <v>223</v>
      </c>
      <c r="J7437" s="3" t="s">
        <v>7657</v>
      </c>
      <c r="K7437" s="3" t="s">
        <v>223</v>
      </c>
    </row>
    <row r="7438" ht="15.6" spans="4:11">
      <c r="D7438" s="4">
        <v>6528</v>
      </c>
      <c r="E7438" s="4" t="s">
        <v>223</v>
      </c>
      <c r="J7438" s="3" t="s">
        <v>7658</v>
      </c>
      <c r="K7438" s="3" t="s">
        <v>223</v>
      </c>
    </row>
    <row r="7439" ht="15.6" spans="4:11">
      <c r="D7439" s="4">
        <v>6529</v>
      </c>
      <c r="E7439" s="4" t="s">
        <v>223</v>
      </c>
      <c r="J7439" s="3" t="s">
        <v>7659</v>
      </c>
      <c r="K7439" s="3" t="s">
        <v>223</v>
      </c>
    </row>
    <row r="7440" ht="15.6" spans="4:11">
      <c r="D7440" s="4">
        <v>6530</v>
      </c>
      <c r="E7440" s="4" t="s">
        <v>223</v>
      </c>
      <c r="J7440" s="3" t="s">
        <v>7660</v>
      </c>
      <c r="K7440" s="3" t="s">
        <v>223</v>
      </c>
    </row>
    <row r="7441" ht="15.6" spans="4:11">
      <c r="D7441" s="4">
        <v>6531</v>
      </c>
      <c r="E7441" s="4" t="s">
        <v>223</v>
      </c>
      <c r="J7441" s="3" t="s">
        <v>7661</v>
      </c>
      <c r="K7441" s="3" t="s">
        <v>223</v>
      </c>
    </row>
    <row r="7442" ht="15.6" spans="4:11">
      <c r="D7442" s="4">
        <v>6532</v>
      </c>
      <c r="E7442" s="4" t="s">
        <v>223</v>
      </c>
      <c r="J7442" s="3" t="s">
        <v>7662</v>
      </c>
      <c r="K7442" s="3" t="s">
        <v>223</v>
      </c>
    </row>
    <row r="7443" ht="15.6" spans="4:11">
      <c r="D7443" s="4">
        <v>6533</v>
      </c>
      <c r="E7443" s="4" t="s">
        <v>223</v>
      </c>
      <c r="J7443" s="3" t="s">
        <v>7663</v>
      </c>
      <c r="K7443" s="3" t="s">
        <v>223</v>
      </c>
    </row>
    <row r="7444" ht="15.6" spans="4:11">
      <c r="D7444" s="4">
        <v>6534</v>
      </c>
      <c r="E7444" s="4" t="s">
        <v>223</v>
      </c>
      <c r="J7444" s="3" t="s">
        <v>7664</v>
      </c>
      <c r="K7444" s="3" t="s">
        <v>223</v>
      </c>
    </row>
    <row r="7445" ht="15.6" spans="4:11">
      <c r="D7445" s="4">
        <v>6535</v>
      </c>
      <c r="E7445" s="4" t="s">
        <v>223</v>
      </c>
      <c r="J7445" s="3" t="s">
        <v>7665</v>
      </c>
      <c r="K7445" s="3" t="s">
        <v>223</v>
      </c>
    </row>
    <row r="7446" ht="15.6" spans="4:11">
      <c r="D7446" s="4">
        <v>6536</v>
      </c>
      <c r="E7446" s="4" t="s">
        <v>223</v>
      </c>
      <c r="J7446" s="3" t="s">
        <v>7666</v>
      </c>
      <c r="K7446" s="3" t="s">
        <v>223</v>
      </c>
    </row>
    <row r="7447" ht="15.6" spans="4:11">
      <c r="D7447" s="4">
        <v>6537</v>
      </c>
      <c r="E7447" s="4" t="s">
        <v>223</v>
      </c>
      <c r="J7447" s="3" t="s">
        <v>7667</v>
      </c>
      <c r="K7447" s="3" t="s">
        <v>223</v>
      </c>
    </row>
    <row r="7448" ht="15.6" spans="4:11">
      <c r="D7448" s="4">
        <v>6538</v>
      </c>
      <c r="E7448" s="4" t="s">
        <v>223</v>
      </c>
      <c r="J7448" s="3" t="s">
        <v>7668</v>
      </c>
      <c r="K7448" s="3" t="s">
        <v>223</v>
      </c>
    </row>
    <row r="7449" ht="15.6" spans="4:11">
      <c r="D7449" s="4">
        <v>6539</v>
      </c>
      <c r="E7449" s="4" t="s">
        <v>223</v>
      </c>
      <c r="J7449" s="3" t="s">
        <v>7669</v>
      </c>
      <c r="K7449" s="3" t="s">
        <v>223</v>
      </c>
    </row>
    <row r="7450" ht="15.6" spans="4:11">
      <c r="D7450" s="4">
        <v>6540</v>
      </c>
      <c r="E7450" s="4" t="s">
        <v>223</v>
      </c>
      <c r="J7450" s="3" t="s">
        <v>7670</v>
      </c>
      <c r="K7450" s="3" t="s">
        <v>223</v>
      </c>
    </row>
    <row r="7451" ht="15.6" spans="4:11">
      <c r="D7451" s="4">
        <v>6541</v>
      </c>
      <c r="E7451" s="4" t="s">
        <v>223</v>
      </c>
      <c r="J7451" s="3" t="s">
        <v>7671</v>
      </c>
      <c r="K7451" s="3" t="s">
        <v>223</v>
      </c>
    </row>
    <row r="7452" ht="15.6" spans="4:11">
      <c r="D7452" s="4">
        <v>6542</v>
      </c>
      <c r="E7452" s="4" t="s">
        <v>223</v>
      </c>
      <c r="J7452" s="3" t="s">
        <v>7672</v>
      </c>
      <c r="K7452" s="3" t="s">
        <v>223</v>
      </c>
    </row>
    <row r="7453" ht="15.6" spans="4:11">
      <c r="D7453" s="4">
        <v>6543</v>
      </c>
      <c r="E7453" s="4" t="s">
        <v>223</v>
      </c>
      <c r="J7453" s="3" t="s">
        <v>7673</v>
      </c>
      <c r="K7453" s="3" t="s">
        <v>223</v>
      </c>
    </row>
    <row r="7454" ht="15.6" spans="4:11">
      <c r="D7454" s="4">
        <v>6544</v>
      </c>
      <c r="E7454" s="4" t="s">
        <v>223</v>
      </c>
      <c r="J7454" s="3" t="s">
        <v>7674</v>
      </c>
      <c r="K7454" s="3" t="s">
        <v>223</v>
      </c>
    </row>
    <row r="7455" ht="15.6" spans="4:11">
      <c r="D7455" s="4">
        <v>6545</v>
      </c>
      <c r="E7455" s="4" t="s">
        <v>223</v>
      </c>
      <c r="J7455" s="3" t="s">
        <v>7675</v>
      </c>
      <c r="K7455" s="3" t="s">
        <v>223</v>
      </c>
    </row>
    <row r="7456" ht="15.6" spans="4:11">
      <c r="D7456" s="4">
        <v>6546</v>
      </c>
      <c r="E7456" s="4" t="s">
        <v>223</v>
      </c>
      <c r="J7456" s="3" t="s">
        <v>7676</v>
      </c>
      <c r="K7456" s="3" t="s">
        <v>223</v>
      </c>
    </row>
    <row r="7457" ht="15.6" spans="4:11">
      <c r="D7457" s="4">
        <v>6547</v>
      </c>
      <c r="E7457" s="4" t="s">
        <v>223</v>
      </c>
      <c r="J7457" s="3" t="s">
        <v>7677</v>
      </c>
      <c r="K7457" s="3" t="s">
        <v>223</v>
      </c>
    </row>
    <row r="7458" ht="15.6" spans="4:11">
      <c r="D7458" s="4">
        <v>6548</v>
      </c>
      <c r="E7458" s="4" t="s">
        <v>223</v>
      </c>
      <c r="J7458" s="3" t="s">
        <v>7678</v>
      </c>
      <c r="K7458" s="3" t="s">
        <v>223</v>
      </c>
    </row>
    <row r="7459" ht="15.6" spans="4:11">
      <c r="D7459" s="4">
        <v>6549</v>
      </c>
      <c r="E7459" s="4" t="s">
        <v>223</v>
      </c>
      <c r="J7459" s="3" t="s">
        <v>7679</v>
      </c>
      <c r="K7459" s="3" t="s">
        <v>223</v>
      </c>
    </row>
    <row r="7460" ht="15.6" spans="4:11">
      <c r="D7460" s="4">
        <v>6550</v>
      </c>
      <c r="E7460" s="4" t="s">
        <v>223</v>
      </c>
      <c r="J7460" s="3" t="s">
        <v>7680</v>
      </c>
      <c r="K7460" s="3" t="s">
        <v>223</v>
      </c>
    </row>
    <row r="7461" ht="15.6" spans="4:11">
      <c r="D7461" s="4">
        <v>6551</v>
      </c>
      <c r="E7461" s="4" t="s">
        <v>223</v>
      </c>
      <c r="J7461" s="3" t="s">
        <v>7681</v>
      </c>
      <c r="K7461" s="3" t="s">
        <v>223</v>
      </c>
    </row>
    <row r="7462" ht="15.6" spans="4:11">
      <c r="D7462" s="4">
        <v>6552</v>
      </c>
      <c r="E7462" s="4" t="s">
        <v>223</v>
      </c>
      <c r="J7462" s="3" t="s">
        <v>7682</v>
      </c>
      <c r="K7462" s="3" t="s">
        <v>223</v>
      </c>
    </row>
    <row r="7463" ht="15.6" spans="4:11">
      <c r="D7463" s="4">
        <v>6553</v>
      </c>
      <c r="E7463" s="4" t="s">
        <v>223</v>
      </c>
      <c r="J7463" s="3" t="s">
        <v>7683</v>
      </c>
      <c r="K7463" s="3" t="s">
        <v>223</v>
      </c>
    </row>
    <row r="7464" ht="15.6" spans="4:11">
      <c r="D7464" s="4">
        <v>6554</v>
      </c>
      <c r="E7464" s="4" t="s">
        <v>223</v>
      </c>
      <c r="J7464" s="3" t="s">
        <v>7684</v>
      </c>
      <c r="K7464" s="3" t="s">
        <v>223</v>
      </c>
    </row>
    <row r="7465" ht="15.6" spans="4:11">
      <c r="D7465" s="4">
        <v>6555</v>
      </c>
      <c r="E7465" s="4" t="s">
        <v>223</v>
      </c>
      <c r="J7465" s="3" t="s">
        <v>7685</v>
      </c>
      <c r="K7465" s="3" t="s">
        <v>223</v>
      </c>
    </row>
    <row r="7466" ht="15.6" spans="4:11">
      <c r="D7466" s="4">
        <v>6556</v>
      </c>
      <c r="E7466" s="4" t="s">
        <v>223</v>
      </c>
      <c r="J7466" s="3" t="s">
        <v>7686</v>
      </c>
      <c r="K7466" s="3" t="s">
        <v>223</v>
      </c>
    </row>
    <row r="7467" ht="15.6" spans="4:11">
      <c r="D7467" s="4">
        <v>6557</v>
      </c>
      <c r="E7467" s="4" t="s">
        <v>223</v>
      </c>
      <c r="J7467" s="3" t="s">
        <v>7687</v>
      </c>
      <c r="K7467" s="3" t="s">
        <v>223</v>
      </c>
    </row>
    <row r="7468" ht="15.6" spans="4:11">
      <c r="D7468" s="4">
        <v>6558</v>
      </c>
      <c r="E7468" s="4" t="s">
        <v>223</v>
      </c>
      <c r="J7468" s="3" t="s">
        <v>7688</v>
      </c>
      <c r="K7468" s="3" t="s">
        <v>223</v>
      </c>
    </row>
    <row r="7469" ht="15.6" spans="4:11">
      <c r="D7469" s="4">
        <v>6559</v>
      </c>
      <c r="E7469" s="4" t="s">
        <v>223</v>
      </c>
      <c r="J7469" s="3" t="s">
        <v>7689</v>
      </c>
      <c r="K7469" s="3" t="s">
        <v>223</v>
      </c>
    </row>
    <row r="7470" ht="15.6" spans="4:11">
      <c r="D7470" s="4">
        <v>6560</v>
      </c>
      <c r="E7470" s="4" t="s">
        <v>223</v>
      </c>
      <c r="J7470" s="3" t="s">
        <v>7690</v>
      </c>
      <c r="K7470" s="3" t="s">
        <v>223</v>
      </c>
    </row>
    <row r="7471" ht="15.6" spans="4:11">
      <c r="D7471" s="4">
        <v>6561</v>
      </c>
      <c r="E7471" s="4" t="s">
        <v>223</v>
      </c>
      <c r="J7471" s="3" t="s">
        <v>7691</v>
      </c>
      <c r="K7471" s="3" t="s">
        <v>223</v>
      </c>
    </row>
    <row r="7472" ht="15.6" spans="4:11">
      <c r="D7472" s="4">
        <v>6562</v>
      </c>
      <c r="E7472" s="4" t="s">
        <v>223</v>
      </c>
      <c r="J7472" s="3" t="s">
        <v>7692</v>
      </c>
      <c r="K7472" s="3" t="s">
        <v>223</v>
      </c>
    </row>
    <row r="7473" ht="15.6" spans="4:11">
      <c r="D7473" s="4">
        <v>6563</v>
      </c>
      <c r="E7473" s="4" t="s">
        <v>223</v>
      </c>
      <c r="J7473" s="3" t="s">
        <v>7693</v>
      </c>
      <c r="K7473" s="3" t="s">
        <v>223</v>
      </c>
    </row>
    <row r="7474" ht="15.6" spans="4:11">
      <c r="D7474" s="4">
        <v>6564</v>
      </c>
      <c r="E7474" s="4" t="s">
        <v>223</v>
      </c>
      <c r="J7474" s="3" t="s">
        <v>7694</v>
      </c>
      <c r="K7474" s="3" t="s">
        <v>223</v>
      </c>
    </row>
    <row r="7475" ht="15.6" spans="4:11">
      <c r="D7475" s="4">
        <v>6565</v>
      </c>
      <c r="E7475" s="4" t="s">
        <v>223</v>
      </c>
      <c r="J7475" s="3" t="s">
        <v>7695</v>
      </c>
      <c r="K7475" s="3" t="s">
        <v>223</v>
      </c>
    </row>
    <row r="7476" ht="15.6" spans="4:11">
      <c r="D7476" s="4">
        <v>6566</v>
      </c>
      <c r="E7476" s="4" t="s">
        <v>223</v>
      </c>
      <c r="J7476" s="3" t="s">
        <v>7696</v>
      </c>
      <c r="K7476" s="3" t="s">
        <v>223</v>
      </c>
    </row>
    <row r="7477" ht="15.6" spans="4:11">
      <c r="D7477" s="4">
        <v>6567</v>
      </c>
      <c r="E7477" s="4" t="s">
        <v>223</v>
      </c>
      <c r="J7477" s="3" t="s">
        <v>7697</v>
      </c>
      <c r="K7477" s="3" t="s">
        <v>223</v>
      </c>
    </row>
    <row r="7478" ht="15.6" spans="4:11">
      <c r="D7478" s="4">
        <v>6568</v>
      </c>
      <c r="E7478" s="4" t="s">
        <v>223</v>
      </c>
      <c r="J7478" s="3" t="s">
        <v>7698</v>
      </c>
      <c r="K7478" s="3" t="s">
        <v>223</v>
      </c>
    </row>
    <row r="7479" ht="15.6" spans="4:11">
      <c r="D7479" s="4">
        <v>6569</v>
      </c>
      <c r="E7479" s="4" t="s">
        <v>223</v>
      </c>
      <c r="J7479" s="3" t="s">
        <v>7699</v>
      </c>
      <c r="K7479" s="3" t="s">
        <v>223</v>
      </c>
    </row>
    <row r="7480" ht="15.6" spans="4:11">
      <c r="D7480" s="4">
        <v>6570</v>
      </c>
      <c r="E7480" s="4" t="s">
        <v>223</v>
      </c>
      <c r="J7480" s="3" t="s">
        <v>7700</v>
      </c>
      <c r="K7480" s="3" t="s">
        <v>223</v>
      </c>
    </row>
    <row r="7481" ht="15.6" spans="4:11">
      <c r="D7481" s="4">
        <v>6571</v>
      </c>
      <c r="E7481" s="4" t="s">
        <v>223</v>
      </c>
      <c r="J7481" s="3" t="s">
        <v>7701</v>
      </c>
      <c r="K7481" s="3" t="s">
        <v>223</v>
      </c>
    </row>
    <row r="7482" ht="15.6" spans="4:11">
      <c r="D7482" s="4">
        <v>6572</v>
      </c>
      <c r="E7482" s="4" t="s">
        <v>223</v>
      </c>
      <c r="J7482" s="3" t="s">
        <v>7702</v>
      </c>
      <c r="K7482" s="3" t="s">
        <v>223</v>
      </c>
    </row>
    <row r="7483" ht="15.6" spans="4:11">
      <c r="D7483" s="4">
        <v>6573</v>
      </c>
      <c r="E7483" s="4" t="s">
        <v>223</v>
      </c>
      <c r="J7483" s="3" t="s">
        <v>7703</v>
      </c>
      <c r="K7483" s="3" t="s">
        <v>223</v>
      </c>
    </row>
    <row r="7484" ht="15.6" spans="4:11">
      <c r="D7484" s="4">
        <v>6574</v>
      </c>
      <c r="E7484" s="4" t="s">
        <v>223</v>
      </c>
      <c r="J7484" s="3" t="s">
        <v>7704</v>
      </c>
      <c r="K7484" s="3" t="s">
        <v>223</v>
      </c>
    </row>
    <row r="7485" ht="15.6" spans="4:11">
      <c r="D7485" s="4">
        <v>6575</v>
      </c>
      <c r="E7485" s="4" t="s">
        <v>223</v>
      </c>
      <c r="J7485" s="3" t="s">
        <v>7705</v>
      </c>
      <c r="K7485" s="3" t="s">
        <v>223</v>
      </c>
    </row>
    <row r="7486" ht="15.6" spans="4:11">
      <c r="D7486" s="4">
        <v>6576</v>
      </c>
      <c r="E7486" s="4" t="s">
        <v>223</v>
      </c>
      <c r="J7486" s="3" t="s">
        <v>7706</v>
      </c>
      <c r="K7486" s="3" t="s">
        <v>223</v>
      </c>
    </row>
    <row r="7487" ht="15.6" spans="4:11">
      <c r="D7487" s="4">
        <v>6577</v>
      </c>
      <c r="E7487" s="4" t="s">
        <v>223</v>
      </c>
      <c r="J7487" s="3" t="s">
        <v>7707</v>
      </c>
      <c r="K7487" s="3" t="s">
        <v>223</v>
      </c>
    </row>
    <row r="7488" ht="15.6" spans="4:11">
      <c r="D7488" s="4">
        <v>6578</v>
      </c>
      <c r="E7488" s="4" t="s">
        <v>223</v>
      </c>
      <c r="J7488" s="3" t="s">
        <v>7708</v>
      </c>
      <c r="K7488" s="3" t="s">
        <v>223</v>
      </c>
    </row>
    <row r="7489" ht="15.6" spans="4:11">
      <c r="D7489" s="4">
        <v>6579</v>
      </c>
      <c r="E7489" s="4" t="s">
        <v>223</v>
      </c>
      <c r="J7489" s="3" t="s">
        <v>7709</v>
      </c>
      <c r="K7489" s="3" t="s">
        <v>223</v>
      </c>
    </row>
    <row r="7490" ht="15.6" spans="4:11">
      <c r="D7490" s="4">
        <v>6580</v>
      </c>
      <c r="E7490" s="4" t="s">
        <v>223</v>
      </c>
      <c r="J7490" s="3" t="s">
        <v>7710</v>
      </c>
      <c r="K7490" s="3" t="s">
        <v>223</v>
      </c>
    </row>
    <row r="7491" ht="15.6" spans="4:11">
      <c r="D7491" s="4">
        <v>6581</v>
      </c>
      <c r="E7491" s="4" t="s">
        <v>223</v>
      </c>
      <c r="J7491" s="3" t="s">
        <v>7711</v>
      </c>
      <c r="K7491" s="3" t="s">
        <v>223</v>
      </c>
    </row>
    <row r="7492" ht="15.6" spans="4:11">
      <c r="D7492" s="4">
        <v>6582</v>
      </c>
      <c r="E7492" s="4" t="s">
        <v>223</v>
      </c>
      <c r="J7492" s="3" t="s">
        <v>7712</v>
      </c>
      <c r="K7492" s="3" t="s">
        <v>223</v>
      </c>
    </row>
    <row r="7493" ht="15.6" spans="4:11">
      <c r="D7493" s="4">
        <v>6583</v>
      </c>
      <c r="E7493" s="4" t="s">
        <v>223</v>
      </c>
      <c r="J7493" s="3" t="s">
        <v>7713</v>
      </c>
      <c r="K7493" s="3" t="s">
        <v>223</v>
      </c>
    </row>
    <row r="7494" ht="15.6" spans="4:11">
      <c r="D7494" s="4">
        <v>6584</v>
      </c>
      <c r="E7494" s="4" t="s">
        <v>223</v>
      </c>
      <c r="J7494" s="3" t="s">
        <v>7714</v>
      </c>
      <c r="K7494" s="3" t="s">
        <v>223</v>
      </c>
    </row>
    <row r="7495" ht="15.6" spans="4:11">
      <c r="D7495" s="4">
        <v>6585</v>
      </c>
      <c r="E7495" s="4" t="s">
        <v>223</v>
      </c>
      <c r="J7495" s="3" t="s">
        <v>7715</v>
      </c>
      <c r="K7495" s="3" t="s">
        <v>223</v>
      </c>
    </row>
    <row r="7496" ht="15.6" spans="4:11">
      <c r="D7496" s="4">
        <v>6586</v>
      </c>
      <c r="E7496" s="4" t="s">
        <v>223</v>
      </c>
      <c r="J7496" s="3" t="s">
        <v>7716</v>
      </c>
      <c r="K7496" s="3" t="s">
        <v>223</v>
      </c>
    </row>
    <row r="7497" ht="15.6" spans="4:11">
      <c r="D7497" s="4">
        <v>6587</v>
      </c>
      <c r="E7497" s="4" t="s">
        <v>223</v>
      </c>
      <c r="J7497" s="3" t="s">
        <v>7717</v>
      </c>
      <c r="K7497" s="3" t="s">
        <v>223</v>
      </c>
    </row>
    <row r="7498" ht="15.6" spans="4:11">
      <c r="D7498" s="4">
        <v>6588</v>
      </c>
      <c r="E7498" s="4" t="s">
        <v>223</v>
      </c>
      <c r="J7498" s="3" t="s">
        <v>7718</v>
      </c>
      <c r="K7498" s="3" t="s">
        <v>223</v>
      </c>
    </row>
    <row r="7499" ht="15.6" spans="4:11">
      <c r="D7499" s="4">
        <v>6589</v>
      </c>
      <c r="E7499" s="4" t="s">
        <v>223</v>
      </c>
      <c r="J7499" s="3" t="s">
        <v>7719</v>
      </c>
      <c r="K7499" s="3" t="s">
        <v>223</v>
      </c>
    </row>
    <row r="7500" ht="15.6" spans="4:11">
      <c r="D7500" s="4">
        <v>6590</v>
      </c>
      <c r="E7500" s="4" t="s">
        <v>223</v>
      </c>
      <c r="J7500" s="3" t="s">
        <v>7720</v>
      </c>
      <c r="K7500" s="3" t="s">
        <v>223</v>
      </c>
    </row>
    <row r="7501" ht="15.6" spans="4:11">
      <c r="D7501" s="4">
        <v>6591</v>
      </c>
      <c r="E7501" s="4" t="s">
        <v>223</v>
      </c>
      <c r="J7501" s="3" t="s">
        <v>7721</v>
      </c>
      <c r="K7501" s="3" t="s">
        <v>223</v>
      </c>
    </row>
    <row r="7502" ht="15.6" spans="4:11">
      <c r="D7502" s="4">
        <v>6592</v>
      </c>
      <c r="E7502" s="4" t="s">
        <v>223</v>
      </c>
      <c r="J7502" s="3" t="s">
        <v>7722</v>
      </c>
      <c r="K7502" s="3" t="s">
        <v>223</v>
      </c>
    </row>
    <row r="7503" ht="15.6" spans="4:11">
      <c r="D7503" s="4">
        <v>6593</v>
      </c>
      <c r="E7503" s="4" t="s">
        <v>223</v>
      </c>
      <c r="J7503" s="3" t="s">
        <v>7723</v>
      </c>
      <c r="K7503" s="3" t="s">
        <v>223</v>
      </c>
    </row>
    <row r="7504" ht="15.6" spans="4:11">
      <c r="D7504" s="4">
        <v>6594</v>
      </c>
      <c r="E7504" s="4" t="s">
        <v>223</v>
      </c>
      <c r="J7504" s="3" t="s">
        <v>7724</v>
      </c>
      <c r="K7504" s="3" t="s">
        <v>223</v>
      </c>
    </row>
    <row r="7505" ht="15.6" spans="4:11">
      <c r="D7505" s="4">
        <v>6595</v>
      </c>
      <c r="E7505" s="4" t="s">
        <v>223</v>
      </c>
      <c r="J7505" s="3" t="s">
        <v>7725</v>
      </c>
      <c r="K7505" s="3" t="s">
        <v>223</v>
      </c>
    </row>
    <row r="7506" ht="15.6" spans="4:11">
      <c r="D7506" s="4">
        <v>6596</v>
      </c>
      <c r="E7506" s="4" t="s">
        <v>223</v>
      </c>
      <c r="J7506" s="3" t="s">
        <v>7726</v>
      </c>
      <c r="K7506" s="3" t="s">
        <v>223</v>
      </c>
    </row>
    <row r="7507" ht="15.6" spans="4:11">
      <c r="D7507" s="4">
        <v>6597</v>
      </c>
      <c r="E7507" s="4" t="s">
        <v>223</v>
      </c>
      <c r="J7507" s="3" t="s">
        <v>7727</v>
      </c>
      <c r="K7507" s="3" t="s">
        <v>223</v>
      </c>
    </row>
    <row r="7508" ht="15.6" spans="4:11">
      <c r="D7508" s="4">
        <v>6598</v>
      </c>
      <c r="E7508" s="4" t="s">
        <v>223</v>
      </c>
      <c r="J7508" s="3" t="s">
        <v>7728</v>
      </c>
      <c r="K7508" s="3" t="s">
        <v>223</v>
      </c>
    </row>
    <row r="7509" ht="15.6" spans="4:11">
      <c r="D7509" s="4">
        <v>6599</v>
      </c>
      <c r="E7509" s="4" t="s">
        <v>223</v>
      </c>
      <c r="J7509" s="3" t="s">
        <v>7729</v>
      </c>
      <c r="K7509" s="3" t="s">
        <v>223</v>
      </c>
    </row>
    <row r="7510" ht="15.6" spans="4:11">
      <c r="D7510" s="4">
        <v>6600</v>
      </c>
      <c r="E7510" s="4" t="s">
        <v>223</v>
      </c>
      <c r="J7510" s="3" t="s">
        <v>7730</v>
      </c>
      <c r="K7510" s="3" t="s">
        <v>223</v>
      </c>
    </row>
    <row r="7511" ht="15.6" spans="4:11">
      <c r="D7511" s="4">
        <v>6601</v>
      </c>
      <c r="E7511" s="4" t="s">
        <v>223</v>
      </c>
      <c r="J7511" s="3" t="s">
        <v>7731</v>
      </c>
      <c r="K7511" s="3" t="s">
        <v>223</v>
      </c>
    </row>
    <row r="7512" ht="15.6" spans="4:11">
      <c r="D7512" s="4">
        <v>6602</v>
      </c>
      <c r="E7512" s="4" t="s">
        <v>223</v>
      </c>
      <c r="J7512" s="3" t="s">
        <v>7732</v>
      </c>
      <c r="K7512" s="3" t="s">
        <v>223</v>
      </c>
    </row>
    <row r="7513" ht="15.6" spans="4:11">
      <c r="D7513" s="4">
        <v>6603</v>
      </c>
      <c r="E7513" s="4" t="s">
        <v>223</v>
      </c>
      <c r="J7513" s="3" t="s">
        <v>7733</v>
      </c>
      <c r="K7513" s="3" t="s">
        <v>223</v>
      </c>
    </row>
    <row r="7514" ht="15.6" spans="4:11">
      <c r="D7514" s="4">
        <v>6604</v>
      </c>
      <c r="E7514" s="4" t="s">
        <v>223</v>
      </c>
      <c r="J7514" s="3" t="s">
        <v>7734</v>
      </c>
      <c r="K7514" s="3" t="s">
        <v>223</v>
      </c>
    </row>
    <row r="7515" ht="15.6" spans="4:11">
      <c r="D7515" s="4">
        <v>6605</v>
      </c>
      <c r="E7515" s="4" t="s">
        <v>223</v>
      </c>
      <c r="J7515" s="3" t="s">
        <v>7735</v>
      </c>
      <c r="K7515" s="3" t="s">
        <v>223</v>
      </c>
    </row>
    <row r="7516" ht="15.6" spans="4:11">
      <c r="D7516" s="4">
        <v>6606</v>
      </c>
      <c r="E7516" s="4" t="s">
        <v>223</v>
      </c>
      <c r="J7516" s="3" t="s">
        <v>7736</v>
      </c>
      <c r="K7516" s="3" t="s">
        <v>223</v>
      </c>
    </row>
    <row r="7517" ht="15.6" spans="4:11">
      <c r="D7517" s="4">
        <v>6607</v>
      </c>
      <c r="E7517" s="4" t="s">
        <v>223</v>
      </c>
      <c r="J7517" s="3" t="s">
        <v>7737</v>
      </c>
      <c r="K7517" s="3" t="s">
        <v>223</v>
      </c>
    </row>
    <row r="7518" ht="15.6" spans="4:11">
      <c r="D7518" s="4">
        <v>6608</v>
      </c>
      <c r="E7518" s="4" t="s">
        <v>223</v>
      </c>
      <c r="J7518" s="3" t="s">
        <v>7738</v>
      </c>
      <c r="K7518" s="3" t="s">
        <v>223</v>
      </c>
    </row>
    <row r="7519" ht="15.6" spans="4:11">
      <c r="D7519" s="4">
        <v>6609</v>
      </c>
      <c r="E7519" s="4" t="s">
        <v>223</v>
      </c>
      <c r="J7519" s="3" t="s">
        <v>7739</v>
      </c>
      <c r="K7519" s="3" t="s">
        <v>223</v>
      </c>
    </row>
    <row r="7520" ht="15.6" spans="4:11">
      <c r="D7520" s="4">
        <v>6610</v>
      </c>
      <c r="E7520" s="4" t="s">
        <v>223</v>
      </c>
      <c r="J7520" s="3" t="s">
        <v>7740</v>
      </c>
      <c r="K7520" s="3" t="s">
        <v>223</v>
      </c>
    </row>
    <row r="7521" ht="15.6" spans="4:11">
      <c r="D7521" s="4">
        <v>6611</v>
      </c>
      <c r="E7521" s="4" t="s">
        <v>223</v>
      </c>
      <c r="J7521" s="3" t="s">
        <v>7741</v>
      </c>
      <c r="K7521" s="3" t="s">
        <v>223</v>
      </c>
    </row>
    <row r="7522" ht="15.6" spans="4:11">
      <c r="D7522" s="4">
        <v>6612</v>
      </c>
      <c r="E7522" s="4" t="s">
        <v>223</v>
      </c>
      <c r="J7522" s="3" t="s">
        <v>7742</v>
      </c>
      <c r="K7522" s="3" t="s">
        <v>223</v>
      </c>
    </row>
    <row r="7523" ht="15.6" spans="4:11">
      <c r="D7523" s="4">
        <v>6613</v>
      </c>
      <c r="E7523" s="4" t="s">
        <v>223</v>
      </c>
      <c r="J7523" s="3" t="s">
        <v>7743</v>
      </c>
      <c r="K7523" s="3" t="s">
        <v>223</v>
      </c>
    </row>
    <row r="7524" ht="15.6" spans="4:11">
      <c r="D7524" s="4">
        <v>6614</v>
      </c>
      <c r="E7524" s="4" t="s">
        <v>223</v>
      </c>
      <c r="J7524" s="3" t="s">
        <v>7744</v>
      </c>
      <c r="K7524" s="3" t="s">
        <v>223</v>
      </c>
    </row>
    <row r="7525" ht="15.6" spans="4:11">
      <c r="D7525" s="4">
        <v>6615</v>
      </c>
      <c r="E7525" s="4" t="s">
        <v>223</v>
      </c>
      <c r="J7525" s="3" t="s">
        <v>7745</v>
      </c>
      <c r="K7525" s="3" t="s">
        <v>223</v>
      </c>
    </row>
    <row r="7526" ht="15.6" spans="4:11">
      <c r="D7526" s="4">
        <v>6616</v>
      </c>
      <c r="E7526" s="4" t="s">
        <v>223</v>
      </c>
      <c r="J7526" s="3" t="s">
        <v>7746</v>
      </c>
      <c r="K7526" s="3" t="s">
        <v>223</v>
      </c>
    </row>
    <row r="7527" ht="15.6" spans="4:11">
      <c r="D7527" s="4">
        <v>6617</v>
      </c>
      <c r="E7527" s="4" t="s">
        <v>223</v>
      </c>
      <c r="J7527" s="3" t="s">
        <v>7747</v>
      </c>
      <c r="K7527" s="3" t="s">
        <v>223</v>
      </c>
    </row>
    <row r="7528" ht="15.6" spans="4:11">
      <c r="D7528" s="4">
        <v>6618</v>
      </c>
      <c r="E7528" s="4" t="s">
        <v>223</v>
      </c>
      <c r="J7528" s="3" t="s">
        <v>7748</v>
      </c>
      <c r="K7528" s="3" t="s">
        <v>223</v>
      </c>
    </row>
    <row r="7529" ht="15.6" spans="4:11">
      <c r="D7529" s="4">
        <v>6619</v>
      </c>
      <c r="E7529" s="4" t="s">
        <v>223</v>
      </c>
      <c r="J7529" s="3" t="s">
        <v>7749</v>
      </c>
      <c r="K7529" s="3" t="s">
        <v>223</v>
      </c>
    </row>
    <row r="7530" ht="15.6" spans="4:11">
      <c r="D7530" s="4">
        <v>6620</v>
      </c>
      <c r="E7530" s="4" t="s">
        <v>223</v>
      </c>
      <c r="J7530" s="3" t="s">
        <v>7750</v>
      </c>
      <c r="K7530" s="3" t="s">
        <v>223</v>
      </c>
    </row>
    <row r="7531" ht="15.6" spans="4:11">
      <c r="D7531" s="4">
        <v>6621</v>
      </c>
      <c r="E7531" s="4" t="s">
        <v>223</v>
      </c>
      <c r="J7531" s="3" t="s">
        <v>7751</v>
      </c>
      <c r="K7531" s="3" t="s">
        <v>223</v>
      </c>
    </row>
    <row r="7532" ht="15.6" spans="4:11">
      <c r="D7532" s="4">
        <v>6622</v>
      </c>
      <c r="E7532" s="4" t="s">
        <v>223</v>
      </c>
      <c r="J7532" s="3" t="s">
        <v>7752</v>
      </c>
      <c r="K7532" s="3" t="s">
        <v>223</v>
      </c>
    </row>
    <row r="7533" ht="15.6" spans="4:11">
      <c r="D7533" s="4">
        <v>6623</v>
      </c>
      <c r="E7533" s="4" t="s">
        <v>223</v>
      </c>
      <c r="J7533" s="3" t="s">
        <v>7753</v>
      </c>
      <c r="K7533" s="3" t="s">
        <v>223</v>
      </c>
    </row>
    <row r="7534" ht="15.6" spans="4:11">
      <c r="D7534" s="4">
        <v>6624</v>
      </c>
      <c r="E7534" s="4" t="s">
        <v>223</v>
      </c>
      <c r="J7534" s="3" t="s">
        <v>7754</v>
      </c>
      <c r="K7534" s="3" t="s">
        <v>223</v>
      </c>
    </row>
    <row r="7535" ht="15.6" spans="4:11">
      <c r="D7535" s="4">
        <v>6625</v>
      </c>
      <c r="E7535" s="4" t="s">
        <v>223</v>
      </c>
      <c r="J7535" s="3" t="s">
        <v>7755</v>
      </c>
      <c r="K7535" s="3" t="s">
        <v>223</v>
      </c>
    </row>
    <row r="7536" ht="15.6" spans="4:11">
      <c r="D7536" s="4">
        <v>6626</v>
      </c>
      <c r="E7536" s="4" t="s">
        <v>223</v>
      </c>
      <c r="J7536" s="3" t="s">
        <v>7756</v>
      </c>
      <c r="K7536" s="3" t="s">
        <v>223</v>
      </c>
    </row>
    <row r="7537" ht="15.6" spans="4:11">
      <c r="D7537" s="4">
        <v>6627</v>
      </c>
      <c r="E7537" s="4" t="s">
        <v>223</v>
      </c>
      <c r="J7537" s="3" t="s">
        <v>7757</v>
      </c>
      <c r="K7537" s="3" t="s">
        <v>223</v>
      </c>
    </row>
    <row r="7538" ht="15.6" spans="4:11">
      <c r="D7538" s="4">
        <v>6628</v>
      </c>
      <c r="E7538" s="4" t="s">
        <v>223</v>
      </c>
      <c r="J7538" s="3" t="s">
        <v>7758</v>
      </c>
      <c r="K7538" s="3" t="s">
        <v>223</v>
      </c>
    </row>
    <row r="7539" ht="15.6" spans="4:11">
      <c r="D7539" s="4">
        <v>6629</v>
      </c>
      <c r="E7539" s="4" t="s">
        <v>223</v>
      </c>
      <c r="J7539" s="3" t="s">
        <v>7759</v>
      </c>
      <c r="K7539" s="3" t="s">
        <v>223</v>
      </c>
    </row>
    <row r="7540" ht="15.6" spans="4:11">
      <c r="D7540" s="4">
        <v>6630</v>
      </c>
      <c r="E7540" s="4" t="s">
        <v>223</v>
      </c>
      <c r="J7540" s="3" t="s">
        <v>7760</v>
      </c>
      <c r="K7540" s="3" t="s">
        <v>223</v>
      </c>
    </row>
    <row r="7541" ht="15.6" spans="4:11">
      <c r="D7541" s="4">
        <v>6631</v>
      </c>
      <c r="E7541" s="4" t="s">
        <v>223</v>
      </c>
      <c r="J7541" s="3" t="s">
        <v>7761</v>
      </c>
      <c r="K7541" s="3" t="s">
        <v>223</v>
      </c>
    </row>
    <row r="7542" ht="15.6" spans="4:11">
      <c r="D7542" s="4">
        <v>6632</v>
      </c>
      <c r="E7542" s="4" t="s">
        <v>223</v>
      </c>
      <c r="J7542" s="3" t="s">
        <v>7762</v>
      </c>
      <c r="K7542" s="3" t="s">
        <v>223</v>
      </c>
    </row>
    <row r="7543" ht="15.6" spans="4:11">
      <c r="D7543" s="4">
        <v>6633</v>
      </c>
      <c r="E7543" s="4" t="s">
        <v>223</v>
      </c>
      <c r="J7543" s="3" t="s">
        <v>7763</v>
      </c>
      <c r="K7543" s="3" t="s">
        <v>223</v>
      </c>
    </row>
    <row r="7544" ht="15.6" spans="4:11">
      <c r="D7544" s="4">
        <v>6634</v>
      </c>
      <c r="E7544" s="4" t="s">
        <v>223</v>
      </c>
      <c r="J7544" s="3" t="s">
        <v>7764</v>
      </c>
      <c r="K7544" s="3" t="s">
        <v>223</v>
      </c>
    </row>
    <row r="7545" ht="15.6" spans="4:11">
      <c r="D7545" s="4">
        <v>6635</v>
      </c>
      <c r="E7545" s="4" t="s">
        <v>223</v>
      </c>
      <c r="J7545" s="3" t="s">
        <v>7765</v>
      </c>
      <c r="K7545" s="3" t="s">
        <v>223</v>
      </c>
    </row>
    <row r="7546" ht="15.6" spans="4:11">
      <c r="D7546" s="4">
        <v>6636</v>
      </c>
      <c r="E7546" s="4" t="s">
        <v>223</v>
      </c>
      <c r="J7546" s="3" t="s">
        <v>7766</v>
      </c>
      <c r="K7546" s="3" t="s">
        <v>223</v>
      </c>
    </row>
    <row r="7547" ht="15.6" spans="4:11">
      <c r="D7547" s="4">
        <v>6637</v>
      </c>
      <c r="E7547" s="4" t="s">
        <v>223</v>
      </c>
      <c r="J7547" s="3" t="s">
        <v>7767</v>
      </c>
      <c r="K7547" s="3" t="s">
        <v>223</v>
      </c>
    </row>
    <row r="7548" ht="15.6" spans="4:11">
      <c r="D7548" s="4">
        <v>6638</v>
      </c>
      <c r="E7548" s="4" t="s">
        <v>223</v>
      </c>
      <c r="J7548" s="3" t="s">
        <v>7768</v>
      </c>
      <c r="K7548" s="3" t="s">
        <v>223</v>
      </c>
    </row>
    <row r="7549" ht="15.6" spans="4:11">
      <c r="D7549" s="4">
        <v>6639</v>
      </c>
      <c r="E7549" s="4" t="s">
        <v>223</v>
      </c>
      <c r="J7549" s="3" t="s">
        <v>7769</v>
      </c>
      <c r="K7549" s="3" t="s">
        <v>223</v>
      </c>
    </row>
    <row r="7550" ht="15.6" spans="4:11">
      <c r="D7550" s="4">
        <v>6640</v>
      </c>
      <c r="E7550" s="4" t="s">
        <v>223</v>
      </c>
      <c r="J7550" s="3" t="s">
        <v>7770</v>
      </c>
      <c r="K7550" s="3" t="s">
        <v>223</v>
      </c>
    </row>
    <row r="7551" ht="15.6" spans="4:11">
      <c r="D7551" s="4">
        <v>6641</v>
      </c>
      <c r="E7551" s="4" t="s">
        <v>223</v>
      </c>
      <c r="J7551" s="3" t="s">
        <v>7771</v>
      </c>
      <c r="K7551" s="3" t="s">
        <v>223</v>
      </c>
    </row>
    <row r="7552" ht="15.6" spans="4:11">
      <c r="D7552" s="4">
        <v>6642</v>
      </c>
      <c r="E7552" s="4" t="s">
        <v>223</v>
      </c>
      <c r="J7552" s="3" t="s">
        <v>7772</v>
      </c>
      <c r="K7552" s="3" t="s">
        <v>223</v>
      </c>
    </row>
    <row r="7553" ht="15.6" spans="4:11">
      <c r="D7553" s="4">
        <v>6643</v>
      </c>
      <c r="E7553" s="4" t="s">
        <v>223</v>
      </c>
      <c r="J7553" s="3" t="s">
        <v>7773</v>
      </c>
      <c r="K7553" s="3" t="s">
        <v>223</v>
      </c>
    </row>
    <row r="7554" ht="15.6" spans="4:11">
      <c r="D7554" s="4">
        <v>6644</v>
      </c>
      <c r="E7554" s="4" t="s">
        <v>223</v>
      </c>
      <c r="J7554" s="3" t="s">
        <v>7774</v>
      </c>
      <c r="K7554" s="3" t="s">
        <v>223</v>
      </c>
    </row>
    <row r="7555" ht="15.6" spans="4:11">
      <c r="D7555" s="4">
        <v>6645</v>
      </c>
      <c r="E7555" s="4" t="s">
        <v>223</v>
      </c>
      <c r="J7555" s="3" t="s">
        <v>7775</v>
      </c>
      <c r="K7555" s="3" t="s">
        <v>223</v>
      </c>
    </row>
    <row r="7556" ht="15.6" spans="4:11">
      <c r="D7556" s="4">
        <v>6646</v>
      </c>
      <c r="E7556" s="4" t="s">
        <v>223</v>
      </c>
      <c r="J7556" s="3" t="s">
        <v>7776</v>
      </c>
      <c r="K7556" s="3" t="s">
        <v>223</v>
      </c>
    </row>
    <row r="7557" ht="15.6" spans="4:11">
      <c r="D7557" s="4">
        <v>6647</v>
      </c>
      <c r="E7557" s="4" t="s">
        <v>223</v>
      </c>
      <c r="J7557" s="3" t="s">
        <v>7777</v>
      </c>
      <c r="K7557" s="3" t="s">
        <v>223</v>
      </c>
    </row>
    <row r="7558" ht="15.6" spans="4:11">
      <c r="D7558" s="4">
        <v>6648</v>
      </c>
      <c r="E7558" s="4" t="s">
        <v>223</v>
      </c>
      <c r="J7558" s="3" t="s">
        <v>7778</v>
      </c>
      <c r="K7558" s="3" t="s">
        <v>223</v>
      </c>
    </row>
    <row r="7559" ht="15.6" spans="4:11">
      <c r="D7559" s="4">
        <v>6649</v>
      </c>
      <c r="E7559" s="4" t="s">
        <v>223</v>
      </c>
      <c r="J7559" s="3" t="s">
        <v>7779</v>
      </c>
      <c r="K7559" s="3" t="s">
        <v>223</v>
      </c>
    </row>
    <row r="7560" ht="15.6" spans="4:11">
      <c r="D7560" s="4">
        <v>6650</v>
      </c>
      <c r="E7560" s="4" t="s">
        <v>223</v>
      </c>
      <c r="J7560" s="3" t="s">
        <v>7780</v>
      </c>
      <c r="K7560" s="3" t="s">
        <v>223</v>
      </c>
    </row>
    <row r="7561" ht="15.6" spans="4:11">
      <c r="D7561" s="4">
        <v>6651</v>
      </c>
      <c r="E7561" s="4" t="s">
        <v>223</v>
      </c>
      <c r="J7561" s="3" t="s">
        <v>7781</v>
      </c>
      <c r="K7561" s="3" t="s">
        <v>223</v>
      </c>
    </row>
    <row r="7562" ht="15.6" spans="4:11">
      <c r="D7562" s="4">
        <v>6652</v>
      </c>
      <c r="E7562" s="4" t="s">
        <v>223</v>
      </c>
      <c r="J7562" s="3" t="s">
        <v>7782</v>
      </c>
      <c r="K7562" s="3" t="s">
        <v>223</v>
      </c>
    </row>
    <row r="7563" ht="15.6" spans="4:11">
      <c r="D7563" s="4">
        <v>6653</v>
      </c>
      <c r="E7563" s="4" t="s">
        <v>223</v>
      </c>
      <c r="J7563" s="3" t="s">
        <v>7783</v>
      </c>
      <c r="K7563" s="3" t="s">
        <v>223</v>
      </c>
    </row>
    <row r="7564" ht="15.6" spans="4:11">
      <c r="D7564" s="4">
        <v>6654</v>
      </c>
      <c r="E7564" s="4" t="s">
        <v>223</v>
      </c>
      <c r="J7564" s="3" t="s">
        <v>7784</v>
      </c>
      <c r="K7564" s="3" t="s">
        <v>223</v>
      </c>
    </row>
    <row r="7565" ht="15.6" spans="4:11">
      <c r="D7565" s="4">
        <v>6655</v>
      </c>
      <c r="E7565" s="4" t="s">
        <v>223</v>
      </c>
      <c r="J7565" s="3" t="s">
        <v>7785</v>
      </c>
      <c r="K7565" s="3" t="s">
        <v>223</v>
      </c>
    </row>
    <row r="7566" ht="15.6" spans="4:11">
      <c r="D7566" s="4">
        <v>6656</v>
      </c>
      <c r="E7566" s="4" t="s">
        <v>223</v>
      </c>
      <c r="J7566" s="3" t="s">
        <v>7786</v>
      </c>
      <c r="K7566" s="3" t="s">
        <v>223</v>
      </c>
    </row>
    <row r="7567" ht="15.6" spans="4:11">
      <c r="D7567" s="4">
        <v>6657</v>
      </c>
      <c r="E7567" s="4" t="s">
        <v>223</v>
      </c>
      <c r="J7567" s="3" t="s">
        <v>7787</v>
      </c>
      <c r="K7567" s="3" t="s">
        <v>223</v>
      </c>
    </row>
    <row r="7568" ht="15.6" spans="4:11">
      <c r="D7568" s="4">
        <v>6658</v>
      </c>
      <c r="E7568" s="4" t="s">
        <v>223</v>
      </c>
      <c r="J7568" s="3" t="s">
        <v>7788</v>
      </c>
      <c r="K7568" s="3" t="s">
        <v>223</v>
      </c>
    </row>
    <row r="7569" ht="15.6" spans="4:11">
      <c r="D7569" s="4">
        <v>6659</v>
      </c>
      <c r="E7569" s="4" t="s">
        <v>223</v>
      </c>
      <c r="J7569" s="3" t="s">
        <v>7789</v>
      </c>
      <c r="K7569" s="3" t="s">
        <v>223</v>
      </c>
    </row>
    <row r="7570" ht="15.6" spans="4:11">
      <c r="D7570" s="4">
        <v>6660</v>
      </c>
      <c r="E7570" s="4" t="s">
        <v>223</v>
      </c>
      <c r="J7570" s="3" t="s">
        <v>7790</v>
      </c>
      <c r="K7570" s="3" t="s">
        <v>223</v>
      </c>
    </row>
    <row r="7571" ht="15.6" spans="4:11">
      <c r="D7571" s="4">
        <v>6661</v>
      </c>
      <c r="E7571" s="4" t="s">
        <v>223</v>
      </c>
      <c r="J7571" s="3" t="s">
        <v>7791</v>
      </c>
      <c r="K7571" s="3" t="s">
        <v>223</v>
      </c>
    </row>
    <row r="7572" ht="15.6" spans="4:11">
      <c r="D7572" s="4">
        <v>6662</v>
      </c>
      <c r="E7572" s="4" t="s">
        <v>223</v>
      </c>
      <c r="J7572" s="3" t="s">
        <v>7792</v>
      </c>
      <c r="K7572" s="3" t="s">
        <v>223</v>
      </c>
    </row>
    <row r="7573" ht="15.6" spans="4:11">
      <c r="D7573" s="4">
        <v>6663</v>
      </c>
      <c r="E7573" s="4" t="s">
        <v>223</v>
      </c>
      <c r="J7573" s="3" t="s">
        <v>7793</v>
      </c>
      <c r="K7573" s="3" t="s">
        <v>223</v>
      </c>
    </row>
    <row r="7574" ht="15.6" spans="4:11">
      <c r="D7574" s="4">
        <v>6664</v>
      </c>
      <c r="E7574" s="4" t="s">
        <v>223</v>
      </c>
      <c r="J7574" s="3" t="s">
        <v>7794</v>
      </c>
      <c r="K7574" s="3" t="s">
        <v>223</v>
      </c>
    </row>
    <row r="7575" ht="15.6" spans="4:11">
      <c r="D7575" s="4">
        <v>6665</v>
      </c>
      <c r="E7575" s="4" t="s">
        <v>223</v>
      </c>
      <c r="J7575" s="3" t="s">
        <v>7795</v>
      </c>
      <c r="K7575" s="3" t="s">
        <v>223</v>
      </c>
    </row>
    <row r="7576" ht="15.6" spans="4:11">
      <c r="D7576" s="4">
        <v>6666</v>
      </c>
      <c r="E7576" s="4" t="s">
        <v>223</v>
      </c>
      <c r="J7576" s="3" t="s">
        <v>7796</v>
      </c>
      <c r="K7576" s="3" t="s">
        <v>223</v>
      </c>
    </row>
    <row r="7577" ht="15.6" spans="4:11">
      <c r="D7577" s="4">
        <v>6667</v>
      </c>
      <c r="E7577" s="4" t="s">
        <v>223</v>
      </c>
      <c r="J7577" s="3" t="s">
        <v>7797</v>
      </c>
      <c r="K7577" s="3" t="s">
        <v>223</v>
      </c>
    </row>
    <row r="7578" ht="15.6" spans="4:11">
      <c r="D7578" s="4">
        <v>6668</v>
      </c>
      <c r="E7578" s="4" t="s">
        <v>223</v>
      </c>
      <c r="J7578" s="3" t="s">
        <v>7798</v>
      </c>
      <c r="K7578" s="3" t="s">
        <v>223</v>
      </c>
    </row>
    <row r="7579" ht="15.6" spans="4:11">
      <c r="D7579" s="4">
        <v>6669</v>
      </c>
      <c r="E7579" s="4" t="s">
        <v>223</v>
      </c>
      <c r="J7579" s="3" t="s">
        <v>7799</v>
      </c>
      <c r="K7579" s="3" t="s">
        <v>223</v>
      </c>
    </row>
    <row r="7580" ht="15.6" spans="4:11">
      <c r="D7580" s="4">
        <v>6670</v>
      </c>
      <c r="E7580" s="4" t="s">
        <v>223</v>
      </c>
      <c r="J7580" s="3" t="s">
        <v>7800</v>
      </c>
      <c r="K7580" s="3" t="s">
        <v>223</v>
      </c>
    </row>
    <row r="7581" ht="15.6" spans="4:11">
      <c r="D7581" s="4">
        <v>6671</v>
      </c>
      <c r="E7581" s="4" t="s">
        <v>223</v>
      </c>
      <c r="J7581" s="3" t="s">
        <v>7801</v>
      </c>
      <c r="K7581" s="3" t="s">
        <v>223</v>
      </c>
    </row>
    <row r="7582" ht="15.6" spans="4:11">
      <c r="D7582" s="4">
        <v>6672</v>
      </c>
      <c r="E7582" s="4" t="s">
        <v>223</v>
      </c>
      <c r="J7582" s="3" t="s">
        <v>7802</v>
      </c>
      <c r="K7582" s="3" t="s">
        <v>223</v>
      </c>
    </row>
    <row r="7583" ht="15.6" spans="4:11">
      <c r="D7583" s="4">
        <v>6673</v>
      </c>
      <c r="E7583" s="4" t="s">
        <v>223</v>
      </c>
      <c r="J7583" s="3" t="s">
        <v>7803</v>
      </c>
      <c r="K7583" s="3" t="s">
        <v>223</v>
      </c>
    </row>
    <row r="7584" ht="15.6" spans="4:11">
      <c r="D7584" s="4">
        <v>6674</v>
      </c>
      <c r="E7584" s="4" t="s">
        <v>223</v>
      </c>
      <c r="J7584" s="3" t="s">
        <v>7804</v>
      </c>
      <c r="K7584" s="3" t="s">
        <v>223</v>
      </c>
    </row>
    <row r="7585" ht="15.6" spans="4:11">
      <c r="D7585" s="4">
        <v>6675</v>
      </c>
      <c r="E7585" s="4" t="s">
        <v>223</v>
      </c>
      <c r="J7585" s="3" t="s">
        <v>7805</v>
      </c>
      <c r="K7585" s="3" t="s">
        <v>223</v>
      </c>
    </row>
    <row r="7586" ht="15.6" spans="4:11">
      <c r="D7586" s="4">
        <v>6676</v>
      </c>
      <c r="E7586" s="4" t="s">
        <v>223</v>
      </c>
      <c r="J7586" s="3" t="s">
        <v>7806</v>
      </c>
      <c r="K7586" s="3" t="s">
        <v>223</v>
      </c>
    </row>
    <row r="7587" ht="15.6" spans="4:11">
      <c r="D7587" s="4">
        <v>6677</v>
      </c>
      <c r="E7587" s="4" t="s">
        <v>223</v>
      </c>
      <c r="J7587" s="3" t="s">
        <v>7807</v>
      </c>
      <c r="K7587" s="3" t="s">
        <v>223</v>
      </c>
    </row>
    <row r="7588" ht="15.6" spans="4:11">
      <c r="D7588" s="4">
        <v>6678</v>
      </c>
      <c r="E7588" s="4" t="s">
        <v>223</v>
      </c>
      <c r="J7588" s="3" t="s">
        <v>7808</v>
      </c>
      <c r="K7588" s="3" t="s">
        <v>223</v>
      </c>
    </row>
    <row r="7589" ht="15.6" spans="4:11">
      <c r="D7589" s="4">
        <v>6679</v>
      </c>
      <c r="E7589" s="4" t="s">
        <v>223</v>
      </c>
      <c r="J7589" s="3" t="s">
        <v>7809</v>
      </c>
      <c r="K7589" s="3" t="s">
        <v>223</v>
      </c>
    </row>
    <row r="7590" ht="15.6" spans="4:11">
      <c r="D7590" s="4">
        <v>6680</v>
      </c>
      <c r="E7590" s="4" t="s">
        <v>223</v>
      </c>
      <c r="J7590" s="3" t="s">
        <v>7810</v>
      </c>
      <c r="K7590" s="3" t="s">
        <v>223</v>
      </c>
    </row>
    <row r="7591" ht="15.6" spans="4:11">
      <c r="D7591" s="4">
        <v>6681</v>
      </c>
      <c r="E7591" s="4" t="s">
        <v>223</v>
      </c>
      <c r="J7591" s="3" t="s">
        <v>7811</v>
      </c>
      <c r="K7591" s="3" t="s">
        <v>223</v>
      </c>
    </row>
    <row r="7592" ht="15.6" spans="4:11">
      <c r="D7592" s="4">
        <v>6682</v>
      </c>
      <c r="E7592" s="4" t="s">
        <v>223</v>
      </c>
      <c r="J7592" s="3" t="s">
        <v>7812</v>
      </c>
      <c r="K7592" s="3" t="s">
        <v>223</v>
      </c>
    </row>
    <row r="7593" ht="15.6" spans="4:11">
      <c r="D7593" s="4">
        <v>6683</v>
      </c>
      <c r="E7593" s="4" t="s">
        <v>223</v>
      </c>
      <c r="J7593" s="3" t="s">
        <v>7813</v>
      </c>
      <c r="K7593" s="3" t="s">
        <v>223</v>
      </c>
    </row>
    <row r="7594" ht="15.6" spans="4:11">
      <c r="D7594" s="4">
        <v>6684</v>
      </c>
      <c r="E7594" s="4" t="s">
        <v>223</v>
      </c>
      <c r="J7594" s="3" t="s">
        <v>7814</v>
      </c>
      <c r="K7594" s="3" t="s">
        <v>223</v>
      </c>
    </row>
    <row r="7595" ht="15.6" spans="4:11">
      <c r="D7595" s="4">
        <v>6685</v>
      </c>
      <c r="E7595" s="4" t="s">
        <v>223</v>
      </c>
      <c r="J7595" s="3" t="s">
        <v>7815</v>
      </c>
      <c r="K7595" s="3" t="s">
        <v>223</v>
      </c>
    </row>
    <row r="7596" ht="15.6" spans="4:11">
      <c r="D7596" s="4">
        <v>6686</v>
      </c>
      <c r="E7596" s="4" t="s">
        <v>223</v>
      </c>
      <c r="J7596" s="3" t="s">
        <v>7816</v>
      </c>
      <c r="K7596" s="3" t="s">
        <v>223</v>
      </c>
    </row>
    <row r="7597" ht="15.6" spans="4:11">
      <c r="D7597" s="4">
        <v>6687</v>
      </c>
      <c r="E7597" s="4" t="s">
        <v>223</v>
      </c>
      <c r="J7597" s="3" t="s">
        <v>7817</v>
      </c>
      <c r="K7597" s="3" t="s">
        <v>223</v>
      </c>
    </row>
    <row r="7598" ht="15.6" spans="4:11">
      <c r="D7598" s="4">
        <v>6688</v>
      </c>
      <c r="E7598" s="4" t="s">
        <v>223</v>
      </c>
      <c r="J7598" s="3" t="s">
        <v>7818</v>
      </c>
      <c r="K7598" s="3" t="s">
        <v>223</v>
      </c>
    </row>
    <row r="7599" ht="15.6" spans="4:11">
      <c r="D7599" s="4">
        <v>6689</v>
      </c>
      <c r="E7599" s="4" t="s">
        <v>223</v>
      </c>
      <c r="J7599" s="3" t="s">
        <v>7819</v>
      </c>
      <c r="K7599" s="3" t="s">
        <v>223</v>
      </c>
    </row>
    <row r="7600" ht="15.6" spans="4:11">
      <c r="D7600" s="4">
        <v>6690</v>
      </c>
      <c r="E7600" s="4" t="s">
        <v>223</v>
      </c>
      <c r="J7600" s="3" t="s">
        <v>7820</v>
      </c>
      <c r="K7600" s="3" t="s">
        <v>223</v>
      </c>
    </row>
    <row r="7601" ht="15.6" spans="4:11">
      <c r="D7601" s="4">
        <v>6691</v>
      </c>
      <c r="E7601" s="4" t="s">
        <v>223</v>
      </c>
      <c r="J7601" s="3" t="s">
        <v>7821</v>
      </c>
      <c r="K7601" s="3" t="s">
        <v>223</v>
      </c>
    </row>
    <row r="7602" ht="15.6" spans="4:11">
      <c r="D7602" s="4">
        <v>6692</v>
      </c>
      <c r="E7602" s="4" t="s">
        <v>223</v>
      </c>
      <c r="J7602" s="3" t="s">
        <v>7822</v>
      </c>
      <c r="K7602" s="3" t="s">
        <v>223</v>
      </c>
    </row>
    <row r="7603" ht="15.6" spans="4:11">
      <c r="D7603" s="4">
        <v>6693</v>
      </c>
      <c r="E7603" s="4" t="s">
        <v>223</v>
      </c>
      <c r="J7603" s="3" t="s">
        <v>7823</v>
      </c>
      <c r="K7603" s="3" t="s">
        <v>223</v>
      </c>
    </row>
    <row r="7604" ht="15.6" spans="4:11">
      <c r="D7604" s="4">
        <v>6694</v>
      </c>
      <c r="E7604" s="4" t="s">
        <v>223</v>
      </c>
      <c r="J7604" s="3" t="s">
        <v>7824</v>
      </c>
      <c r="K7604" s="3" t="s">
        <v>223</v>
      </c>
    </row>
    <row r="7605" ht="15.6" spans="4:11">
      <c r="D7605" s="4">
        <v>6695</v>
      </c>
      <c r="E7605" s="4" t="s">
        <v>223</v>
      </c>
      <c r="J7605" s="3" t="s">
        <v>7825</v>
      </c>
      <c r="K7605" s="3" t="s">
        <v>223</v>
      </c>
    </row>
    <row r="7606" ht="15.6" spans="4:11">
      <c r="D7606" s="4">
        <v>6696</v>
      </c>
      <c r="E7606" s="4" t="s">
        <v>223</v>
      </c>
      <c r="J7606" s="3" t="s">
        <v>7826</v>
      </c>
      <c r="K7606" s="3" t="s">
        <v>223</v>
      </c>
    </row>
    <row r="7607" ht="15.6" spans="4:11">
      <c r="D7607" s="4">
        <v>6697</v>
      </c>
      <c r="E7607" s="4" t="s">
        <v>223</v>
      </c>
      <c r="J7607" s="3" t="s">
        <v>7827</v>
      </c>
      <c r="K7607" s="3" t="s">
        <v>223</v>
      </c>
    </row>
    <row r="7608" ht="15.6" spans="4:11">
      <c r="D7608" s="4">
        <v>6698</v>
      </c>
      <c r="E7608" s="4" t="s">
        <v>223</v>
      </c>
      <c r="J7608" s="3" t="s">
        <v>7828</v>
      </c>
      <c r="K7608" s="3" t="s">
        <v>223</v>
      </c>
    </row>
    <row r="7609" ht="15.6" spans="4:11">
      <c r="D7609" s="4">
        <v>6699</v>
      </c>
      <c r="E7609" s="4" t="s">
        <v>223</v>
      </c>
      <c r="J7609" s="3" t="s">
        <v>7829</v>
      </c>
      <c r="K7609" s="3" t="s">
        <v>223</v>
      </c>
    </row>
    <row r="7610" ht="15.6" spans="4:11">
      <c r="D7610" s="4">
        <v>6700</v>
      </c>
      <c r="E7610" s="4" t="s">
        <v>223</v>
      </c>
      <c r="J7610" s="3" t="s">
        <v>7830</v>
      </c>
      <c r="K7610" s="3" t="s">
        <v>223</v>
      </c>
    </row>
    <row r="7611" ht="15.6" spans="4:11">
      <c r="D7611" s="4">
        <v>6701</v>
      </c>
      <c r="E7611" s="4" t="s">
        <v>223</v>
      </c>
      <c r="J7611" s="3" t="s">
        <v>7831</v>
      </c>
      <c r="K7611" s="3" t="s">
        <v>223</v>
      </c>
    </row>
    <row r="7612" ht="15.6" spans="4:11">
      <c r="D7612" s="4">
        <v>6702</v>
      </c>
      <c r="E7612" s="4" t="s">
        <v>223</v>
      </c>
      <c r="J7612" s="3" t="s">
        <v>7832</v>
      </c>
      <c r="K7612" s="3" t="s">
        <v>223</v>
      </c>
    </row>
    <row r="7613" ht="15.6" spans="4:11">
      <c r="D7613" s="4">
        <v>6703</v>
      </c>
      <c r="E7613" s="4" t="s">
        <v>223</v>
      </c>
      <c r="J7613" s="3" t="s">
        <v>7833</v>
      </c>
      <c r="K7613" s="3" t="s">
        <v>223</v>
      </c>
    </row>
    <row r="7614" ht="15.6" spans="4:11">
      <c r="D7614" s="4">
        <v>6704</v>
      </c>
      <c r="E7614" s="4" t="s">
        <v>223</v>
      </c>
      <c r="J7614" s="3" t="s">
        <v>7834</v>
      </c>
      <c r="K7614" s="3" t="s">
        <v>223</v>
      </c>
    </row>
    <row r="7615" ht="15.6" spans="4:11">
      <c r="D7615" s="4">
        <v>6705</v>
      </c>
      <c r="E7615" s="4" t="s">
        <v>223</v>
      </c>
      <c r="J7615" s="3" t="s">
        <v>7835</v>
      </c>
      <c r="K7615" s="3" t="s">
        <v>223</v>
      </c>
    </row>
    <row r="7616" ht="15.6" spans="4:11">
      <c r="D7616" s="4">
        <v>6706</v>
      </c>
      <c r="E7616" s="4" t="s">
        <v>223</v>
      </c>
      <c r="J7616" s="3" t="s">
        <v>7836</v>
      </c>
      <c r="K7616" s="3" t="s">
        <v>223</v>
      </c>
    </row>
    <row r="7617" ht="15.6" spans="4:11">
      <c r="D7617" s="4">
        <v>6707</v>
      </c>
      <c r="E7617" s="4" t="s">
        <v>223</v>
      </c>
      <c r="J7617" s="3" t="s">
        <v>7837</v>
      </c>
      <c r="K7617" s="3" t="s">
        <v>223</v>
      </c>
    </row>
    <row r="7618" ht="15.6" spans="4:11">
      <c r="D7618" s="4">
        <v>6708</v>
      </c>
      <c r="E7618" s="4" t="s">
        <v>223</v>
      </c>
      <c r="J7618" s="3" t="s">
        <v>7838</v>
      </c>
      <c r="K7618" s="3" t="s">
        <v>223</v>
      </c>
    </row>
    <row r="7619" ht="15.6" spans="4:11">
      <c r="D7619" s="4">
        <v>6709</v>
      </c>
      <c r="E7619" s="4" t="s">
        <v>223</v>
      </c>
      <c r="J7619" s="3" t="s">
        <v>7839</v>
      </c>
      <c r="K7619" s="3" t="s">
        <v>223</v>
      </c>
    </row>
    <row r="7620" ht="15.6" spans="4:11">
      <c r="D7620" s="4">
        <v>6710</v>
      </c>
      <c r="E7620" s="4" t="s">
        <v>223</v>
      </c>
      <c r="J7620" s="3" t="s">
        <v>7840</v>
      </c>
      <c r="K7620" s="3" t="s">
        <v>223</v>
      </c>
    </row>
    <row r="7621" ht="15.6" spans="4:11">
      <c r="D7621" s="4">
        <v>6711</v>
      </c>
      <c r="E7621" s="4" t="s">
        <v>223</v>
      </c>
      <c r="J7621" s="3" t="s">
        <v>7841</v>
      </c>
      <c r="K7621" s="3" t="s">
        <v>223</v>
      </c>
    </row>
    <row r="7622" ht="15.6" spans="4:11">
      <c r="D7622" s="4">
        <v>6712</v>
      </c>
      <c r="E7622" s="4" t="s">
        <v>223</v>
      </c>
      <c r="J7622" s="3" t="s">
        <v>7842</v>
      </c>
      <c r="K7622" s="3" t="s">
        <v>223</v>
      </c>
    </row>
    <row r="7623" ht="15.6" spans="4:11">
      <c r="D7623" s="4">
        <v>6713</v>
      </c>
      <c r="E7623" s="4" t="s">
        <v>223</v>
      </c>
      <c r="J7623" s="3" t="s">
        <v>7843</v>
      </c>
      <c r="K7623" s="3" t="s">
        <v>223</v>
      </c>
    </row>
    <row r="7624" ht="15.6" spans="4:11">
      <c r="D7624" s="4">
        <v>6714</v>
      </c>
      <c r="E7624" s="4" t="s">
        <v>223</v>
      </c>
      <c r="J7624" s="3" t="s">
        <v>7844</v>
      </c>
      <c r="K7624" s="3" t="s">
        <v>223</v>
      </c>
    </row>
    <row r="7625" ht="15.6" spans="4:11">
      <c r="D7625" s="4">
        <v>6715</v>
      </c>
      <c r="E7625" s="4" t="s">
        <v>223</v>
      </c>
      <c r="J7625" s="3" t="s">
        <v>7845</v>
      </c>
      <c r="K7625" s="3" t="s">
        <v>223</v>
      </c>
    </row>
    <row r="7626" ht="15.6" spans="4:11">
      <c r="D7626" s="4">
        <v>6716</v>
      </c>
      <c r="E7626" s="4" t="s">
        <v>223</v>
      </c>
      <c r="J7626" s="3" t="s">
        <v>7846</v>
      </c>
      <c r="K7626" s="3" t="s">
        <v>223</v>
      </c>
    </row>
    <row r="7627" ht="15.6" spans="4:11">
      <c r="D7627" s="4">
        <v>6717</v>
      </c>
      <c r="E7627" s="4" t="s">
        <v>223</v>
      </c>
      <c r="J7627" s="3" t="s">
        <v>7847</v>
      </c>
      <c r="K7627" s="3" t="s">
        <v>223</v>
      </c>
    </row>
    <row r="7628" ht="15.6" spans="4:11">
      <c r="D7628" s="4">
        <v>6718</v>
      </c>
      <c r="E7628" s="4" t="s">
        <v>223</v>
      </c>
      <c r="J7628" s="3" t="s">
        <v>7848</v>
      </c>
      <c r="K7628" s="3" t="s">
        <v>223</v>
      </c>
    </row>
    <row r="7629" ht="15.6" spans="4:11">
      <c r="D7629" s="4">
        <v>6719</v>
      </c>
      <c r="E7629" s="4" t="s">
        <v>223</v>
      </c>
      <c r="J7629" s="3" t="s">
        <v>7849</v>
      </c>
      <c r="K7629" s="3" t="s">
        <v>223</v>
      </c>
    </row>
    <row r="7630" ht="15.6" spans="4:11">
      <c r="D7630" s="4">
        <v>6720</v>
      </c>
      <c r="E7630" s="4" t="s">
        <v>223</v>
      </c>
      <c r="J7630" s="3" t="s">
        <v>7850</v>
      </c>
      <c r="K7630" s="3" t="s">
        <v>223</v>
      </c>
    </row>
    <row r="7631" ht="15.6" spans="4:11">
      <c r="D7631" s="4">
        <v>6721</v>
      </c>
      <c r="E7631" s="4" t="s">
        <v>223</v>
      </c>
      <c r="J7631" s="3" t="s">
        <v>7851</v>
      </c>
      <c r="K7631" s="3" t="s">
        <v>223</v>
      </c>
    </row>
    <row r="7632" ht="15.6" spans="4:11">
      <c r="D7632" s="4">
        <v>6722</v>
      </c>
      <c r="E7632" s="4" t="s">
        <v>223</v>
      </c>
      <c r="J7632" s="3" t="s">
        <v>7852</v>
      </c>
      <c r="K7632" s="3" t="s">
        <v>223</v>
      </c>
    </row>
    <row r="7633" ht="15.6" spans="4:11">
      <c r="D7633" s="4">
        <v>6723</v>
      </c>
      <c r="E7633" s="4" t="s">
        <v>223</v>
      </c>
      <c r="J7633" s="3" t="s">
        <v>7853</v>
      </c>
      <c r="K7633" s="3" t="s">
        <v>223</v>
      </c>
    </row>
    <row r="7634" ht="15.6" spans="4:11">
      <c r="D7634" s="4">
        <v>6724</v>
      </c>
      <c r="E7634" s="4" t="s">
        <v>223</v>
      </c>
      <c r="J7634" s="3" t="s">
        <v>7854</v>
      </c>
      <c r="K7634" s="3" t="s">
        <v>223</v>
      </c>
    </row>
    <row r="7635" ht="15.6" spans="4:11">
      <c r="D7635" s="4">
        <v>6725</v>
      </c>
      <c r="E7635" s="4" t="s">
        <v>223</v>
      </c>
      <c r="J7635" s="3" t="s">
        <v>7855</v>
      </c>
      <c r="K7635" s="3" t="s">
        <v>223</v>
      </c>
    </row>
    <row r="7636" ht="15.6" spans="4:11">
      <c r="D7636" s="4">
        <v>6726</v>
      </c>
      <c r="E7636" s="4" t="s">
        <v>223</v>
      </c>
      <c r="J7636" s="3" t="s">
        <v>7856</v>
      </c>
      <c r="K7636" s="3" t="s">
        <v>223</v>
      </c>
    </row>
    <row r="7637" ht="15.6" spans="4:11">
      <c r="D7637" s="4">
        <v>6727</v>
      </c>
      <c r="E7637" s="4" t="s">
        <v>223</v>
      </c>
      <c r="J7637" s="3" t="s">
        <v>7857</v>
      </c>
      <c r="K7637" s="3" t="s">
        <v>223</v>
      </c>
    </row>
    <row r="7638" ht="15.6" spans="4:11">
      <c r="D7638" s="4">
        <v>6728</v>
      </c>
      <c r="E7638" s="4" t="s">
        <v>223</v>
      </c>
      <c r="J7638" s="3" t="s">
        <v>7858</v>
      </c>
      <c r="K7638" s="3" t="s">
        <v>223</v>
      </c>
    </row>
    <row r="7639" ht="15.6" spans="4:11">
      <c r="D7639" s="4">
        <v>6729</v>
      </c>
      <c r="E7639" s="4" t="s">
        <v>223</v>
      </c>
      <c r="J7639" s="3" t="s">
        <v>7859</v>
      </c>
      <c r="K7639" s="3" t="s">
        <v>223</v>
      </c>
    </row>
    <row r="7640" ht="15.6" spans="4:11">
      <c r="D7640" s="4">
        <v>6730</v>
      </c>
      <c r="E7640" s="4" t="s">
        <v>223</v>
      </c>
      <c r="J7640" s="3" t="s">
        <v>7860</v>
      </c>
      <c r="K7640" s="3" t="s">
        <v>223</v>
      </c>
    </row>
    <row r="7641" ht="15.6" spans="4:11">
      <c r="D7641" s="4">
        <v>6731</v>
      </c>
      <c r="E7641" s="4" t="s">
        <v>223</v>
      </c>
      <c r="J7641" s="3" t="s">
        <v>7861</v>
      </c>
      <c r="K7641" s="3" t="s">
        <v>223</v>
      </c>
    </row>
    <row r="7642" ht="15.6" spans="4:11">
      <c r="D7642" s="4">
        <v>6732</v>
      </c>
      <c r="E7642" s="4" t="s">
        <v>223</v>
      </c>
      <c r="J7642" s="3" t="s">
        <v>7862</v>
      </c>
      <c r="K7642" s="3" t="s">
        <v>223</v>
      </c>
    </row>
    <row r="7643" ht="15.6" spans="4:11">
      <c r="D7643" s="4">
        <v>6733</v>
      </c>
      <c r="E7643" s="4" t="s">
        <v>223</v>
      </c>
      <c r="J7643" s="3" t="s">
        <v>7863</v>
      </c>
      <c r="K7643" s="3" t="s">
        <v>223</v>
      </c>
    </row>
    <row r="7644" ht="15.6" spans="4:11">
      <c r="D7644" s="4">
        <v>6734</v>
      </c>
      <c r="E7644" s="4" t="s">
        <v>223</v>
      </c>
      <c r="J7644" s="3" t="s">
        <v>7864</v>
      </c>
      <c r="K7644" s="3" t="s">
        <v>223</v>
      </c>
    </row>
    <row r="7645" ht="15.6" spans="4:11">
      <c r="D7645" s="4">
        <v>6735</v>
      </c>
      <c r="E7645" s="4" t="s">
        <v>223</v>
      </c>
      <c r="J7645" s="3" t="s">
        <v>7865</v>
      </c>
      <c r="K7645" s="3" t="s">
        <v>223</v>
      </c>
    </row>
    <row r="7646" ht="15.6" spans="4:11">
      <c r="D7646" s="4">
        <v>6736</v>
      </c>
      <c r="E7646" s="4" t="s">
        <v>223</v>
      </c>
      <c r="J7646" s="3" t="s">
        <v>7866</v>
      </c>
      <c r="K7646" s="3" t="s">
        <v>223</v>
      </c>
    </row>
    <row r="7647" ht="15.6" spans="4:11">
      <c r="D7647" s="4">
        <v>6737</v>
      </c>
      <c r="E7647" s="4" t="s">
        <v>223</v>
      </c>
      <c r="J7647" s="3" t="s">
        <v>7867</v>
      </c>
      <c r="K7647" s="3" t="s">
        <v>223</v>
      </c>
    </row>
    <row r="7648" ht="15.6" spans="4:11">
      <c r="D7648" s="4">
        <v>6738</v>
      </c>
      <c r="E7648" s="4" t="s">
        <v>223</v>
      </c>
      <c r="J7648" s="3" t="s">
        <v>7868</v>
      </c>
      <c r="K7648" s="3" t="s">
        <v>223</v>
      </c>
    </row>
    <row r="7649" ht="15.6" spans="4:11">
      <c r="D7649" s="4">
        <v>6739</v>
      </c>
      <c r="E7649" s="4" t="s">
        <v>223</v>
      </c>
      <c r="J7649" s="3" t="s">
        <v>7869</v>
      </c>
      <c r="K7649" s="3" t="s">
        <v>223</v>
      </c>
    </row>
    <row r="7650" ht="15.6" spans="4:11">
      <c r="D7650" s="4">
        <v>6740</v>
      </c>
      <c r="E7650" s="4" t="s">
        <v>223</v>
      </c>
      <c r="J7650" s="3" t="s">
        <v>7870</v>
      </c>
      <c r="K7650" s="3" t="s">
        <v>223</v>
      </c>
    </row>
    <row r="7651" ht="15.6" spans="4:11">
      <c r="D7651" s="4">
        <v>6741</v>
      </c>
      <c r="E7651" s="4" t="s">
        <v>223</v>
      </c>
      <c r="J7651" s="3" t="s">
        <v>7871</v>
      </c>
      <c r="K7651" s="3" t="s">
        <v>223</v>
      </c>
    </row>
    <row r="7652" ht="15.6" spans="4:11">
      <c r="D7652" s="4">
        <v>6742</v>
      </c>
      <c r="E7652" s="4" t="s">
        <v>223</v>
      </c>
      <c r="J7652" s="3" t="s">
        <v>7872</v>
      </c>
      <c r="K7652" s="3" t="s">
        <v>223</v>
      </c>
    </row>
    <row r="7653" ht="15.6" spans="4:11">
      <c r="D7653" s="4">
        <v>6743</v>
      </c>
      <c r="E7653" s="4" t="s">
        <v>223</v>
      </c>
      <c r="J7653" s="3" t="s">
        <v>7873</v>
      </c>
      <c r="K7653" s="3" t="s">
        <v>223</v>
      </c>
    </row>
    <row r="7654" ht="15.6" spans="4:11">
      <c r="D7654" s="4">
        <v>6744</v>
      </c>
      <c r="E7654" s="4" t="s">
        <v>223</v>
      </c>
      <c r="J7654" s="3" t="s">
        <v>7874</v>
      </c>
      <c r="K7654" s="3" t="s">
        <v>223</v>
      </c>
    </row>
    <row r="7655" ht="15.6" spans="4:11">
      <c r="D7655" s="4">
        <v>6745</v>
      </c>
      <c r="E7655" s="4" t="s">
        <v>223</v>
      </c>
      <c r="J7655" s="3" t="s">
        <v>7875</v>
      </c>
      <c r="K7655" s="3" t="s">
        <v>223</v>
      </c>
    </row>
    <row r="7656" ht="15.6" spans="4:11">
      <c r="D7656" s="4">
        <v>6746</v>
      </c>
      <c r="E7656" s="4" t="s">
        <v>223</v>
      </c>
      <c r="J7656" s="3" t="s">
        <v>7876</v>
      </c>
      <c r="K7656" s="3" t="s">
        <v>223</v>
      </c>
    </row>
    <row r="7657" ht="15.6" spans="4:11">
      <c r="D7657" s="4">
        <v>6747</v>
      </c>
      <c r="E7657" s="4" t="s">
        <v>223</v>
      </c>
      <c r="J7657" s="3" t="s">
        <v>7877</v>
      </c>
      <c r="K7657" s="3" t="s">
        <v>223</v>
      </c>
    </row>
    <row r="7658" ht="15.6" spans="4:11">
      <c r="D7658" s="4">
        <v>6748</v>
      </c>
      <c r="E7658" s="4" t="s">
        <v>223</v>
      </c>
      <c r="J7658" s="3" t="s">
        <v>7878</v>
      </c>
      <c r="K7658" s="3" t="s">
        <v>223</v>
      </c>
    </row>
    <row r="7659" ht="15.6" spans="4:11">
      <c r="D7659" s="4">
        <v>6749</v>
      </c>
      <c r="E7659" s="4" t="s">
        <v>223</v>
      </c>
      <c r="J7659" s="3" t="s">
        <v>7879</v>
      </c>
      <c r="K7659" s="3" t="s">
        <v>223</v>
      </c>
    </row>
    <row r="7660" ht="15.6" spans="4:11">
      <c r="D7660" s="4">
        <v>6750</v>
      </c>
      <c r="E7660" s="4" t="s">
        <v>223</v>
      </c>
      <c r="J7660" s="3" t="s">
        <v>7880</v>
      </c>
      <c r="K7660" s="3" t="s">
        <v>223</v>
      </c>
    </row>
    <row r="7661" ht="15.6" spans="4:11">
      <c r="D7661" s="4">
        <v>6751</v>
      </c>
      <c r="E7661" s="4" t="s">
        <v>223</v>
      </c>
      <c r="J7661" s="3" t="s">
        <v>7881</v>
      </c>
      <c r="K7661" s="3" t="s">
        <v>223</v>
      </c>
    </row>
    <row r="7662" ht="15.6" spans="4:11">
      <c r="D7662" s="4">
        <v>6752</v>
      </c>
      <c r="E7662" s="4" t="s">
        <v>223</v>
      </c>
      <c r="J7662" s="3" t="s">
        <v>7882</v>
      </c>
      <c r="K7662" s="3" t="s">
        <v>223</v>
      </c>
    </row>
    <row r="7663" ht="15.6" spans="4:11">
      <c r="D7663" s="4">
        <v>6753</v>
      </c>
      <c r="E7663" s="4" t="s">
        <v>223</v>
      </c>
      <c r="J7663" s="3" t="s">
        <v>7883</v>
      </c>
      <c r="K7663" s="3" t="s">
        <v>223</v>
      </c>
    </row>
    <row r="7664" ht="15.6" spans="4:11">
      <c r="D7664" s="4">
        <v>6754</v>
      </c>
      <c r="E7664" s="4" t="s">
        <v>223</v>
      </c>
      <c r="J7664" s="3" t="s">
        <v>7884</v>
      </c>
      <c r="K7664" s="3" t="s">
        <v>223</v>
      </c>
    </row>
    <row r="7665" ht="15.6" spans="4:11">
      <c r="D7665" s="4">
        <v>6755</v>
      </c>
      <c r="E7665" s="4" t="s">
        <v>223</v>
      </c>
      <c r="J7665" s="3" t="s">
        <v>7885</v>
      </c>
      <c r="K7665" s="3" t="s">
        <v>223</v>
      </c>
    </row>
    <row r="7666" ht="15.6" spans="4:11">
      <c r="D7666" s="4">
        <v>6756</v>
      </c>
      <c r="E7666" s="4" t="s">
        <v>223</v>
      </c>
      <c r="J7666" s="3" t="s">
        <v>7886</v>
      </c>
      <c r="K7666" s="3" t="s">
        <v>223</v>
      </c>
    </row>
    <row r="7667" ht="15.6" spans="4:11">
      <c r="D7667" s="4">
        <v>6757</v>
      </c>
      <c r="E7667" s="4" t="s">
        <v>223</v>
      </c>
      <c r="J7667" s="3" t="s">
        <v>7887</v>
      </c>
      <c r="K7667" s="3" t="s">
        <v>223</v>
      </c>
    </row>
    <row r="7668" ht="15.6" spans="4:11">
      <c r="D7668" s="4">
        <v>6758</v>
      </c>
      <c r="E7668" s="4" t="s">
        <v>223</v>
      </c>
      <c r="J7668" s="3" t="s">
        <v>7888</v>
      </c>
      <c r="K7668" s="3" t="s">
        <v>223</v>
      </c>
    </row>
    <row r="7669" ht="15.6" spans="4:11">
      <c r="D7669" s="4">
        <v>6759</v>
      </c>
      <c r="E7669" s="4" t="s">
        <v>223</v>
      </c>
      <c r="J7669" s="3" t="s">
        <v>7889</v>
      </c>
      <c r="K7669" s="3" t="s">
        <v>223</v>
      </c>
    </row>
    <row r="7670" ht="15.6" spans="4:11">
      <c r="D7670" s="4">
        <v>6760</v>
      </c>
      <c r="E7670" s="4" t="s">
        <v>223</v>
      </c>
      <c r="J7670" s="3" t="s">
        <v>7890</v>
      </c>
      <c r="K7670" s="3" t="s">
        <v>223</v>
      </c>
    </row>
    <row r="7671" ht="15.6" spans="4:11">
      <c r="D7671" s="4">
        <v>6761</v>
      </c>
      <c r="E7671" s="4" t="s">
        <v>223</v>
      </c>
      <c r="J7671" s="3" t="s">
        <v>7891</v>
      </c>
      <c r="K7671" s="3" t="s">
        <v>223</v>
      </c>
    </row>
    <row r="7672" ht="15.6" spans="4:11">
      <c r="D7672" s="4">
        <v>6762</v>
      </c>
      <c r="E7672" s="4" t="s">
        <v>223</v>
      </c>
      <c r="J7672" s="3" t="s">
        <v>7892</v>
      </c>
      <c r="K7672" s="3" t="s">
        <v>223</v>
      </c>
    </row>
    <row r="7673" ht="15.6" spans="4:11">
      <c r="D7673" s="4">
        <v>6763</v>
      </c>
      <c r="E7673" s="4" t="s">
        <v>223</v>
      </c>
      <c r="J7673" s="3" t="s">
        <v>7893</v>
      </c>
      <c r="K7673" s="3" t="s">
        <v>223</v>
      </c>
    </row>
    <row r="7674" ht="15.6" spans="4:11">
      <c r="D7674" s="4">
        <v>6764</v>
      </c>
      <c r="E7674" s="4" t="s">
        <v>223</v>
      </c>
      <c r="J7674" s="3" t="s">
        <v>7894</v>
      </c>
      <c r="K7674" s="3" t="s">
        <v>223</v>
      </c>
    </row>
    <row r="7675" ht="15.6" spans="4:11">
      <c r="D7675" s="4">
        <v>6765</v>
      </c>
      <c r="E7675" s="4" t="s">
        <v>223</v>
      </c>
      <c r="J7675" s="3" t="s">
        <v>7895</v>
      </c>
      <c r="K7675" s="3" t="s">
        <v>223</v>
      </c>
    </row>
    <row r="7676" ht="15.6" spans="4:11">
      <c r="D7676" s="4">
        <v>6766</v>
      </c>
      <c r="E7676" s="4" t="s">
        <v>223</v>
      </c>
      <c r="J7676" s="3" t="s">
        <v>7896</v>
      </c>
      <c r="K7676" s="3" t="s">
        <v>223</v>
      </c>
    </row>
    <row r="7677" ht="15.6" spans="4:11">
      <c r="D7677" s="4">
        <v>6767</v>
      </c>
      <c r="E7677" s="4" t="s">
        <v>223</v>
      </c>
      <c r="J7677" s="3" t="s">
        <v>7897</v>
      </c>
      <c r="K7677" s="3" t="s">
        <v>223</v>
      </c>
    </row>
    <row r="7678" ht="15.6" spans="4:11">
      <c r="D7678" s="4">
        <v>6768</v>
      </c>
      <c r="E7678" s="4" t="s">
        <v>223</v>
      </c>
      <c r="J7678" s="3" t="s">
        <v>7898</v>
      </c>
      <c r="K7678" s="3" t="s">
        <v>223</v>
      </c>
    </row>
    <row r="7679" ht="15.6" spans="4:11">
      <c r="D7679" s="4">
        <v>6769</v>
      </c>
      <c r="E7679" s="4" t="s">
        <v>223</v>
      </c>
      <c r="J7679" s="3" t="s">
        <v>7899</v>
      </c>
      <c r="K7679" s="3" t="s">
        <v>223</v>
      </c>
    </row>
    <row r="7680" ht="15.6" spans="4:11">
      <c r="D7680" s="4">
        <v>6770</v>
      </c>
      <c r="E7680" s="4" t="s">
        <v>223</v>
      </c>
      <c r="J7680" s="3" t="s">
        <v>7900</v>
      </c>
      <c r="K7680" s="3" t="s">
        <v>223</v>
      </c>
    </row>
    <row r="7681" ht="15.6" spans="4:11">
      <c r="D7681" s="4">
        <v>6771</v>
      </c>
      <c r="E7681" s="4" t="s">
        <v>223</v>
      </c>
      <c r="J7681" s="3" t="s">
        <v>7901</v>
      </c>
      <c r="K7681" s="3" t="s">
        <v>223</v>
      </c>
    </row>
    <row r="7682" ht="15.6" spans="4:11">
      <c r="D7682" s="4">
        <v>6772</v>
      </c>
      <c r="E7682" s="4" t="s">
        <v>223</v>
      </c>
      <c r="J7682" s="3" t="s">
        <v>7902</v>
      </c>
      <c r="K7682" s="3" t="s">
        <v>223</v>
      </c>
    </row>
    <row r="7683" ht="15.6" spans="4:11">
      <c r="D7683" s="4">
        <v>6773</v>
      </c>
      <c r="E7683" s="4" t="s">
        <v>223</v>
      </c>
      <c r="J7683" s="3" t="s">
        <v>7903</v>
      </c>
      <c r="K7683" s="3" t="s">
        <v>223</v>
      </c>
    </row>
    <row r="7684" ht="15.6" spans="4:11">
      <c r="D7684" s="4">
        <v>6774</v>
      </c>
      <c r="E7684" s="4" t="s">
        <v>223</v>
      </c>
      <c r="J7684" s="3" t="s">
        <v>7904</v>
      </c>
      <c r="K7684" s="3" t="s">
        <v>223</v>
      </c>
    </row>
    <row r="7685" ht="15.6" spans="4:11">
      <c r="D7685" s="4">
        <v>6775</v>
      </c>
      <c r="E7685" s="4" t="s">
        <v>223</v>
      </c>
      <c r="J7685" s="3" t="s">
        <v>7905</v>
      </c>
      <c r="K7685" s="3" t="s">
        <v>223</v>
      </c>
    </row>
    <row r="7686" ht="15.6" spans="4:11">
      <c r="D7686" s="4">
        <v>6776</v>
      </c>
      <c r="E7686" s="4" t="s">
        <v>223</v>
      </c>
      <c r="J7686" s="3" t="s">
        <v>7906</v>
      </c>
      <c r="K7686" s="3" t="s">
        <v>223</v>
      </c>
    </row>
    <row r="7687" ht="15.6" spans="4:11">
      <c r="D7687" s="4">
        <v>6777</v>
      </c>
      <c r="E7687" s="4" t="s">
        <v>223</v>
      </c>
      <c r="J7687" s="3" t="s">
        <v>7907</v>
      </c>
      <c r="K7687" s="3" t="s">
        <v>223</v>
      </c>
    </row>
    <row r="7688" ht="15.6" spans="4:11">
      <c r="D7688" s="4">
        <v>6778</v>
      </c>
      <c r="E7688" s="4" t="s">
        <v>223</v>
      </c>
      <c r="J7688" s="3" t="s">
        <v>7908</v>
      </c>
      <c r="K7688" s="3" t="s">
        <v>223</v>
      </c>
    </row>
    <row r="7689" ht="15.6" spans="4:11">
      <c r="D7689" s="4">
        <v>6779</v>
      </c>
      <c r="E7689" s="4" t="s">
        <v>223</v>
      </c>
      <c r="J7689" s="3" t="s">
        <v>7909</v>
      </c>
      <c r="K7689" s="3" t="s">
        <v>223</v>
      </c>
    </row>
    <row r="7690" ht="15.6" spans="4:11">
      <c r="D7690" s="4">
        <v>6780</v>
      </c>
      <c r="E7690" s="4" t="s">
        <v>223</v>
      </c>
      <c r="J7690" s="3" t="s">
        <v>7910</v>
      </c>
      <c r="K7690" s="3" t="s">
        <v>223</v>
      </c>
    </row>
    <row r="7691" ht="15.6" spans="4:11">
      <c r="D7691" s="4">
        <v>6781</v>
      </c>
      <c r="E7691" s="4" t="s">
        <v>223</v>
      </c>
      <c r="J7691" s="3" t="s">
        <v>7911</v>
      </c>
      <c r="K7691" s="3" t="s">
        <v>223</v>
      </c>
    </row>
    <row r="7692" ht="15.6" spans="4:11">
      <c r="D7692" s="4">
        <v>6782</v>
      </c>
      <c r="E7692" s="4" t="s">
        <v>223</v>
      </c>
      <c r="J7692" s="3" t="s">
        <v>7912</v>
      </c>
      <c r="K7692" s="3" t="s">
        <v>223</v>
      </c>
    </row>
    <row r="7693" ht="15.6" spans="4:11">
      <c r="D7693" s="4">
        <v>6783</v>
      </c>
      <c r="E7693" s="4" t="s">
        <v>223</v>
      </c>
      <c r="J7693" s="3" t="s">
        <v>7913</v>
      </c>
      <c r="K7693" s="3" t="s">
        <v>223</v>
      </c>
    </row>
    <row r="7694" ht="15.6" spans="4:11">
      <c r="D7694" s="4">
        <v>6784</v>
      </c>
      <c r="E7694" s="4" t="s">
        <v>223</v>
      </c>
      <c r="J7694" s="3" t="s">
        <v>7914</v>
      </c>
      <c r="K7694" s="3" t="s">
        <v>223</v>
      </c>
    </row>
    <row r="7695" ht="15.6" spans="4:11">
      <c r="D7695" s="4">
        <v>6785</v>
      </c>
      <c r="E7695" s="4" t="s">
        <v>223</v>
      </c>
      <c r="J7695" s="3" t="s">
        <v>7915</v>
      </c>
      <c r="K7695" s="3" t="s">
        <v>223</v>
      </c>
    </row>
    <row r="7696" ht="15.6" spans="4:11">
      <c r="D7696" s="4">
        <v>6786</v>
      </c>
      <c r="E7696" s="4" t="s">
        <v>223</v>
      </c>
      <c r="J7696" s="3" t="s">
        <v>7916</v>
      </c>
      <c r="K7696" s="3" t="s">
        <v>223</v>
      </c>
    </row>
    <row r="7697" ht="15.6" spans="4:11">
      <c r="D7697" s="4">
        <v>6787</v>
      </c>
      <c r="E7697" s="4" t="s">
        <v>223</v>
      </c>
      <c r="J7697" s="3" t="s">
        <v>7917</v>
      </c>
      <c r="K7697" s="3" t="s">
        <v>223</v>
      </c>
    </row>
    <row r="7698" ht="15.6" spans="4:11">
      <c r="D7698" s="4">
        <v>6788</v>
      </c>
      <c r="E7698" s="4" t="s">
        <v>223</v>
      </c>
      <c r="J7698" s="3" t="s">
        <v>7918</v>
      </c>
      <c r="K7698" s="3" t="s">
        <v>223</v>
      </c>
    </row>
    <row r="7699" ht="15.6" spans="4:11">
      <c r="D7699" s="4">
        <v>6789</v>
      </c>
      <c r="E7699" s="4" t="s">
        <v>223</v>
      </c>
      <c r="J7699" s="3" t="s">
        <v>7919</v>
      </c>
      <c r="K7699" s="3" t="s">
        <v>223</v>
      </c>
    </row>
    <row r="7700" ht="15.6" spans="4:11">
      <c r="D7700" s="4">
        <v>6790</v>
      </c>
      <c r="E7700" s="4" t="s">
        <v>223</v>
      </c>
      <c r="J7700" s="3" t="s">
        <v>7920</v>
      </c>
      <c r="K7700" s="3" t="s">
        <v>223</v>
      </c>
    </row>
    <row r="7701" ht="15.6" spans="4:11">
      <c r="D7701" s="4">
        <v>6791</v>
      </c>
      <c r="E7701" s="4" t="s">
        <v>223</v>
      </c>
      <c r="J7701" s="3" t="s">
        <v>7921</v>
      </c>
      <c r="K7701" s="3" t="s">
        <v>223</v>
      </c>
    </row>
    <row r="7702" ht="15.6" spans="4:11">
      <c r="D7702" s="4">
        <v>6792</v>
      </c>
      <c r="E7702" s="4" t="s">
        <v>223</v>
      </c>
      <c r="J7702" s="3" t="s">
        <v>7922</v>
      </c>
      <c r="K7702" s="3" t="s">
        <v>223</v>
      </c>
    </row>
    <row r="7703" ht="15.6" spans="4:11">
      <c r="D7703" s="4">
        <v>6793</v>
      </c>
      <c r="E7703" s="4" t="s">
        <v>223</v>
      </c>
      <c r="J7703" s="3" t="s">
        <v>7923</v>
      </c>
      <c r="K7703" s="3" t="s">
        <v>223</v>
      </c>
    </row>
    <row r="7704" ht="15.6" spans="4:11">
      <c r="D7704" s="4">
        <v>6794</v>
      </c>
      <c r="E7704" s="4" t="s">
        <v>223</v>
      </c>
      <c r="J7704" s="3" t="s">
        <v>7924</v>
      </c>
      <c r="K7704" s="3" t="s">
        <v>223</v>
      </c>
    </row>
    <row r="7705" ht="15.6" spans="4:11">
      <c r="D7705" s="4">
        <v>6795</v>
      </c>
      <c r="E7705" s="4" t="s">
        <v>223</v>
      </c>
      <c r="J7705" s="3" t="s">
        <v>7925</v>
      </c>
      <c r="K7705" s="3" t="s">
        <v>223</v>
      </c>
    </row>
    <row r="7706" ht="15.6" spans="4:11">
      <c r="D7706" s="4">
        <v>6796</v>
      </c>
      <c r="E7706" s="4" t="s">
        <v>223</v>
      </c>
      <c r="J7706" s="3" t="s">
        <v>7926</v>
      </c>
      <c r="K7706" s="3" t="s">
        <v>223</v>
      </c>
    </row>
    <row r="7707" ht="15.6" spans="4:11">
      <c r="D7707" s="4">
        <v>6797</v>
      </c>
      <c r="E7707" s="4" t="s">
        <v>223</v>
      </c>
      <c r="J7707" s="3" t="s">
        <v>7927</v>
      </c>
      <c r="K7707" s="3" t="s">
        <v>223</v>
      </c>
    </row>
    <row r="7708" ht="15.6" spans="4:11">
      <c r="D7708" s="4">
        <v>6801</v>
      </c>
      <c r="E7708" s="4" t="s">
        <v>223</v>
      </c>
      <c r="J7708" s="3" t="s">
        <v>7928</v>
      </c>
      <c r="K7708" s="3" t="s">
        <v>223</v>
      </c>
    </row>
    <row r="7709" ht="15.6" spans="4:11">
      <c r="D7709" s="4">
        <v>6802</v>
      </c>
      <c r="E7709" s="4" t="s">
        <v>223</v>
      </c>
      <c r="J7709" s="3" t="s">
        <v>7929</v>
      </c>
      <c r="K7709" s="3" t="s">
        <v>223</v>
      </c>
    </row>
    <row r="7710" ht="15.6" spans="4:11">
      <c r="D7710" s="4">
        <v>6803</v>
      </c>
      <c r="E7710" s="4" t="s">
        <v>223</v>
      </c>
      <c r="J7710" s="3" t="s">
        <v>7930</v>
      </c>
      <c r="K7710" s="3" t="s">
        <v>223</v>
      </c>
    </row>
    <row r="7711" ht="15.6" spans="4:11">
      <c r="D7711" s="4">
        <v>6804</v>
      </c>
      <c r="E7711" s="4" t="s">
        <v>223</v>
      </c>
      <c r="J7711" s="3" t="s">
        <v>7931</v>
      </c>
      <c r="K7711" s="3" t="s">
        <v>223</v>
      </c>
    </row>
    <row r="7712" ht="15.6" spans="4:11">
      <c r="D7712" s="4">
        <v>6805</v>
      </c>
      <c r="E7712" s="4" t="s">
        <v>223</v>
      </c>
      <c r="J7712" s="3" t="s">
        <v>7932</v>
      </c>
      <c r="K7712" s="3" t="s">
        <v>223</v>
      </c>
    </row>
    <row r="7713" ht="15.6" spans="4:11">
      <c r="D7713" s="4">
        <v>6806</v>
      </c>
      <c r="E7713" s="4" t="s">
        <v>223</v>
      </c>
      <c r="J7713" s="3" t="s">
        <v>7933</v>
      </c>
      <c r="K7713" s="3" t="s">
        <v>223</v>
      </c>
    </row>
    <row r="7714" ht="15.6" spans="4:11">
      <c r="D7714" s="4">
        <v>6807</v>
      </c>
      <c r="E7714" s="4" t="s">
        <v>223</v>
      </c>
      <c r="J7714" s="3" t="s">
        <v>7934</v>
      </c>
      <c r="K7714" s="3" t="s">
        <v>223</v>
      </c>
    </row>
    <row r="7715" ht="15.6" spans="4:11">
      <c r="D7715" s="4">
        <v>6808</v>
      </c>
      <c r="E7715" s="4" t="s">
        <v>223</v>
      </c>
      <c r="J7715" s="3" t="s">
        <v>7935</v>
      </c>
      <c r="K7715" s="3" t="s">
        <v>223</v>
      </c>
    </row>
    <row r="7716" ht="15.6" spans="4:11">
      <c r="D7716" s="4">
        <v>6810</v>
      </c>
      <c r="E7716" s="4" t="s">
        <v>223</v>
      </c>
      <c r="J7716" s="3" t="s">
        <v>7936</v>
      </c>
      <c r="K7716" s="3" t="s">
        <v>223</v>
      </c>
    </row>
    <row r="7717" ht="15.6" spans="4:11">
      <c r="D7717" s="4">
        <v>6811</v>
      </c>
      <c r="E7717" s="4" t="s">
        <v>223</v>
      </c>
      <c r="J7717" s="3" t="s">
        <v>7937</v>
      </c>
      <c r="K7717" s="3" t="s">
        <v>223</v>
      </c>
    </row>
    <row r="7718" ht="15.6" spans="4:11">
      <c r="D7718" s="4">
        <v>6812</v>
      </c>
      <c r="E7718" s="4" t="s">
        <v>223</v>
      </c>
      <c r="J7718" s="3" t="s">
        <v>7938</v>
      </c>
      <c r="K7718" s="3" t="s">
        <v>223</v>
      </c>
    </row>
    <row r="7719" ht="15.6" spans="4:11">
      <c r="D7719" s="4">
        <v>6813</v>
      </c>
      <c r="E7719" s="4" t="s">
        <v>223</v>
      </c>
      <c r="J7719" s="3" t="s">
        <v>7939</v>
      </c>
      <c r="K7719" s="3" t="s">
        <v>223</v>
      </c>
    </row>
    <row r="7720" ht="15.6" spans="4:11">
      <c r="D7720" s="4">
        <v>6814</v>
      </c>
      <c r="E7720" s="4" t="s">
        <v>223</v>
      </c>
      <c r="J7720" s="3" t="s">
        <v>7940</v>
      </c>
      <c r="K7720" s="3" t="s">
        <v>223</v>
      </c>
    </row>
    <row r="7721" ht="15.6" spans="4:11">
      <c r="D7721" s="4">
        <v>6815</v>
      </c>
      <c r="E7721" s="4" t="s">
        <v>223</v>
      </c>
      <c r="J7721" s="3" t="s">
        <v>7941</v>
      </c>
      <c r="K7721" s="3" t="s">
        <v>223</v>
      </c>
    </row>
    <row r="7722" ht="15.6" spans="4:11">
      <c r="D7722" s="4">
        <v>6816</v>
      </c>
      <c r="E7722" s="4" t="s">
        <v>223</v>
      </c>
      <c r="J7722" s="3" t="s">
        <v>7942</v>
      </c>
      <c r="K7722" s="3" t="s">
        <v>223</v>
      </c>
    </row>
    <row r="7723" ht="15.6" spans="4:11">
      <c r="D7723" s="4">
        <v>6817</v>
      </c>
      <c r="E7723" s="4" t="s">
        <v>223</v>
      </c>
      <c r="J7723" s="3" t="s">
        <v>7943</v>
      </c>
      <c r="K7723" s="3" t="s">
        <v>223</v>
      </c>
    </row>
    <row r="7724" ht="15.6" spans="4:11">
      <c r="D7724" s="4">
        <v>6818</v>
      </c>
      <c r="E7724" s="4" t="s">
        <v>223</v>
      </c>
      <c r="J7724" s="3" t="s">
        <v>7944</v>
      </c>
      <c r="K7724" s="3" t="s">
        <v>223</v>
      </c>
    </row>
    <row r="7725" ht="15.6" spans="4:11">
      <c r="D7725" s="4">
        <v>6819</v>
      </c>
      <c r="E7725" s="4" t="s">
        <v>223</v>
      </c>
      <c r="J7725" s="3" t="s">
        <v>7945</v>
      </c>
      <c r="K7725" s="3" t="s">
        <v>223</v>
      </c>
    </row>
    <row r="7726" ht="15.6" spans="4:11">
      <c r="D7726" s="4">
        <v>6820</v>
      </c>
      <c r="E7726" s="4" t="s">
        <v>223</v>
      </c>
      <c r="J7726" s="3" t="s">
        <v>7946</v>
      </c>
      <c r="K7726" s="3" t="s">
        <v>223</v>
      </c>
    </row>
    <row r="7727" ht="15.6" spans="4:11">
      <c r="D7727" s="4">
        <v>6821</v>
      </c>
      <c r="E7727" s="4" t="s">
        <v>223</v>
      </c>
      <c r="J7727" s="3" t="s">
        <v>7947</v>
      </c>
      <c r="K7727" s="3" t="s">
        <v>223</v>
      </c>
    </row>
    <row r="7728" ht="15.6" spans="4:11">
      <c r="D7728" s="4">
        <v>6822</v>
      </c>
      <c r="E7728" s="4" t="s">
        <v>223</v>
      </c>
      <c r="J7728" s="3" t="s">
        <v>7948</v>
      </c>
      <c r="K7728" s="3" t="s">
        <v>223</v>
      </c>
    </row>
    <row r="7729" ht="15.6" spans="4:11">
      <c r="D7729" s="4">
        <v>6823</v>
      </c>
      <c r="E7729" s="4" t="s">
        <v>223</v>
      </c>
      <c r="J7729" s="3" t="s">
        <v>7949</v>
      </c>
      <c r="K7729" s="3" t="s">
        <v>223</v>
      </c>
    </row>
    <row r="7730" ht="15.6" spans="4:11">
      <c r="D7730" s="4">
        <v>6824</v>
      </c>
      <c r="E7730" s="4" t="s">
        <v>223</v>
      </c>
      <c r="J7730" s="3" t="s">
        <v>7950</v>
      </c>
      <c r="K7730" s="3" t="s">
        <v>223</v>
      </c>
    </row>
    <row r="7731" ht="15.6" spans="4:11">
      <c r="D7731" s="4">
        <v>6825</v>
      </c>
      <c r="E7731" s="4" t="s">
        <v>223</v>
      </c>
      <c r="J7731" s="3" t="s">
        <v>7951</v>
      </c>
      <c r="K7731" s="3" t="s">
        <v>223</v>
      </c>
    </row>
    <row r="7732" ht="15.6" spans="4:11">
      <c r="D7732" s="4">
        <v>6826</v>
      </c>
      <c r="E7732" s="4" t="s">
        <v>223</v>
      </c>
      <c r="J7732" s="3" t="s">
        <v>7952</v>
      </c>
      <c r="K7732" s="3" t="s">
        <v>223</v>
      </c>
    </row>
    <row r="7733" ht="15.6" spans="4:11">
      <c r="D7733" s="4">
        <v>6828</v>
      </c>
      <c r="E7733" s="4" t="s">
        <v>223</v>
      </c>
      <c r="J7733" s="3" t="s">
        <v>7953</v>
      </c>
      <c r="K7733" s="3" t="s">
        <v>223</v>
      </c>
    </row>
    <row r="7734" ht="15.6" spans="4:11">
      <c r="D7734" s="4">
        <v>6829</v>
      </c>
      <c r="E7734" s="4" t="s">
        <v>223</v>
      </c>
      <c r="J7734" s="3" t="s">
        <v>7954</v>
      </c>
      <c r="K7734" s="3" t="s">
        <v>223</v>
      </c>
    </row>
    <row r="7735" ht="15.6" spans="4:11">
      <c r="D7735" s="4">
        <v>6832</v>
      </c>
      <c r="E7735" s="4" t="s">
        <v>223</v>
      </c>
      <c r="J7735" s="3" t="s">
        <v>7955</v>
      </c>
      <c r="K7735" s="3" t="s">
        <v>223</v>
      </c>
    </row>
    <row r="7736" ht="15.6" spans="4:11">
      <c r="D7736" s="4">
        <v>6833</v>
      </c>
      <c r="E7736" s="4" t="s">
        <v>223</v>
      </c>
      <c r="J7736" s="3" t="s">
        <v>7956</v>
      </c>
      <c r="K7736" s="3" t="s">
        <v>223</v>
      </c>
    </row>
    <row r="7737" ht="15.6" spans="4:11">
      <c r="D7737" s="4">
        <v>6834</v>
      </c>
      <c r="E7737" s="4" t="s">
        <v>223</v>
      </c>
      <c r="J7737" s="3" t="s">
        <v>7957</v>
      </c>
      <c r="K7737" s="3" t="s">
        <v>223</v>
      </c>
    </row>
    <row r="7738" ht="15.6" spans="4:11">
      <c r="D7738" s="4">
        <v>6835</v>
      </c>
      <c r="E7738" s="4" t="s">
        <v>223</v>
      </c>
      <c r="J7738" s="3" t="s">
        <v>7958</v>
      </c>
      <c r="K7738" s="3" t="s">
        <v>223</v>
      </c>
    </row>
    <row r="7739" ht="15.6" spans="4:11">
      <c r="D7739" s="4">
        <v>6836</v>
      </c>
      <c r="E7739" s="4" t="s">
        <v>223</v>
      </c>
      <c r="J7739" s="3" t="s">
        <v>7959</v>
      </c>
      <c r="K7739" s="3" t="s">
        <v>223</v>
      </c>
    </row>
    <row r="7740" ht="15.6" spans="4:11">
      <c r="D7740" s="4">
        <v>6851</v>
      </c>
      <c r="E7740" s="4" t="s">
        <v>223</v>
      </c>
      <c r="J7740" s="3" t="s">
        <v>7960</v>
      </c>
      <c r="K7740" s="3" t="s">
        <v>223</v>
      </c>
    </row>
    <row r="7741" ht="15.6" spans="4:11">
      <c r="D7741" s="4">
        <v>6852</v>
      </c>
      <c r="E7741" s="4" t="s">
        <v>223</v>
      </c>
      <c r="J7741" s="3" t="s">
        <v>7961</v>
      </c>
      <c r="K7741" s="3" t="s">
        <v>223</v>
      </c>
    </row>
    <row r="7742" ht="15.6" spans="4:11">
      <c r="D7742" s="4">
        <v>6853</v>
      </c>
      <c r="E7742" s="4" t="s">
        <v>223</v>
      </c>
      <c r="J7742" s="3" t="s">
        <v>7962</v>
      </c>
      <c r="K7742" s="3" t="s">
        <v>223</v>
      </c>
    </row>
    <row r="7743" ht="15.6" spans="4:11">
      <c r="D7743" s="4">
        <v>6854</v>
      </c>
      <c r="E7743" s="4" t="s">
        <v>223</v>
      </c>
      <c r="J7743" s="3" t="s">
        <v>7963</v>
      </c>
      <c r="K7743" s="3" t="s">
        <v>223</v>
      </c>
    </row>
    <row r="7744" ht="15.6" spans="4:11">
      <c r="D7744" s="4">
        <v>6855</v>
      </c>
      <c r="E7744" s="4" t="s">
        <v>223</v>
      </c>
      <c r="J7744" s="3" t="s">
        <v>7964</v>
      </c>
      <c r="K7744" s="3" t="s">
        <v>223</v>
      </c>
    </row>
    <row r="7745" ht="15.6" spans="4:11">
      <c r="D7745" s="4">
        <v>6856</v>
      </c>
      <c r="E7745" s="4" t="s">
        <v>223</v>
      </c>
      <c r="J7745" s="3" t="s">
        <v>7965</v>
      </c>
      <c r="K7745" s="3" t="s">
        <v>223</v>
      </c>
    </row>
    <row r="7746" ht="15.6" spans="4:11">
      <c r="D7746" s="4">
        <v>6857</v>
      </c>
      <c r="E7746" s="4" t="s">
        <v>223</v>
      </c>
      <c r="J7746" s="3" t="s">
        <v>7966</v>
      </c>
      <c r="K7746" s="3" t="s">
        <v>223</v>
      </c>
    </row>
    <row r="7747" ht="15.6" spans="4:11">
      <c r="D7747" s="4">
        <v>6858</v>
      </c>
      <c r="E7747" s="4" t="s">
        <v>223</v>
      </c>
      <c r="J7747" s="3" t="s">
        <v>7967</v>
      </c>
      <c r="K7747" s="3" t="s">
        <v>223</v>
      </c>
    </row>
    <row r="7748" ht="15.6" spans="4:11">
      <c r="D7748" s="4">
        <v>6859</v>
      </c>
      <c r="E7748" s="4" t="s">
        <v>223</v>
      </c>
      <c r="J7748" s="3" t="s">
        <v>7968</v>
      </c>
      <c r="K7748" s="3" t="s">
        <v>223</v>
      </c>
    </row>
    <row r="7749" ht="15.6" spans="4:11">
      <c r="D7749" s="4">
        <v>6860</v>
      </c>
      <c r="E7749" s="4" t="s">
        <v>223</v>
      </c>
      <c r="J7749" s="3" t="s">
        <v>7969</v>
      </c>
      <c r="K7749" s="3" t="s">
        <v>223</v>
      </c>
    </row>
    <row r="7750" ht="15.6" spans="4:11">
      <c r="D7750" s="4">
        <v>6861</v>
      </c>
      <c r="E7750" s="4" t="s">
        <v>223</v>
      </c>
      <c r="J7750" s="3" t="s">
        <v>7970</v>
      </c>
      <c r="K7750" s="3" t="s">
        <v>223</v>
      </c>
    </row>
    <row r="7751" ht="15.6" spans="4:11">
      <c r="D7751" s="4">
        <v>6862</v>
      </c>
      <c r="E7751" s="4" t="s">
        <v>223</v>
      </c>
      <c r="J7751" s="3" t="s">
        <v>7971</v>
      </c>
      <c r="K7751" s="3" t="s">
        <v>223</v>
      </c>
    </row>
    <row r="7752" ht="15.6" spans="4:11">
      <c r="D7752" s="4">
        <v>6863</v>
      </c>
      <c r="E7752" s="4" t="s">
        <v>223</v>
      </c>
      <c r="J7752" s="3" t="s">
        <v>7972</v>
      </c>
      <c r="K7752" s="3" t="s">
        <v>223</v>
      </c>
    </row>
    <row r="7753" ht="15.6" spans="4:11">
      <c r="D7753" s="4">
        <v>6864</v>
      </c>
      <c r="E7753" s="4" t="s">
        <v>223</v>
      </c>
      <c r="J7753" s="3" t="s">
        <v>7973</v>
      </c>
      <c r="K7753" s="3" t="s">
        <v>223</v>
      </c>
    </row>
    <row r="7754" ht="15.6" spans="4:11">
      <c r="D7754" s="4">
        <v>6866</v>
      </c>
      <c r="E7754" s="4" t="s">
        <v>223</v>
      </c>
      <c r="J7754" s="3" t="s">
        <v>7974</v>
      </c>
      <c r="K7754" s="3" t="s">
        <v>223</v>
      </c>
    </row>
    <row r="7755" ht="15.6" spans="4:11">
      <c r="D7755" s="4">
        <v>6867</v>
      </c>
      <c r="E7755" s="4" t="s">
        <v>223</v>
      </c>
      <c r="J7755" s="3" t="s">
        <v>7975</v>
      </c>
      <c r="K7755" s="3" t="s">
        <v>223</v>
      </c>
    </row>
    <row r="7756" ht="15.6" spans="4:11">
      <c r="D7756" s="4">
        <v>6868</v>
      </c>
      <c r="E7756" s="4" t="s">
        <v>223</v>
      </c>
      <c r="J7756" s="3" t="s">
        <v>7976</v>
      </c>
      <c r="K7756" s="3" t="s">
        <v>223</v>
      </c>
    </row>
    <row r="7757" ht="15.6" spans="4:11">
      <c r="D7757" s="4">
        <v>6869</v>
      </c>
      <c r="E7757" s="4" t="s">
        <v>223</v>
      </c>
      <c r="J7757" s="3" t="s">
        <v>7977</v>
      </c>
      <c r="K7757" s="3" t="s">
        <v>223</v>
      </c>
    </row>
    <row r="7758" ht="15.6" spans="4:11">
      <c r="D7758" s="4">
        <v>6870</v>
      </c>
      <c r="E7758" s="4" t="s">
        <v>223</v>
      </c>
      <c r="J7758" s="3" t="s">
        <v>7978</v>
      </c>
      <c r="K7758" s="3" t="s">
        <v>223</v>
      </c>
    </row>
    <row r="7759" ht="15.6" spans="4:11">
      <c r="D7759" s="4">
        <v>6871</v>
      </c>
      <c r="E7759" s="4" t="s">
        <v>223</v>
      </c>
      <c r="J7759" s="3" t="s">
        <v>7979</v>
      </c>
      <c r="K7759" s="3" t="s">
        <v>223</v>
      </c>
    </row>
    <row r="7760" ht="15.6" spans="4:11">
      <c r="D7760" s="4">
        <v>6873</v>
      </c>
      <c r="E7760" s="4" t="s">
        <v>223</v>
      </c>
      <c r="J7760" s="3" t="s">
        <v>7980</v>
      </c>
      <c r="K7760" s="3" t="s">
        <v>223</v>
      </c>
    </row>
    <row r="7761" ht="15.6" spans="4:11">
      <c r="D7761" s="4">
        <v>6874</v>
      </c>
      <c r="E7761" s="4" t="s">
        <v>223</v>
      </c>
      <c r="J7761" s="3" t="s">
        <v>7981</v>
      </c>
      <c r="K7761" s="3" t="s">
        <v>223</v>
      </c>
    </row>
    <row r="7762" ht="15.6" spans="4:11">
      <c r="D7762" s="4">
        <v>6875</v>
      </c>
      <c r="E7762" s="4" t="s">
        <v>223</v>
      </c>
      <c r="J7762" s="3" t="s">
        <v>7982</v>
      </c>
      <c r="K7762" s="3" t="s">
        <v>223</v>
      </c>
    </row>
    <row r="7763" ht="15.6" spans="4:11">
      <c r="D7763" s="4">
        <v>6876</v>
      </c>
      <c r="E7763" s="4" t="s">
        <v>223</v>
      </c>
      <c r="J7763" s="3" t="s">
        <v>7983</v>
      </c>
      <c r="K7763" s="3" t="s">
        <v>223</v>
      </c>
    </row>
    <row r="7764" ht="15.6" spans="4:11">
      <c r="D7764" s="4">
        <v>6877</v>
      </c>
      <c r="E7764" s="4" t="s">
        <v>223</v>
      </c>
      <c r="J7764" s="3" t="s">
        <v>7984</v>
      </c>
      <c r="K7764" s="3" t="s">
        <v>223</v>
      </c>
    </row>
    <row r="7765" ht="15.6" spans="4:11">
      <c r="D7765" s="4">
        <v>6878</v>
      </c>
      <c r="E7765" s="4" t="s">
        <v>223</v>
      </c>
      <c r="J7765" s="3" t="s">
        <v>7985</v>
      </c>
      <c r="K7765" s="3" t="s">
        <v>223</v>
      </c>
    </row>
    <row r="7766" ht="15.6" spans="4:11">
      <c r="D7766" s="4">
        <v>6879</v>
      </c>
      <c r="E7766" s="4" t="s">
        <v>223</v>
      </c>
      <c r="J7766" s="3" t="s">
        <v>7986</v>
      </c>
      <c r="K7766" s="3" t="s">
        <v>223</v>
      </c>
    </row>
    <row r="7767" ht="15.6" spans="4:11">
      <c r="D7767" s="4">
        <v>6880</v>
      </c>
      <c r="E7767" s="4" t="s">
        <v>223</v>
      </c>
      <c r="J7767" s="3" t="s">
        <v>7987</v>
      </c>
      <c r="K7767" s="3" t="s">
        <v>223</v>
      </c>
    </row>
    <row r="7768" ht="15.6" spans="4:11">
      <c r="D7768" s="4">
        <v>6881</v>
      </c>
      <c r="E7768" s="4" t="s">
        <v>223</v>
      </c>
      <c r="J7768" s="3" t="s">
        <v>7988</v>
      </c>
      <c r="K7768" s="3" t="s">
        <v>223</v>
      </c>
    </row>
    <row r="7769" ht="15.6" spans="4:11">
      <c r="D7769" s="4">
        <v>6882</v>
      </c>
      <c r="E7769" s="4" t="s">
        <v>223</v>
      </c>
      <c r="J7769" s="3" t="s">
        <v>7989</v>
      </c>
      <c r="K7769" s="3" t="s">
        <v>223</v>
      </c>
    </row>
    <row r="7770" ht="15.6" spans="4:11">
      <c r="D7770" s="4">
        <v>6883</v>
      </c>
      <c r="E7770" s="4" t="s">
        <v>223</v>
      </c>
      <c r="J7770" s="3" t="s">
        <v>7990</v>
      </c>
      <c r="K7770" s="3" t="s">
        <v>223</v>
      </c>
    </row>
    <row r="7771" ht="15.6" spans="4:11">
      <c r="D7771" s="4">
        <v>6884</v>
      </c>
      <c r="E7771" s="4" t="s">
        <v>223</v>
      </c>
      <c r="J7771" s="3" t="s">
        <v>7991</v>
      </c>
      <c r="K7771" s="3" t="s">
        <v>223</v>
      </c>
    </row>
    <row r="7772" ht="15.6" spans="4:11">
      <c r="D7772" s="4">
        <v>6885</v>
      </c>
      <c r="E7772" s="4" t="s">
        <v>223</v>
      </c>
      <c r="J7772" s="3" t="s">
        <v>7992</v>
      </c>
      <c r="K7772" s="3" t="s">
        <v>223</v>
      </c>
    </row>
    <row r="7773" ht="15.6" spans="4:11">
      <c r="D7773" s="4">
        <v>6886</v>
      </c>
      <c r="E7773" s="4" t="s">
        <v>223</v>
      </c>
      <c r="J7773" s="3" t="s">
        <v>7993</v>
      </c>
      <c r="K7773" s="3" t="s">
        <v>223</v>
      </c>
    </row>
    <row r="7774" ht="15.6" spans="4:11">
      <c r="D7774" s="4">
        <v>6887</v>
      </c>
      <c r="E7774" s="4" t="s">
        <v>223</v>
      </c>
      <c r="J7774" s="3" t="s">
        <v>7994</v>
      </c>
      <c r="K7774" s="3" t="s">
        <v>223</v>
      </c>
    </row>
    <row r="7775" ht="15.6" spans="4:11">
      <c r="D7775" s="4">
        <v>6888</v>
      </c>
      <c r="E7775" s="4" t="s">
        <v>223</v>
      </c>
      <c r="J7775" s="3" t="s">
        <v>7995</v>
      </c>
      <c r="K7775" s="3" t="s">
        <v>223</v>
      </c>
    </row>
    <row r="7776" ht="15.6" spans="4:11">
      <c r="D7776" s="4">
        <v>6889</v>
      </c>
      <c r="E7776" s="4" t="s">
        <v>223</v>
      </c>
      <c r="J7776" s="3" t="s">
        <v>7996</v>
      </c>
      <c r="K7776" s="3" t="s">
        <v>223</v>
      </c>
    </row>
    <row r="7777" ht="15.6" spans="4:11">
      <c r="D7777" s="4">
        <v>6890</v>
      </c>
      <c r="E7777" s="4" t="s">
        <v>223</v>
      </c>
      <c r="J7777" s="3" t="s">
        <v>7997</v>
      </c>
      <c r="K7777" s="3" t="s">
        <v>223</v>
      </c>
    </row>
    <row r="7778" ht="15.6" spans="4:11">
      <c r="D7778" s="4">
        <v>6891</v>
      </c>
      <c r="E7778" s="4" t="s">
        <v>223</v>
      </c>
      <c r="J7778" s="3" t="s">
        <v>7998</v>
      </c>
      <c r="K7778" s="3" t="s">
        <v>223</v>
      </c>
    </row>
    <row r="7779" ht="15.6" spans="4:11">
      <c r="D7779" s="4">
        <v>6893</v>
      </c>
      <c r="E7779" s="4" t="s">
        <v>223</v>
      </c>
      <c r="J7779" s="3" t="s">
        <v>7999</v>
      </c>
      <c r="K7779" s="3" t="s">
        <v>223</v>
      </c>
    </row>
    <row r="7780" ht="15.6" spans="4:11">
      <c r="D7780" s="4">
        <v>6894</v>
      </c>
      <c r="E7780" s="4" t="s">
        <v>223</v>
      </c>
      <c r="J7780" s="3" t="s">
        <v>8000</v>
      </c>
      <c r="K7780" s="3" t="s">
        <v>223</v>
      </c>
    </row>
    <row r="7781" ht="15.6" spans="4:11">
      <c r="D7781" s="4">
        <v>6895</v>
      </c>
      <c r="E7781" s="4" t="s">
        <v>223</v>
      </c>
      <c r="J7781" s="3" t="s">
        <v>8001</v>
      </c>
      <c r="K7781" s="3" t="s">
        <v>223</v>
      </c>
    </row>
    <row r="7782" ht="15.6" spans="4:11">
      <c r="D7782" s="4">
        <v>6896</v>
      </c>
      <c r="E7782" s="4" t="s">
        <v>223</v>
      </c>
      <c r="J7782" s="3" t="s">
        <v>8002</v>
      </c>
      <c r="K7782" s="3" t="s">
        <v>223</v>
      </c>
    </row>
    <row r="7783" ht="15.6" spans="4:11">
      <c r="D7783" s="4">
        <v>6897</v>
      </c>
      <c r="E7783" s="4" t="s">
        <v>223</v>
      </c>
      <c r="J7783" s="3" t="s">
        <v>8003</v>
      </c>
      <c r="K7783" s="3" t="s">
        <v>223</v>
      </c>
    </row>
    <row r="7784" ht="15.6" spans="4:11">
      <c r="D7784" s="4">
        <v>6898</v>
      </c>
      <c r="E7784" s="4" t="s">
        <v>223</v>
      </c>
      <c r="J7784" s="3" t="s">
        <v>8004</v>
      </c>
      <c r="K7784" s="3" t="s">
        <v>223</v>
      </c>
    </row>
    <row r="7785" ht="15.6" spans="4:11">
      <c r="D7785" s="4">
        <v>6899</v>
      </c>
      <c r="E7785" s="4" t="s">
        <v>223</v>
      </c>
      <c r="J7785" s="3" t="s">
        <v>8005</v>
      </c>
      <c r="K7785" s="3" t="s">
        <v>223</v>
      </c>
    </row>
    <row r="7786" ht="15.6" spans="4:11">
      <c r="D7786" s="4">
        <v>6908</v>
      </c>
      <c r="E7786" s="4" t="s">
        <v>223</v>
      </c>
      <c r="J7786" s="3" t="s">
        <v>8006</v>
      </c>
      <c r="K7786" s="3" t="s">
        <v>223</v>
      </c>
    </row>
    <row r="7787" ht="15.6" spans="4:11">
      <c r="D7787" s="4">
        <v>6927</v>
      </c>
      <c r="E7787" s="4" t="s">
        <v>223</v>
      </c>
      <c r="J7787" s="3" t="s">
        <v>8007</v>
      </c>
      <c r="K7787" s="3" t="s">
        <v>223</v>
      </c>
    </row>
    <row r="7788" ht="15.6" spans="4:11">
      <c r="D7788" s="4">
        <v>6928</v>
      </c>
      <c r="E7788" s="4" t="s">
        <v>223</v>
      </c>
      <c r="J7788" s="3" t="s">
        <v>8008</v>
      </c>
      <c r="K7788" s="3" t="s">
        <v>223</v>
      </c>
    </row>
    <row r="7789" ht="15.6" spans="4:11">
      <c r="D7789" s="4">
        <v>6930</v>
      </c>
      <c r="E7789" s="4" t="s">
        <v>223</v>
      </c>
      <c r="J7789" s="3" t="s">
        <v>8009</v>
      </c>
      <c r="K7789" s="3" t="s">
        <v>223</v>
      </c>
    </row>
    <row r="7790" ht="15.6" spans="4:11">
      <c r="D7790" s="4">
        <v>6937</v>
      </c>
      <c r="E7790" s="4" t="s">
        <v>223</v>
      </c>
      <c r="J7790" s="3" t="s">
        <v>8010</v>
      </c>
      <c r="K7790" s="3" t="s">
        <v>223</v>
      </c>
    </row>
    <row r="7791" ht="15.6" spans="4:11">
      <c r="D7791" s="4">
        <v>6938</v>
      </c>
      <c r="E7791" s="4" t="s">
        <v>223</v>
      </c>
      <c r="J7791" s="3" t="s">
        <v>8011</v>
      </c>
      <c r="K7791" s="3" t="s">
        <v>223</v>
      </c>
    </row>
    <row r="7792" ht="15.6" spans="4:11">
      <c r="D7792" s="4">
        <v>6940</v>
      </c>
      <c r="E7792" s="4" t="s">
        <v>223</v>
      </c>
      <c r="J7792" s="3" t="s">
        <v>8012</v>
      </c>
      <c r="K7792" s="3" t="s">
        <v>223</v>
      </c>
    </row>
    <row r="7793" ht="15.6" spans="4:11">
      <c r="D7793" s="4">
        <v>6948</v>
      </c>
      <c r="E7793" s="4" t="s">
        <v>223</v>
      </c>
      <c r="J7793" s="3" t="s">
        <v>8013</v>
      </c>
      <c r="K7793" s="3" t="s">
        <v>223</v>
      </c>
    </row>
    <row r="7794" ht="15.6" spans="4:11">
      <c r="D7794" s="4">
        <v>6949</v>
      </c>
      <c r="E7794" s="4" t="s">
        <v>223</v>
      </c>
      <c r="J7794" s="3" t="s">
        <v>8014</v>
      </c>
      <c r="K7794" s="3" t="s">
        <v>223</v>
      </c>
    </row>
    <row r="7795" ht="15.6" spans="4:11">
      <c r="D7795" s="4">
        <v>6950</v>
      </c>
      <c r="E7795" s="4" t="s">
        <v>223</v>
      </c>
      <c r="J7795" s="3" t="s">
        <v>8015</v>
      </c>
      <c r="K7795" s="3" t="s">
        <v>223</v>
      </c>
    </row>
    <row r="7796" ht="15.6" spans="4:11">
      <c r="D7796" s="4">
        <v>6962</v>
      </c>
      <c r="E7796" s="4" t="s">
        <v>223</v>
      </c>
      <c r="J7796" s="3" t="s">
        <v>8016</v>
      </c>
      <c r="K7796" s="3" t="s">
        <v>223</v>
      </c>
    </row>
    <row r="7797" ht="15.6" spans="4:11">
      <c r="D7797" s="4">
        <v>6971</v>
      </c>
      <c r="E7797" s="4" t="s">
        <v>223</v>
      </c>
      <c r="J7797" s="3" t="s">
        <v>8017</v>
      </c>
      <c r="K7797" s="3" t="s">
        <v>223</v>
      </c>
    </row>
    <row r="7798" ht="15.6" spans="4:11">
      <c r="D7798" s="4">
        <v>6972</v>
      </c>
      <c r="E7798" s="4" t="s">
        <v>223</v>
      </c>
      <c r="J7798" s="3" t="s">
        <v>8018</v>
      </c>
      <c r="K7798" s="3" t="s">
        <v>223</v>
      </c>
    </row>
    <row r="7799" ht="15.6" spans="4:11">
      <c r="D7799" s="4">
        <v>6973</v>
      </c>
      <c r="E7799" s="4" t="s">
        <v>223</v>
      </c>
      <c r="J7799" s="3" t="s">
        <v>8019</v>
      </c>
      <c r="K7799" s="3" t="s">
        <v>223</v>
      </c>
    </row>
    <row r="7800" ht="15.6" spans="4:11">
      <c r="D7800" s="4">
        <v>6974</v>
      </c>
      <c r="E7800" s="4" t="s">
        <v>223</v>
      </c>
      <c r="J7800" s="3" t="s">
        <v>8020</v>
      </c>
      <c r="K7800" s="3" t="s">
        <v>223</v>
      </c>
    </row>
    <row r="7801" ht="15.6" spans="4:11">
      <c r="D7801" s="4">
        <v>6975</v>
      </c>
      <c r="E7801" s="4" t="s">
        <v>223</v>
      </c>
      <c r="J7801" s="3" t="s">
        <v>8021</v>
      </c>
      <c r="K7801" s="3" t="s">
        <v>223</v>
      </c>
    </row>
    <row r="7802" ht="15.6" spans="4:11">
      <c r="D7802" s="4">
        <v>6976</v>
      </c>
      <c r="E7802" s="4" t="s">
        <v>223</v>
      </c>
      <c r="J7802" s="3" t="s">
        <v>8022</v>
      </c>
      <c r="K7802" s="3" t="s">
        <v>223</v>
      </c>
    </row>
    <row r="7803" ht="15.6" spans="4:11">
      <c r="D7803" s="4">
        <v>6977</v>
      </c>
      <c r="E7803" s="4" t="s">
        <v>223</v>
      </c>
      <c r="J7803" s="3" t="s">
        <v>8023</v>
      </c>
      <c r="K7803" s="3" t="s">
        <v>223</v>
      </c>
    </row>
    <row r="7804" ht="15.6" spans="4:11">
      <c r="D7804" s="4">
        <v>6978</v>
      </c>
      <c r="E7804" s="4" t="s">
        <v>223</v>
      </c>
      <c r="J7804" s="3" t="s">
        <v>8024</v>
      </c>
      <c r="K7804" s="3" t="s">
        <v>223</v>
      </c>
    </row>
    <row r="7805" ht="15.6" spans="4:11">
      <c r="D7805" s="4">
        <v>6980</v>
      </c>
      <c r="E7805" s="4" t="s">
        <v>223</v>
      </c>
      <c r="J7805" s="3" t="s">
        <v>8025</v>
      </c>
      <c r="K7805" s="3" t="s">
        <v>223</v>
      </c>
    </row>
    <row r="7806" ht="15.6" spans="4:11">
      <c r="D7806" s="4">
        <v>6993</v>
      </c>
      <c r="E7806" s="4" t="s">
        <v>223</v>
      </c>
      <c r="J7806" s="3" t="s">
        <v>8026</v>
      </c>
      <c r="K7806" s="3" t="s">
        <v>223</v>
      </c>
    </row>
    <row r="7807" ht="15.6" spans="4:11">
      <c r="D7807" s="4">
        <v>6994</v>
      </c>
      <c r="E7807" s="4" t="s">
        <v>223</v>
      </c>
      <c r="J7807" s="3" t="s">
        <v>8027</v>
      </c>
      <c r="K7807" s="3" t="s">
        <v>223</v>
      </c>
    </row>
    <row r="7808" ht="15.6" spans="4:11">
      <c r="D7808" s="4">
        <v>6995</v>
      </c>
      <c r="E7808" s="4" t="s">
        <v>223</v>
      </c>
      <c r="J7808" s="3" t="s">
        <v>8028</v>
      </c>
      <c r="K7808" s="3" t="s">
        <v>223</v>
      </c>
    </row>
    <row r="7809" ht="15.6" spans="4:11">
      <c r="D7809" s="4">
        <v>6996</v>
      </c>
      <c r="E7809" s="4" t="s">
        <v>223</v>
      </c>
      <c r="J7809" s="3" t="s">
        <v>8029</v>
      </c>
      <c r="K7809" s="3" t="s">
        <v>223</v>
      </c>
    </row>
    <row r="7810" ht="15.6" spans="4:11">
      <c r="D7810" s="4">
        <v>7000</v>
      </c>
      <c r="E7810" s="4" t="s">
        <v>223</v>
      </c>
      <c r="J7810" s="3" t="s">
        <v>8030</v>
      </c>
      <c r="K7810" s="3" t="s">
        <v>223</v>
      </c>
    </row>
    <row r="7811" ht="15.6" spans="4:11">
      <c r="D7811" s="4">
        <v>7001</v>
      </c>
      <c r="E7811" s="4" t="s">
        <v>223</v>
      </c>
      <c r="J7811" s="3" t="s">
        <v>8031</v>
      </c>
      <c r="K7811" s="3" t="s">
        <v>223</v>
      </c>
    </row>
    <row r="7812" ht="15.6" spans="4:11">
      <c r="D7812" s="4">
        <v>7002</v>
      </c>
      <c r="E7812" s="4" t="s">
        <v>223</v>
      </c>
      <c r="J7812" s="3" t="s">
        <v>8032</v>
      </c>
      <c r="K7812" s="3" t="s">
        <v>223</v>
      </c>
    </row>
    <row r="7813" ht="15.6" spans="4:11">
      <c r="D7813" s="4">
        <v>7003</v>
      </c>
      <c r="E7813" s="4" t="s">
        <v>223</v>
      </c>
      <c r="J7813" s="3" t="s">
        <v>8033</v>
      </c>
      <c r="K7813" s="3" t="s">
        <v>223</v>
      </c>
    </row>
    <row r="7814" ht="15.6" spans="4:11">
      <c r="D7814" s="4">
        <v>7004</v>
      </c>
      <c r="E7814" s="4" t="s">
        <v>223</v>
      </c>
      <c r="J7814" s="3" t="s">
        <v>8034</v>
      </c>
      <c r="K7814" s="3" t="s">
        <v>223</v>
      </c>
    </row>
    <row r="7815" ht="15.6" spans="4:11">
      <c r="D7815" s="4">
        <v>7005</v>
      </c>
      <c r="E7815" s="4" t="s">
        <v>223</v>
      </c>
      <c r="J7815" s="3" t="s">
        <v>8035</v>
      </c>
      <c r="K7815" s="3" t="s">
        <v>223</v>
      </c>
    </row>
    <row r="7816" ht="15.6" spans="4:11">
      <c r="D7816" s="4">
        <v>7006</v>
      </c>
      <c r="E7816" s="4" t="s">
        <v>223</v>
      </c>
      <c r="J7816" s="3" t="s">
        <v>8036</v>
      </c>
      <c r="K7816" s="3" t="s">
        <v>223</v>
      </c>
    </row>
    <row r="7817" ht="15.6" spans="4:11">
      <c r="D7817" s="4">
        <v>7007</v>
      </c>
      <c r="E7817" s="4" t="s">
        <v>223</v>
      </c>
      <c r="J7817" s="3" t="s">
        <v>8037</v>
      </c>
      <c r="K7817" s="3" t="s">
        <v>223</v>
      </c>
    </row>
    <row r="7818" ht="15.6" spans="4:11">
      <c r="D7818" s="4">
        <v>7008</v>
      </c>
      <c r="E7818" s="4" t="s">
        <v>223</v>
      </c>
      <c r="J7818" s="3" t="s">
        <v>8038</v>
      </c>
      <c r="K7818" s="3" t="s">
        <v>223</v>
      </c>
    </row>
    <row r="7819" ht="15.6" spans="4:11">
      <c r="D7819" s="4">
        <v>7009</v>
      </c>
      <c r="E7819" s="4" t="s">
        <v>223</v>
      </c>
      <c r="J7819" s="3" t="s">
        <v>8039</v>
      </c>
      <c r="K7819" s="3" t="s">
        <v>223</v>
      </c>
    </row>
    <row r="7820" ht="15.6" spans="4:11">
      <c r="D7820" s="4">
        <v>7010</v>
      </c>
      <c r="E7820" s="4" t="s">
        <v>223</v>
      </c>
      <c r="J7820" s="3" t="s">
        <v>8040</v>
      </c>
      <c r="K7820" s="3" t="s">
        <v>223</v>
      </c>
    </row>
    <row r="7821" ht="15.6" spans="4:11">
      <c r="D7821" s="4">
        <v>7011</v>
      </c>
      <c r="E7821" s="4" t="s">
        <v>223</v>
      </c>
      <c r="J7821" s="3" t="s">
        <v>8041</v>
      </c>
      <c r="K7821" s="3" t="s">
        <v>223</v>
      </c>
    </row>
    <row r="7822" ht="15.6" spans="4:11">
      <c r="D7822" s="4">
        <v>7012</v>
      </c>
      <c r="E7822" s="4" t="s">
        <v>223</v>
      </c>
      <c r="J7822" s="3" t="s">
        <v>8042</v>
      </c>
      <c r="K7822" s="3" t="s">
        <v>223</v>
      </c>
    </row>
    <row r="7823" ht="15.6" spans="4:11">
      <c r="D7823" s="4">
        <v>7013</v>
      </c>
      <c r="E7823" s="4" t="s">
        <v>223</v>
      </c>
      <c r="J7823" s="3" t="s">
        <v>8043</v>
      </c>
      <c r="K7823" s="3" t="s">
        <v>223</v>
      </c>
    </row>
    <row r="7824" ht="15.6" spans="4:11">
      <c r="D7824" s="4">
        <v>7014</v>
      </c>
      <c r="E7824" s="4" t="s">
        <v>223</v>
      </c>
      <c r="J7824" s="3" t="s">
        <v>8044</v>
      </c>
      <c r="K7824" s="3" t="s">
        <v>223</v>
      </c>
    </row>
    <row r="7825" ht="15.6" spans="4:11">
      <c r="D7825" s="4">
        <v>7015</v>
      </c>
      <c r="E7825" s="4" t="s">
        <v>223</v>
      </c>
      <c r="J7825" s="3" t="s">
        <v>8045</v>
      </c>
      <c r="K7825" s="3" t="s">
        <v>223</v>
      </c>
    </row>
    <row r="7826" ht="15.6" spans="4:11">
      <c r="D7826" s="4">
        <v>7016</v>
      </c>
      <c r="E7826" s="4" t="s">
        <v>223</v>
      </c>
      <c r="J7826" s="3" t="s">
        <v>8046</v>
      </c>
      <c r="K7826" s="3" t="s">
        <v>223</v>
      </c>
    </row>
    <row r="7827" ht="15.6" spans="4:11">
      <c r="D7827" s="4">
        <v>7017</v>
      </c>
      <c r="E7827" s="4" t="s">
        <v>223</v>
      </c>
      <c r="J7827" s="3" t="s">
        <v>8047</v>
      </c>
      <c r="K7827" s="3" t="s">
        <v>223</v>
      </c>
    </row>
    <row r="7828" ht="15.6" spans="4:11">
      <c r="D7828" s="4">
        <v>7018</v>
      </c>
      <c r="E7828" s="4" t="s">
        <v>223</v>
      </c>
      <c r="J7828" s="3" t="s">
        <v>8048</v>
      </c>
      <c r="K7828" s="3" t="s">
        <v>223</v>
      </c>
    </row>
    <row r="7829" ht="15.6" spans="4:11">
      <c r="D7829" s="4">
        <v>7019</v>
      </c>
      <c r="E7829" s="4" t="s">
        <v>223</v>
      </c>
      <c r="J7829" s="3" t="s">
        <v>8049</v>
      </c>
      <c r="K7829" s="3" t="s">
        <v>223</v>
      </c>
    </row>
    <row r="7830" ht="15.6" spans="4:11">
      <c r="D7830" s="4">
        <v>7020</v>
      </c>
      <c r="E7830" s="4" t="s">
        <v>223</v>
      </c>
      <c r="J7830" s="3" t="s">
        <v>8050</v>
      </c>
      <c r="K7830" s="3" t="s">
        <v>223</v>
      </c>
    </row>
    <row r="7831" ht="15.6" spans="4:11">
      <c r="D7831" s="4">
        <v>7021</v>
      </c>
      <c r="E7831" s="4" t="s">
        <v>223</v>
      </c>
      <c r="J7831" s="3" t="s">
        <v>8051</v>
      </c>
      <c r="K7831" s="3" t="s">
        <v>223</v>
      </c>
    </row>
    <row r="7832" ht="15.6" spans="4:11">
      <c r="D7832" s="4">
        <v>7022</v>
      </c>
      <c r="E7832" s="4" t="s">
        <v>223</v>
      </c>
      <c r="J7832" s="3" t="s">
        <v>8052</v>
      </c>
      <c r="K7832" s="3" t="s">
        <v>223</v>
      </c>
    </row>
    <row r="7833" ht="15.6" spans="4:11">
      <c r="D7833" s="4">
        <v>7023</v>
      </c>
      <c r="E7833" s="4" t="s">
        <v>223</v>
      </c>
      <c r="J7833" s="3" t="s">
        <v>8053</v>
      </c>
      <c r="K7833" s="3" t="s">
        <v>223</v>
      </c>
    </row>
    <row r="7834" ht="15.6" spans="4:11">
      <c r="D7834" s="4">
        <v>7024</v>
      </c>
      <c r="E7834" s="4" t="s">
        <v>223</v>
      </c>
      <c r="J7834" s="3" t="s">
        <v>8054</v>
      </c>
      <c r="K7834" s="3" t="s">
        <v>223</v>
      </c>
    </row>
    <row r="7835" ht="15.6" spans="4:11">
      <c r="D7835" s="4">
        <v>7025</v>
      </c>
      <c r="E7835" s="4" t="s">
        <v>223</v>
      </c>
      <c r="J7835" s="3" t="s">
        <v>8055</v>
      </c>
      <c r="K7835" s="3" t="s">
        <v>223</v>
      </c>
    </row>
    <row r="7836" ht="15.6" spans="4:11">
      <c r="D7836" s="4">
        <v>7026</v>
      </c>
      <c r="E7836" s="4" t="s">
        <v>223</v>
      </c>
      <c r="J7836" s="3" t="s">
        <v>8056</v>
      </c>
      <c r="K7836" s="3" t="s">
        <v>223</v>
      </c>
    </row>
    <row r="7837" ht="15.6" spans="4:11">
      <c r="D7837" s="4">
        <v>7027</v>
      </c>
      <c r="E7837" s="4" t="s">
        <v>223</v>
      </c>
      <c r="J7837" s="3" t="s">
        <v>8057</v>
      </c>
      <c r="K7837" s="3" t="s">
        <v>223</v>
      </c>
    </row>
    <row r="7838" ht="15.6" spans="4:11">
      <c r="D7838" s="4">
        <v>7028</v>
      </c>
      <c r="E7838" s="4" t="s">
        <v>223</v>
      </c>
      <c r="J7838" s="3" t="s">
        <v>8058</v>
      </c>
      <c r="K7838" s="3" t="s">
        <v>223</v>
      </c>
    </row>
    <row r="7839" ht="15.6" spans="4:11">
      <c r="D7839" s="4">
        <v>7029</v>
      </c>
      <c r="E7839" s="4" t="s">
        <v>223</v>
      </c>
      <c r="J7839" s="3" t="s">
        <v>8059</v>
      </c>
      <c r="K7839" s="3" t="s">
        <v>223</v>
      </c>
    </row>
    <row r="7840" ht="15.6" spans="4:11">
      <c r="D7840" s="4">
        <v>7030</v>
      </c>
      <c r="E7840" s="4" t="s">
        <v>223</v>
      </c>
      <c r="J7840" s="3" t="s">
        <v>8060</v>
      </c>
      <c r="K7840" s="3" t="s">
        <v>223</v>
      </c>
    </row>
    <row r="7841" ht="15.6" spans="4:11">
      <c r="D7841" s="4">
        <v>7031</v>
      </c>
      <c r="E7841" s="4" t="s">
        <v>223</v>
      </c>
      <c r="J7841" s="3" t="s">
        <v>8061</v>
      </c>
      <c r="K7841" s="3" t="s">
        <v>223</v>
      </c>
    </row>
    <row r="7842" ht="15.6" spans="4:11">
      <c r="D7842" s="4">
        <v>7032</v>
      </c>
      <c r="E7842" s="4" t="s">
        <v>223</v>
      </c>
      <c r="J7842" s="3" t="s">
        <v>8062</v>
      </c>
      <c r="K7842" s="3" t="s">
        <v>223</v>
      </c>
    </row>
    <row r="7843" ht="15.6" spans="4:11">
      <c r="D7843" s="4">
        <v>7033</v>
      </c>
      <c r="E7843" s="4" t="s">
        <v>223</v>
      </c>
      <c r="J7843" s="3" t="s">
        <v>8063</v>
      </c>
      <c r="K7843" s="3" t="s">
        <v>223</v>
      </c>
    </row>
    <row r="7844" ht="15.6" spans="4:11">
      <c r="D7844" s="4">
        <v>7034</v>
      </c>
      <c r="E7844" s="4" t="s">
        <v>223</v>
      </c>
      <c r="J7844" s="3" t="s">
        <v>8064</v>
      </c>
      <c r="K7844" s="3" t="s">
        <v>223</v>
      </c>
    </row>
    <row r="7845" ht="15.6" spans="4:11">
      <c r="D7845" s="4">
        <v>7035</v>
      </c>
      <c r="E7845" s="4" t="s">
        <v>223</v>
      </c>
      <c r="J7845" s="3" t="s">
        <v>8065</v>
      </c>
      <c r="K7845" s="3" t="s">
        <v>223</v>
      </c>
    </row>
    <row r="7846" ht="15.6" spans="4:11">
      <c r="D7846" s="4">
        <v>7036</v>
      </c>
      <c r="E7846" s="4" t="s">
        <v>223</v>
      </c>
      <c r="J7846" s="3" t="s">
        <v>8066</v>
      </c>
      <c r="K7846" s="3" t="s">
        <v>223</v>
      </c>
    </row>
    <row r="7847" ht="15.6" spans="4:11">
      <c r="D7847" s="4">
        <v>7037</v>
      </c>
      <c r="E7847" s="4" t="s">
        <v>223</v>
      </c>
      <c r="J7847" s="3" t="s">
        <v>8067</v>
      </c>
      <c r="K7847" s="3" t="s">
        <v>223</v>
      </c>
    </row>
    <row r="7848" ht="15.6" spans="4:11">
      <c r="D7848" s="4">
        <v>7038</v>
      </c>
      <c r="E7848" s="4" t="s">
        <v>223</v>
      </c>
      <c r="J7848" s="3" t="s">
        <v>8068</v>
      </c>
      <c r="K7848" s="3" t="s">
        <v>223</v>
      </c>
    </row>
    <row r="7849" ht="15.6" spans="4:11">
      <c r="D7849" s="4">
        <v>7039</v>
      </c>
      <c r="E7849" s="4" t="s">
        <v>223</v>
      </c>
      <c r="J7849" s="3" t="s">
        <v>8069</v>
      </c>
      <c r="K7849" s="3" t="s">
        <v>223</v>
      </c>
    </row>
    <row r="7850" ht="15.6" spans="4:11">
      <c r="D7850" s="4">
        <v>7040</v>
      </c>
      <c r="E7850" s="4" t="s">
        <v>223</v>
      </c>
      <c r="J7850" s="3" t="s">
        <v>8070</v>
      </c>
      <c r="K7850" s="3" t="s">
        <v>223</v>
      </c>
    </row>
    <row r="7851" ht="15.6" spans="4:11">
      <c r="D7851" s="4">
        <v>7041</v>
      </c>
      <c r="E7851" s="4" t="s">
        <v>223</v>
      </c>
      <c r="J7851" s="3" t="s">
        <v>8071</v>
      </c>
      <c r="K7851" s="3" t="s">
        <v>223</v>
      </c>
    </row>
    <row r="7852" ht="15.6" spans="4:11">
      <c r="D7852" s="4">
        <v>7042</v>
      </c>
      <c r="E7852" s="4" t="s">
        <v>223</v>
      </c>
      <c r="J7852" s="3" t="s">
        <v>8072</v>
      </c>
      <c r="K7852" s="3" t="s">
        <v>223</v>
      </c>
    </row>
    <row r="7853" ht="15.6" spans="4:11">
      <c r="D7853" s="4">
        <v>7043</v>
      </c>
      <c r="E7853" s="4" t="s">
        <v>223</v>
      </c>
      <c r="J7853" s="3" t="s">
        <v>8073</v>
      </c>
      <c r="K7853" s="3" t="s">
        <v>223</v>
      </c>
    </row>
    <row r="7854" ht="15.6" spans="4:11">
      <c r="D7854" s="4">
        <v>7044</v>
      </c>
      <c r="E7854" s="4" t="s">
        <v>223</v>
      </c>
      <c r="J7854" s="3" t="s">
        <v>8074</v>
      </c>
      <c r="K7854" s="3" t="s">
        <v>223</v>
      </c>
    </row>
    <row r="7855" ht="15.6" spans="4:11">
      <c r="D7855" s="4">
        <v>7045</v>
      </c>
      <c r="E7855" s="4" t="s">
        <v>223</v>
      </c>
      <c r="J7855" s="3" t="s">
        <v>8075</v>
      </c>
      <c r="K7855" s="3" t="s">
        <v>223</v>
      </c>
    </row>
    <row r="7856" ht="15.6" spans="4:11">
      <c r="D7856" s="4">
        <v>7046</v>
      </c>
      <c r="E7856" s="4" t="s">
        <v>223</v>
      </c>
      <c r="J7856" s="3" t="s">
        <v>8076</v>
      </c>
      <c r="K7856" s="3" t="s">
        <v>223</v>
      </c>
    </row>
    <row r="7857" ht="15.6" spans="4:11">
      <c r="D7857" s="4">
        <v>7047</v>
      </c>
      <c r="E7857" s="4" t="s">
        <v>223</v>
      </c>
      <c r="J7857" s="3" t="s">
        <v>8077</v>
      </c>
      <c r="K7857" s="3" t="s">
        <v>223</v>
      </c>
    </row>
    <row r="7858" ht="15.6" spans="4:11">
      <c r="D7858" s="4">
        <v>7048</v>
      </c>
      <c r="E7858" s="4" t="s">
        <v>223</v>
      </c>
      <c r="J7858" s="3" t="s">
        <v>8078</v>
      </c>
      <c r="K7858" s="3" t="s">
        <v>223</v>
      </c>
    </row>
    <row r="7859" ht="15.6" spans="4:11">
      <c r="D7859" s="4">
        <v>7049</v>
      </c>
      <c r="E7859" s="4" t="s">
        <v>223</v>
      </c>
      <c r="J7859" s="3" t="s">
        <v>8079</v>
      </c>
      <c r="K7859" s="3" t="s">
        <v>223</v>
      </c>
    </row>
    <row r="7860" ht="15.6" spans="4:11">
      <c r="D7860" s="4">
        <v>7050</v>
      </c>
      <c r="E7860" s="4" t="s">
        <v>223</v>
      </c>
      <c r="J7860" s="3" t="s">
        <v>8080</v>
      </c>
      <c r="K7860" s="3" t="s">
        <v>223</v>
      </c>
    </row>
    <row r="7861" ht="15.6" spans="4:11">
      <c r="D7861" s="4">
        <v>7051</v>
      </c>
      <c r="E7861" s="4" t="s">
        <v>223</v>
      </c>
      <c r="J7861" s="3" t="s">
        <v>8081</v>
      </c>
      <c r="K7861" s="3" t="s">
        <v>223</v>
      </c>
    </row>
    <row r="7862" ht="15.6" spans="4:11">
      <c r="D7862" s="4">
        <v>7052</v>
      </c>
      <c r="E7862" s="4" t="s">
        <v>223</v>
      </c>
      <c r="J7862" s="3" t="s">
        <v>8082</v>
      </c>
      <c r="K7862" s="3" t="s">
        <v>223</v>
      </c>
    </row>
    <row r="7863" ht="15.6" spans="4:11">
      <c r="D7863" s="4">
        <v>7053</v>
      </c>
      <c r="E7863" s="4" t="s">
        <v>223</v>
      </c>
      <c r="J7863" s="3" t="s">
        <v>8083</v>
      </c>
      <c r="K7863" s="3" t="s">
        <v>223</v>
      </c>
    </row>
    <row r="7864" ht="15.6" spans="4:11">
      <c r="D7864" s="4">
        <v>7054</v>
      </c>
      <c r="E7864" s="4" t="s">
        <v>223</v>
      </c>
      <c r="J7864" s="3" t="s">
        <v>8084</v>
      </c>
      <c r="K7864" s="3" t="s">
        <v>223</v>
      </c>
    </row>
    <row r="7865" ht="15.6" spans="4:11">
      <c r="D7865" s="4">
        <v>7055</v>
      </c>
      <c r="E7865" s="4" t="s">
        <v>223</v>
      </c>
      <c r="J7865" s="3" t="s">
        <v>8085</v>
      </c>
      <c r="K7865" s="3" t="s">
        <v>223</v>
      </c>
    </row>
    <row r="7866" ht="15.6" spans="4:11">
      <c r="D7866" s="4">
        <v>7056</v>
      </c>
      <c r="E7866" s="4" t="s">
        <v>223</v>
      </c>
      <c r="J7866" s="3" t="s">
        <v>8086</v>
      </c>
      <c r="K7866" s="3" t="s">
        <v>223</v>
      </c>
    </row>
    <row r="7867" ht="15.6" spans="4:11">
      <c r="D7867" s="4">
        <v>7057</v>
      </c>
      <c r="E7867" s="4" t="s">
        <v>223</v>
      </c>
      <c r="J7867" s="3" t="s">
        <v>8087</v>
      </c>
      <c r="K7867" s="3" t="s">
        <v>223</v>
      </c>
    </row>
    <row r="7868" ht="15.6" spans="4:11">
      <c r="D7868" s="4">
        <v>7058</v>
      </c>
      <c r="E7868" s="4" t="s">
        <v>223</v>
      </c>
      <c r="J7868" s="3" t="s">
        <v>8088</v>
      </c>
      <c r="K7868" s="3" t="s">
        <v>223</v>
      </c>
    </row>
    <row r="7869" ht="15.6" spans="4:11">
      <c r="D7869" s="4">
        <v>7059</v>
      </c>
      <c r="E7869" s="4" t="s">
        <v>223</v>
      </c>
      <c r="J7869" s="3" t="s">
        <v>8089</v>
      </c>
      <c r="K7869" s="3" t="s">
        <v>223</v>
      </c>
    </row>
    <row r="7870" ht="15.6" spans="4:11">
      <c r="D7870" s="4">
        <v>7060</v>
      </c>
      <c r="E7870" s="4" t="s">
        <v>223</v>
      </c>
      <c r="J7870" s="3" t="s">
        <v>8090</v>
      </c>
      <c r="K7870" s="3" t="s">
        <v>223</v>
      </c>
    </row>
    <row r="7871" ht="15.6" spans="4:11">
      <c r="D7871" s="4">
        <v>7061</v>
      </c>
      <c r="E7871" s="4" t="s">
        <v>223</v>
      </c>
      <c r="J7871" s="3" t="s">
        <v>8091</v>
      </c>
      <c r="K7871" s="3" t="s">
        <v>223</v>
      </c>
    </row>
    <row r="7872" ht="15.6" spans="4:11">
      <c r="D7872" s="4">
        <v>7062</v>
      </c>
      <c r="E7872" s="4" t="s">
        <v>223</v>
      </c>
      <c r="J7872" s="3" t="s">
        <v>8092</v>
      </c>
      <c r="K7872" s="3" t="s">
        <v>223</v>
      </c>
    </row>
    <row r="7873" ht="15.6" spans="4:11">
      <c r="D7873" s="4">
        <v>7063</v>
      </c>
      <c r="E7873" s="4" t="s">
        <v>223</v>
      </c>
      <c r="J7873" s="3" t="s">
        <v>8093</v>
      </c>
      <c r="K7873" s="3" t="s">
        <v>223</v>
      </c>
    </row>
    <row r="7874" ht="15.6" spans="4:11">
      <c r="D7874" s="4">
        <v>7064</v>
      </c>
      <c r="E7874" s="4" t="s">
        <v>223</v>
      </c>
      <c r="J7874" s="3" t="s">
        <v>8094</v>
      </c>
      <c r="K7874" s="3" t="s">
        <v>223</v>
      </c>
    </row>
    <row r="7875" ht="15.6" spans="4:11">
      <c r="D7875" s="4">
        <v>7065</v>
      </c>
      <c r="E7875" s="4" t="s">
        <v>223</v>
      </c>
      <c r="J7875" s="3" t="s">
        <v>8095</v>
      </c>
      <c r="K7875" s="3" t="s">
        <v>223</v>
      </c>
    </row>
    <row r="7876" ht="15.6" spans="4:11">
      <c r="D7876" s="4">
        <v>7066</v>
      </c>
      <c r="E7876" s="4" t="s">
        <v>223</v>
      </c>
      <c r="J7876" s="3" t="s">
        <v>8096</v>
      </c>
      <c r="K7876" s="3" t="s">
        <v>223</v>
      </c>
    </row>
    <row r="7877" ht="15.6" spans="4:11">
      <c r="D7877" s="4">
        <v>7067</v>
      </c>
      <c r="E7877" s="4" t="s">
        <v>223</v>
      </c>
      <c r="J7877" s="3" t="s">
        <v>8097</v>
      </c>
      <c r="K7877" s="3" t="s">
        <v>223</v>
      </c>
    </row>
    <row r="7878" ht="15.6" spans="4:11">
      <c r="D7878" s="4">
        <v>7068</v>
      </c>
      <c r="E7878" s="4" t="s">
        <v>223</v>
      </c>
      <c r="J7878" s="3" t="s">
        <v>8098</v>
      </c>
      <c r="K7878" s="3" t="s">
        <v>223</v>
      </c>
    </row>
    <row r="7879" ht="15.6" spans="4:11">
      <c r="D7879" s="4">
        <v>7069</v>
      </c>
      <c r="E7879" s="4" t="s">
        <v>223</v>
      </c>
      <c r="J7879" s="3" t="s">
        <v>8099</v>
      </c>
      <c r="K7879" s="3" t="s">
        <v>223</v>
      </c>
    </row>
    <row r="7880" ht="15.6" spans="4:11">
      <c r="D7880" s="4">
        <v>7070</v>
      </c>
      <c r="E7880" s="4" t="s">
        <v>223</v>
      </c>
      <c r="J7880" s="3" t="s">
        <v>8100</v>
      </c>
      <c r="K7880" s="3" t="s">
        <v>223</v>
      </c>
    </row>
    <row r="7881" ht="15.6" spans="4:11">
      <c r="D7881" s="4">
        <v>7071</v>
      </c>
      <c r="E7881" s="4" t="s">
        <v>223</v>
      </c>
      <c r="J7881" s="3" t="s">
        <v>8101</v>
      </c>
      <c r="K7881" s="3" t="s">
        <v>223</v>
      </c>
    </row>
    <row r="7882" ht="15.6" spans="4:11">
      <c r="D7882" s="4">
        <v>7072</v>
      </c>
      <c r="E7882" s="4" t="s">
        <v>223</v>
      </c>
      <c r="J7882" s="3" t="s">
        <v>8102</v>
      </c>
      <c r="K7882" s="3" t="s">
        <v>223</v>
      </c>
    </row>
    <row r="7883" ht="15.6" spans="4:11">
      <c r="D7883" s="4">
        <v>7073</v>
      </c>
      <c r="E7883" s="4" t="s">
        <v>223</v>
      </c>
      <c r="J7883" s="3" t="s">
        <v>8103</v>
      </c>
      <c r="K7883" s="3" t="s">
        <v>223</v>
      </c>
    </row>
    <row r="7884" ht="15.6" spans="4:11">
      <c r="D7884" s="4">
        <v>7074</v>
      </c>
      <c r="E7884" s="4" t="s">
        <v>223</v>
      </c>
      <c r="J7884" s="3" t="s">
        <v>8104</v>
      </c>
      <c r="K7884" s="3" t="s">
        <v>223</v>
      </c>
    </row>
    <row r="7885" ht="15.6" spans="4:11">
      <c r="D7885" s="4">
        <v>7075</v>
      </c>
      <c r="E7885" s="4" t="s">
        <v>223</v>
      </c>
      <c r="J7885" s="3" t="s">
        <v>8105</v>
      </c>
      <c r="K7885" s="3" t="s">
        <v>223</v>
      </c>
    </row>
    <row r="7886" ht="15.6" spans="4:11">
      <c r="D7886" s="4">
        <v>7076</v>
      </c>
      <c r="E7886" s="4" t="s">
        <v>223</v>
      </c>
      <c r="J7886" s="3" t="s">
        <v>8106</v>
      </c>
      <c r="K7886" s="3" t="s">
        <v>223</v>
      </c>
    </row>
    <row r="7887" ht="15.6" spans="4:11">
      <c r="D7887" s="4">
        <v>7077</v>
      </c>
      <c r="E7887" s="4" t="s">
        <v>223</v>
      </c>
      <c r="J7887" s="3" t="s">
        <v>8107</v>
      </c>
      <c r="K7887" s="3" t="s">
        <v>223</v>
      </c>
    </row>
    <row r="7888" ht="15.6" spans="4:11">
      <c r="D7888" s="4">
        <v>7078</v>
      </c>
      <c r="E7888" s="4" t="s">
        <v>223</v>
      </c>
      <c r="J7888" s="3" t="s">
        <v>8108</v>
      </c>
      <c r="K7888" s="3" t="s">
        <v>223</v>
      </c>
    </row>
    <row r="7889" ht="15.6" spans="4:11">
      <c r="D7889" s="4">
        <v>7079</v>
      </c>
      <c r="E7889" s="4" t="s">
        <v>223</v>
      </c>
      <c r="J7889" s="3" t="s">
        <v>8109</v>
      </c>
      <c r="K7889" s="3" t="s">
        <v>223</v>
      </c>
    </row>
    <row r="7890" ht="15.6" spans="4:11">
      <c r="D7890" s="4">
        <v>7080</v>
      </c>
      <c r="E7890" s="4" t="s">
        <v>223</v>
      </c>
      <c r="J7890" s="3" t="s">
        <v>8110</v>
      </c>
      <c r="K7890" s="3" t="s">
        <v>223</v>
      </c>
    </row>
    <row r="7891" ht="15.6" spans="4:11">
      <c r="D7891" s="4">
        <v>7081</v>
      </c>
      <c r="E7891" s="4" t="s">
        <v>223</v>
      </c>
      <c r="J7891" s="3" t="s">
        <v>8111</v>
      </c>
      <c r="K7891" s="3" t="s">
        <v>223</v>
      </c>
    </row>
    <row r="7892" ht="15.6" spans="4:11">
      <c r="D7892" s="4">
        <v>7082</v>
      </c>
      <c r="E7892" s="4" t="s">
        <v>223</v>
      </c>
      <c r="J7892" s="3" t="s">
        <v>8112</v>
      </c>
      <c r="K7892" s="3" t="s">
        <v>223</v>
      </c>
    </row>
    <row r="7893" ht="15.6" spans="4:11">
      <c r="D7893" s="4">
        <v>7083</v>
      </c>
      <c r="E7893" s="4" t="s">
        <v>223</v>
      </c>
      <c r="J7893" s="3" t="s">
        <v>8113</v>
      </c>
      <c r="K7893" s="3" t="s">
        <v>223</v>
      </c>
    </row>
    <row r="7894" ht="15.6" spans="4:11">
      <c r="D7894" s="4">
        <v>7084</v>
      </c>
      <c r="E7894" s="4" t="s">
        <v>223</v>
      </c>
      <c r="J7894" s="3" t="s">
        <v>8114</v>
      </c>
      <c r="K7894" s="3" t="s">
        <v>223</v>
      </c>
    </row>
    <row r="7895" ht="15.6" spans="4:11">
      <c r="D7895" s="4">
        <v>7085</v>
      </c>
      <c r="E7895" s="4" t="s">
        <v>223</v>
      </c>
      <c r="J7895" s="3" t="s">
        <v>8115</v>
      </c>
      <c r="K7895" s="3" t="s">
        <v>223</v>
      </c>
    </row>
    <row r="7896" ht="15.6" spans="4:11">
      <c r="D7896" s="4">
        <v>7086</v>
      </c>
      <c r="E7896" s="4" t="s">
        <v>223</v>
      </c>
      <c r="J7896" s="3" t="s">
        <v>8116</v>
      </c>
      <c r="K7896" s="3" t="s">
        <v>223</v>
      </c>
    </row>
    <row r="7897" ht="15.6" spans="4:11">
      <c r="D7897" s="4">
        <v>7087</v>
      </c>
      <c r="E7897" s="4" t="s">
        <v>223</v>
      </c>
      <c r="J7897" s="3" t="s">
        <v>8117</v>
      </c>
      <c r="K7897" s="3" t="s">
        <v>223</v>
      </c>
    </row>
    <row r="7898" ht="15.6" spans="4:11">
      <c r="D7898" s="4">
        <v>7088</v>
      </c>
      <c r="E7898" s="4" t="s">
        <v>223</v>
      </c>
      <c r="J7898" s="3" t="s">
        <v>8118</v>
      </c>
      <c r="K7898" s="3" t="s">
        <v>223</v>
      </c>
    </row>
    <row r="7899" ht="15.6" spans="4:11">
      <c r="D7899" s="4">
        <v>7089</v>
      </c>
      <c r="E7899" s="4" t="s">
        <v>223</v>
      </c>
      <c r="J7899" s="3" t="s">
        <v>8119</v>
      </c>
      <c r="K7899" s="3" t="s">
        <v>223</v>
      </c>
    </row>
    <row r="7900" ht="15.6" spans="4:11">
      <c r="D7900" s="4">
        <v>7090</v>
      </c>
      <c r="E7900" s="4" t="s">
        <v>223</v>
      </c>
      <c r="J7900" s="3" t="s">
        <v>8120</v>
      </c>
      <c r="K7900" s="3" t="s">
        <v>223</v>
      </c>
    </row>
    <row r="7901" ht="15.6" spans="4:11">
      <c r="D7901" s="4">
        <v>7091</v>
      </c>
      <c r="E7901" s="4" t="s">
        <v>223</v>
      </c>
      <c r="J7901" s="3" t="s">
        <v>8121</v>
      </c>
      <c r="K7901" s="3" t="s">
        <v>223</v>
      </c>
    </row>
    <row r="7902" ht="15.6" spans="4:11">
      <c r="D7902" s="4">
        <v>7092</v>
      </c>
      <c r="E7902" s="4" t="s">
        <v>223</v>
      </c>
      <c r="J7902" s="3" t="s">
        <v>8122</v>
      </c>
      <c r="K7902" s="3" t="s">
        <v>223</v>
      </c>
    </row>
    <row r="7903" ht="15.6" spans="4:11">
      <c r="D7903" s="4">
        <v>7093</v>
      </c>
      <c r="E7903" s="4" t="s">
        <v>223</v>
      </c>
      <c r="J7903" s="3" t="s">
        <v>8123</v>
      </c>
      <c r="K7903" s="3" t="s">
        <v>223</v>
      </c>
    </row>
    <row r="7904" ht="15.6" spans="4:11">
      <c r="D7904" s="4">
        <v>7094</v>
      </c>
      <c r="E7904" s="4" t="s">
        <v>223</v>
      </c>
      <c r="J7904" s="3" t="s">
        <v>8124</v>
      </c>
      <c r="K7904" s="3" t="s">
        <v>223</v>
      </c>
    </row>
    <row r="7905" ht="15.6" spans="4:11">
      <c r="D7905" s="4">
        <v>7095</v>
      </c>
      <c r="E7905" s="4" t="s">
        <v>223</v>
      </c>
      <c r="J7905" s="3" t="s">
        <v>8125</v>
      </c>
      <c r="K7905" s="3" t="s">
        <v>223</v>
      </c>
    </row>
    <row r="7906" ht="15.6" spans="4:11">
      <c r="D7906" s="4">
        <v>7096</v>
      </c>
      <c r="E7906" s="4" t="s">
        <v>223</v>
      </c>
      <c r="J7906" s="3" t="s">
        <v>8126</v>
      </c>
      <c r="K7906" s="3" t="s">
        <v>223</v>
      </c>
    </row>
    <row r="7907" ht="15.6" spans="4:11">
      <c r="D7907" s="4">
        <v>7097</v>
      </c>
      <c r="E7907" s="4" t="s">
        <v>223</v>
      </c>
      <c r="J7907" s="3" t="s">
        <v>8127</v>
      </c>
      <c r="K7907" s="3" t="s">
        <v>223</v>
      </c>
    </row>
    <row r="7908" ht="15.6" spans="4:11">
      <c r="D7908" s="4">
        <v>7098</v>
      </c>
      <c r="E7908" s="4" t="s">
        <v>223</v>
      </c>
      <c r="J7908" s="3" t="s">
        <v>8128</v>
      </c>
      <c r="K7908" s="3" t="s">
        <v>223</v>
      </c>
    </row>
    <row r="7909" ht="15.6" spans="4:11">
      <c r="D7909" s="4">
        <v>7099</v>
      </c>
      <c r="E7909" s="4" t="s">
        <v>223</v>
      </c>
      <c r="J7909" s="3" t="s">
        <v>8129</v>
      </c>
      <c r="K7909" s="3" t="s">
        <v>223</v>
      </c>
    </row>
    <row r="7910" ht="15.6" spans="4:11">
      <c r="D7910" s="4">
        <v>7100</v>
      </c>
      <c r="E7910" s="4" t="s">
        <v>223</v>
      </c>
      <c r="J7910" s="3" t="s">
        <v>8130</v>
      </c>
      <c r="K7910" s="3" t="s">
        <v>223</v>
      </c>
    </row>
    <row r="7911" ht="15.6" spans="4:11">
      <c r="D7911" s="4">
        <v>7101</v>
      </c>
      <c r="E7911" s="4" t="s">
        <v>223</v>
      </c>
      <c r="J7911" s="3" t="s">
        <v>8131</v>
      </c>
      <c r="K7911" s="3" t="s">
        <v>223</v>
      </c>
    </row>
    <row r="7912" ht="15.6" spans="4:11">
      <c r="D7912" s="4">
        <v>7102</v>
      </c>
      <c r="E7912" s="4" t="s">
        <v>223</v>
      </c>
      <c r="J7912" s="3" t="s">
        <v>8132</v>
      </c>
      <c r="K7912" s="3" t="s">
        <v>223</v>
      </c>
    </row>
    <row r="7913" ht="15.6" spans="4:11">
      <c r="D7913" s="4">
        <v>7103</v>
      </c>
      <c r="E7913" s="4" t="s">
        <v>223</v>
      </c>
      <c r="J7913" s="3" t="s">
        <v>8133</v>
      </c>
      <c r="K7913" s="3" t="s">
        <v>223</v>
      </c>
    </row>
    <row r="7914" ht="15.6" spans="4:11">
      <c r="D7914" s="4">
        <v>7104</v>
      </c>
      <c r="E7914" s="4" t="s">
        <v>223</v>
      </c>
      <c r="J7914" s="3" t="s">
        <v>8134</v>
      </c>
      <c r="K7914" s="3" t="s">
        <v>223</v>
      </c>
    </row>
    <row r="7915" ht="15.6" spans="4:11">
      <c r="D7915" s="4">
        <v>7105</v>
      </c>
      <c r="E7915" s="4" t="s">
        <v>223</v>
      </c>
      <c r="J7915" s="3" t="s">
        <v>8135</v>
      </c>
      <c r="K7915" s="3" t="s">
        <v>223</v>
      </c>
    </row>
    <row r="7916" ht="15.6" spans="4:11">
      <c r="D7916" s="4">
        <v>7106</v>
      </c>
      <c r="E7916" s="4" t="s">
        <v>223</v>
      </c>
      <c r="J7916" s="3" t="s">
        <v>8136</v>
      </c>
      <c r="K7916" s="3" t="s">
        <v>223</v>
      </c>
    </row>
    <row r="7917" ht="15.6" spans="4:11">
      <c r="D7917" s="4">
        <v>7107</v>
      </c>
      <c r="E7917" s="4" t="s">
        <v>223</v>
      </c>
      <c r="J7917" s="3" t="s">
        <v>8137</v>
      </c>
      <c r="K7917" s="3" t="s">
        <v>223</v>
      </c>
    </row>
    <row r="7918" ht="15.6" spans="4:11">
      <c r="D7918" s="4">
        <v>7108</v>
      </c>
      <c r="E7918" s="4" t="s">
        <v>223</v>
      </c>
      <c r="J7918" s="3" t="s">
        <v>8138</v>
      </c>
      <c r="K7918" s="3" t="s">
        <v>223</v>
      </c>
    </row>
    <row r="7919" ht="15.6" spans="4:11">
      <c r="D7919" s="4">
        <v>7109</v>
      </c>
      <c r="E7919" s="4" t="s">
        <v>223</v>
      </c>
      <c r="J7919" s="3" t="s">
        <v>8139</v>
      </c>
      <c r="K7919" s="3" t="s">
        <v>223</v>
      </c>
    </row>
    <row r="7920" ht="15.6" spans="4:11">
      <c r="D7920" s="4">
        <v>7110</v>
      </c>
      <c r="E7920" s="4" t="s">
        <v>223</v>
      </c>
      <c r="J7920" s="3" t="s">
        <v>8140</v>
      </c>
      <c r="K7920" s="3" t="s">
        <v>223</v>
      </c>
    </row>
    <row r="7921" ht="15.6" spans="4:11">
      <c r="D7921" s="4">
        <v>7111</v>
      </c>
      <c r="E7921" s="4" t="s">
        <v>223</v>
      </c>
      <c r="J7921" s="3" t="s">
        <v>8141</v>
      </c>
      <c r="K7921" s="3" t="s">
        <v>223</v>
      </c>
    </row>
    <row r="7922" ht="15.6" spans="4:11">
      <c r="D7922" s="4">
        <v>7112</v>
      </c>
      <c r="E7922" s="4" t="s">
        <v>223</v>
      </c>
      <c r="J7922" s="3" t="s">
        <v>8142</v>
      </c>
      <c r="K7922" s="3" t="s">
        <v>223</v>
      </c>
    </row>
    <row r="7923" ht="15.6" spans="4:11">
      <c r="D7923" s="4">
        <v>7113</v>
      </c>
      <c r="E7923" s="4" t="s">
        <v>223</v>
      </c>
      <c r="J7923" s="3" t="s">
        <v>8143</v>
      </c>
      <c r="K7923" s="3" t="s">
        <v>223</v>
      </c>
    </row>
    <row r="7924" ht="15.6" spans="4:11">
      <c r="D7924" s="4">
        <v>7114</v>
      </c>
      <c r="E7924" s="4" t="s">
        <v>223</v>
      </c>
      <c r="J7924" s="3" t="s">
        <v>8144</v>
      </c>
      <c r="K7924" s="3" t="s">
        <v>223</v>
      </c>
    </row>
    <row r="7925" ht="15.6" spans="4:11">
      <c r="D7925" s="4">
        <v>7115</v>
      </c>
      <c r="E7925" s="4" t="s">
        <v>223</v>
      </c>
      <c r="J7925" s="3" t="s">
        <v>8145</v>
      </c>
      <c r="K7925" s="3" t="s">
        <v>223</v>
      </c>
    </row>
    <row r="7926" ht="15.6" spans="4:11">
      <c r="D7926" s="4">
        <v>7116</v>
      </c>
      <c r="E7926" s="4" t="s">
        <v>223</v>
      </c>
      <c r="J7926" s="3" t="s">
        <v>8146</v>
      </c>
      <c r="K7926" s="3" t="s">
        <v>223</v>
      </c>
    </row>
    <row r="7927" ht="15.6" spans="4:11">
      <c r="D7927" s="4">
        <v>7117</v>
      </c>
      <c r="E7927" s="4" t="s">
        <v>223</v>
      </c>
      <c r="J7927" s="3" t="s">
        <v>8147</v>
      </c>
      <c r="K7927" s="3" t="s">
        <v>223</v>
      </c>
    </row>
    <row r="7928" ht="15.6" spans="4:11">
      <c r="D7928" s="4">
        <v>7118</v>
      </c>
      <c r="E7928" s="4" t="s">
        <v>223</v>
      </c>
      <c r="J7928" s="3" t="s">
        <v>8148</v>
      </c>
      <c r="K7928" s="3" t="s">
        <v>223</v>
      </c>
    </row>
    <row r="7929" ht="15.6" spans="4:11">
      <c r="D7929" s="4">
        <v>7119</v>
      </c>
      <c r="E7929" s="4" t="s">
        <v>223</v>
      </c>
      <c r="J7929" s="3" t="s">
        <v>8149</v>
      </c>
      <c r="K7929" s="3" t="s">
        <v>223</v>
      </c>
    </row>
    <row r="7930" ht="15.6" spans="4:11">
      <c r="D7930" s="4">
        <v>7120</v>
      </c>
      <c r="E7930" s="4" t="s">
        <v>223</v>
      </c>
      <c r="J7930" s="3" t="s">
        <v>8150</v>
      </c>
      <c r="K7930" s="3" t="s">
        <v>223</v>
      </c>
    </row>
    <row r="7931" ht="15.6" spans="4:11">
      <c r="D7931" s="4">
        <v>7121</v>
      </c>
      <c r="E7931" s="4" t="s">
        <v>223</v>
      </c>
      <c r="J7931" s="3" t="s">
        <v>8151</v>
      </c>
      <c r="K7931" s="3" t="s">
        <v>223</v>
      </c>
    </row>
    <row r="7932" ht="15.6" spans="4:11">
      <c r="D7932" s="4">
        <v>7122</v>
      </c>
      <c r="E7932" s="4" t="s">
        <v>223</v>
      </c>
      <c r="J7932" s="3" t="s">
        <v>8152</v>
      </c>
      <c r="K7932" s="3" t="s">
        <v>223</v>
      </c>
    </row>
    <row r="7933" ht="15.6" spans="4:11">
      <c r="D7933" s="4">
        <v>7123</v>
      </c>
      <c r="E7933" s="4" t="s">
        <v>223</v>
      </c>
      <c r="J7933" s="3" t="s">
        <v>8153</v>
      </c>
      <c r="K7933" s="3" t="s">
        <v>223</v>
      </c>
    </row>
    <row r="7934" ht="15.6" spans="4:11">
      <c r="D7934" s="4">
        <v>7124</v>
      </c>
      <c r="E7934" s="4" t="s">
        <v>223</v>
      </c>
      <c r="J7934" s="3" t="s">
        <v>8154</v>
      </c>
      <c r="K7934" s="3" t="s">
        <v>223</v>
      </c>
    </row>
    <row r="7935" ht="15.6" spans="4:11">
      <c r="D7935" s="4">
        <v>7125</v>
      </c>
      <c r="E7935" s="4" t="s">
        <v>223</v>
      </c>
      <c r="J7935" s="3" t="s">
        <v>8155</v>
      </c>
      <c r="K7935" s="3" t="s">
        <v>223</v>
      </c>
    </row>
    <row r="7936" ht="15.6" spans="4:11">
      <c r="D7936" s="4">
        <v>7126</v>
      </c>
      <c r="E7936" s="4" t="s">
        <v>223</v>
      </c>
      <c r="J7936" s="3" t="s">
        <v>8156</v>
      </c>
      <c r="K7936" s="3" t="s">
        <v>223</v>
      </c>
    </row>
    <row r="7937" ht="15.6" spans="4:11">
      <c r="D7937" s="4">
        <v>7127</v>
      </c>
      <c r="E7937" s="4" t="s">
        <v>223</v>
      </c>
      <c r="J7937" s="3" t="s">
        <v>8157</v>
      </c>
      <c r="K7937" s="3" t="s">
        <v>223</v>
      </c>
    </row>
    <row r="7938" ht="15.6" spans="4:11">
      <c r="D7938" s="4">
        <v>7128</v>
      </c>
      <c r="E7938" s="4" t="s">
        <v>223</v>
      </c>
      <c r="J7938" s="3" t="s">
        <v>8158</v>
      </c>
      <c r="K7938" s="3" t="s">
        <v>223</v>
      </c>
    </row>
    <row r="7939" ht="15.6" spans="4:11">
      <c r="D7939" s="4">
        <v>7129</v>
      </c>
      <c r="E7939" s="4" t="s">
        <v>223</v>
      </c>
      <c r="J7939" s="3" t="s">
        <v>8159</v>
      </c>
      <c r="K7939" s="3" t="s">
        <v>223</v>
      </c>
    </row>
    <row r="7940" ht="15.6" spans="4:11">
      <c r="D7940" s="4">
        <v>7130</v>
      </c>
      <c r="E7940" s="4" t="s">
        <v>223</v>
      </c>
      <c r="J7940" s="3" t="s">
        <v>8160</v>
      </c>
      <c r="K7940" s="3" t="s">
        <v>223</v>
      </c>
    </row>
    <row r="7941" ht="15.6" spans="4:11">
      <c r="D7941" s="4">
        <v>7131</v>
      </c>
      <c r="E7941" s="4" t="s">
        <v>223</v>
      </c>
      <c r="J7941" s="3" t="s">
        <v>8161</v>
      </c>
      <c r="K7941" s="3" t="s">
        <v>223</v>
      </c>
    </row>
    <row r="7942" ht="15.6" spans="4:11">
      <c r="D7942" s="4">
        <v>7132</v>
      </c>
      <c r="E7942" s="4" t="s">
        <v>223</v>
      </c>
      <c r="J7942" s="3" t="s">
        <v>8162</v>
      </c>
      <c r="K7942" s="3" t="s">
        <v>223</v>
      </c>
    </row>
    <row r="7943" ht="15.6" spans="4:11">
      <c r="D7943" s="4">
        <v>7133</v>
      </c>
      <c r="E7943" s="4" t="s">
        <v>223</v>
      </c>
      <c r="J7943" s="3" t="s">
        <v>8163</v>
      </c>
      <c r="K7943" s="3" t="s">
        <v>223</v>
      </c>
    </row>
    <row r="7944" ht="15.6" spans="4:11">
      <c r="D7944" s="4">
        <v>7134</v>
      </c>
      <c r="E7944" s="4" t="s">
        <v>223</v>
      </c>
      <c r="J7944" s="3" t="s">
        <v>8164</v>
      </c>
      <c r="K7944" s="3" t="s">
        <v>223</v>
      </c>
    </row>
    <row r="7945" ht="15.6" spans="4:11">
      <c r="D7945" s="4">
        <v>7135</v>
      </c>
      <c r="E7945" s="4" t="s">
        <v>223</v>
      </c>
      <c r="J7945" s="3" t="s">
        <v>8165</v>
      </c>
      <c r="K7945" s="3" t="s">
        <v>223</v>
      </c>
    </row>
    <row r="7946" ht="15.6" spans="4:11">
      <c r="D7946" s="4">
        <v>7136</v>
      </c>
      <c r="E7946" s="4" t="s">
        <v>223</v>
      </c>
      <c r="J7946" s="3" t="s">
        <v>8166</v>
      </c>
      <c r="K7946" s="3" t="s">
        <v>223</v>
      </c>
    </row>
    <row r="7947" ht="15.6" spans="4:11">
      <c r="D7947" s="4">
        <v>7137</v>
      </c>
      <c r="E7947" s="4" t="s">
        <v>223</v>
      </c>
      <c r="J7947" s="3" t="s">
        <v>8167</v>
      </c>
      <c r="K7947" s="3" t="s">
        <v>223</v>
      </c>
    </row>
    <row r="7948" ht="15.6" spans="4:11">
      <c r="D7948" s="4">
        <v>7138</v>
      </c>
      <c r="E7948" s="4" t="s">
        <v>223</v>
      </c>
      <c r="J7948" s="3" t="s">
        <v>8168</v>
      </c>
      <c r="K7948" s="3" t="s">
        <v>223</v>
      </c>
    </row>
    <row r="7949" ht="15.6" spans="4:11">
      <c r="D7949" s="4">
        <v>7139</v>
      </c>
      <c r="E7949" s="4" t="s">
        <v>223</v>
      </c>
      <c r="J7949" s="3" t="s">
        <v>8169</v>
      </c>
      <c r="K7949" s="3" t="s">
        <v>223</v>
      </c>
    </row>
    <row r="7950" ht="15.6" spans="4:11">
      <c r="D7950" s="4">
        <v>7140</v>
      </c>
      <c r="E7950" s="4" t="s">
        <v>223</v>
      </c>
      <c r="J7950" s="3" t="s">
        <v>8170</v>
      </c>
      <c r="K7950" s="3" t="s">
        <v>223</v>
      </c>
    </row>
    <row r="7951" ht="15.6" spans="4:11">
      <c r="D7951" s="4">
        <v>7141</v>
      </c>
      <c r="E7951" s="4" t="s">
        <v>223</v>
      </c>
      <c r="J7951" s="3" t="s">
        <v>8171</v>
      </c>
      <c r="K7951" s="3" t="s">
        <v>223</v>
      </c>
    </row>
    <row r="7952" ht="15.6" spans="4:11">
      <c r="D7952" s="4">
        <v>7142</v>
      </c>
      <c r="E7952" s="4" t="s">
        <v>223</v>
      </c>
      <c r="J7952" s="3" t="s">
        <v>8172</v>
      </c>
      <c r="K7952" s="3" t="s">
        <v>223</v>
      </c>
    </row>
    <row r="7953" ht="15.6" spans="4:11">
      <c r="D7953" s="4">
        <v>7143</v>
      </c>
      <c r="E7953" s="4" t="s">
        <v>223</v>
      </c>
      <c r="J7953" s="3" t="s">
        <v>8173</v>
      </c>
      <c r="K7953" s="3" t="s">
        <v>223</v>
      </c>
    </row>
    <row r="7954" ht="15.6" spans="4:11">
      <c r="D7954" s="4">
        <v>7144</v>
      </c>
      <c r="E7954" s="4" t="s">
        <v>223</v>
      </c>
      <c r="J7954" s="3" t="s">
        <v>8174</v>
      </c>
      <c r="K7954" s="3" t="s">
        <v>223</v>
      </c>
    </row>
    <row r="7955" ht="15.6" spans="4:11">
      <c r="D7955" s="4">
        <v>7145</v>
      </c>
      <c r="E7955" s="4" t="s">
        <v>223</v>
      </c>
      <c r="J7955" s="3" t="s">
        <v>8175</v>
      </c>
      <c r="K7955" s="3" t="s">
        <v>223</v>
      </c>
    </row>
    <row r="7956" ht="15.6" spans="4:11">
      <c r="D7956" s="4">
        <v>7146</v>
      </c>
      <c r="E7956" s="4" t="s">
        <v>223</v>
      </c>
      <c r="J7956" s="3" t="s">
        <v>8176</v>
      </c>
      <c r="K7956" s="3" t="s">
        <v>223</v>
      </c>
    </row>
    <row r="7957" ht="15.6" spans="4:11">
      <c r="D7957" s="4">
        <v>7147</v>
      </c>
      <c r="E7957" s="4" t="s">
        <v>223</v>
      </c>
      <c r="J7957" s="3" t="s">
        <v>8177</v>
      </c>
      <c r="K7957" s="3" t="s">
        <v>223</v>
      </c>
    </row>
    <row r="7958" ht="15.6" spans="4:11">
      <c r="D7958" s="4">
        <v>7148</v>
      </c>
      <c r="E7958" s="4" t="s">
        <v>223</v>
      </c>
      <c r="J7958" s="3" t="s">
        <v>8178</v>
      </c>
      <c r="K7958" s="3" t="s">
        <v>223</v>
      </c>
    </row>
    <row r="7959" ht="15.6" spans="4:11">
      <c r="D7959" s="4">
        <v>7149</v>
      </c>
      <c r="E7959" s="4" t="s">
        <v>223</v>
      </c>
      <c r="J7959" s="3" t="s">
        <v>8179</v>
      </c>
      <c r="K7959" s="3" t="s">
        <v>223</v>
      </c>
    </row>
    <row r="7960" ht="15.6" spans="4:11">
      <c r="D7960" s="4">
        <v>7150</v>
      </c>
      <c r="E7960" s="4" t="s">
        <v>223</v>
      </c>
      <c r="J7960" s="3" t="s">
        <v>8180</v>
      </c>
      <c r="K7960" s="3" t="s">
        <v>223</v>
      </c>
    </row>
    <row r="7961" ht="15.6" spans="4:11">
      <c r="D7961" s="4">
        <v>7155</v>
      </c>
      <c r="E7961" s="4" t="s">
        <v>223</v>
      </c>
      <c r="J7961" s="3" t="s">
        <v>8181</v>
      </c>
      <c r="K7961" s="3" t="s">
        <v>223</v>
      </c>
    </row>
    <row r="7962" ht="15.6" spans="4:11">
      <c r="D7962" s="4">
        <v>7156</v>
      </c>
      <c r="E7962" s="4" t="s">
        <v>223</v>
      </c>
      <c r="J7962" s="3" t="s">
        <v>8182</v>
      </c>
      <c r="K7962" s="3" t="s">
        <v>223</v>
      </c>
    </row>
    <row r="7963" ht="15.6" spans="4:11">
      <c r="D7963" s="4">
        <v>7157</v>
      </c>
      <c r="E7963" s="4" t="s">
        <v>223</v>
      </c>
      <c r="J7963" s="3" t="s">
        <v>8183</v>
      </c>
      <c r="K7963" s="3" t="s">
        <v>223</v>
      </c>
    </row>
    <row r="7964" ht="15.6" spans="4:11">
      <c r="D7964" s="4">
        <v>7158</v>
      </c>
      <c r="E7964" s="4" t="s">
        <v>223</v>
      </c>
      <c r="J7964" s="3" t="s">
        <v>8184</v>
      </c>
      <c r="K7964" s="3" t="s">
        <v>223</v>
      </c>
    </row>
    <row r="7965" ht="15.6" spans="4:11">
      <c r="D7965" s="4">
        <v>7159</v>
      </c>
      <c r="E7965" s="4" t="s">
        <v>223</v>
      </c>
      <c r="J7965" s="3" t="s">
        <v>8185</v>
      </c>
      <c r="K7965" s="3" t="s">
        <v>223</v>
      </c>
    </row>
    <row r="7966" ht="15.6" spans="4:11">
      <c r="D7966" s="4">
        <v>7160</v>
      </c>
      <c r="E7966" s="4" t="s">
        <v>223</v>
      </c>
      <c r="J7966" s="3" t="s">
        <v>8186</v>
      </c>
      <c r="K7966" s="3" t="s">
        <v>223</v>
      </c>
    </row>
    <row r="7967" ht="15.6" spans="4:11">
      <c r="D7967" s="4">
        <v>7161</v>
      </c>
      <c r="E7967" s="4" t="s">
        <v>223</v>
      </c>
      <c r="J7967" s="3" t="s">
        <v>8187</v>
      </c>
      <c r="K7967" s="3" t="s">
        <v>223</v>
      </c>
    </row>
    <row r="7968" ht="15.6" spans="4:11">
      <c r="D7968" s="4">
        <v>7162</v>
      </c>
      <c r="E7968" s="4" t="s">
        <v>223</v>
      </c>
      <c r="J7968" s="3" t="s">
        <v>8188</v>
      </c>
      <c r="K7968" s="3" t="s">
        <v>223</v>
      </c>
    </row>
    <row r="7969" ht="15.6" spans="4:11">
      <c r="D7969" s="4">
        <v>7163</v>
      </c>
      <c r="E7969" s="4" t="s">
        <v>223</v>
      </c>
      <c r="J7969" s="3" t="s">
        <v>8189</v>
      </c>
      <c r="K7969" s="3" t="s">
        <v>223</v>
      </c>
    </row>
    <row r="7970" ht="15.6" spans="4:11">
      <c r="D7970" s="4">
        <v>7164</v>
      </c>
      <c r="E7970" s="4" t="s">
        <v>223</v>
      </c>
      <c r="J7970" s="3" t="s">
        <v>8190</v>
      </c>
      <c r="K7970" s="3" t="s">
        <v>223</v>
      </c>
    </row>
    <row r="7971" ht="15.6" spans="4:11">
      <c r="D7971" s="4">
        <v>7165</v>
      </c>
      <c r="E7971" s="4" t="s">
        <v>223</v>
      </c>
      <c r="J7971" s="3" t="s">
        <v>8191</v>
      </c>
      <c r="K7971" s="3" t="s">
        <v>223</v>
      </c>
    </row>
    <row r="7972" ht="15.6" spans="4:11">
      <c r="D7972" s="4">
        <v>7166</v>
      </c>
      <c r="E7972" s="4" t="s">
        <v>223</v>
      </c>
      <c r="J7972" s="3" t="s">
        <v>8192</v>
      </c>
      <c r="K7972" s="3" t="s">
        <v>223</v>
      </c>
    </row>
    <row r="7973" ht="15.6" spans="4:11">
      <c r="D7973" s="4">
        <v>7167</v>
      </c>
      <c r="E7973" s="4" t="s">
        <v>223</v>
      </c>
      <c r="J7973" s="3" t="s">
        <v>8193</v>
      </c>
      <c r="K7973" s="3" t="s">
        <v>223</v>
      </c>
    </row>
    <row r="7974" ht="15.6" spans="4:11">
      <c r="D7974" s="4">
        <v>7168</v>
      </c>
      <c r="E7974" s="4" t="s">
        <v>223</v>
      </c>
      <c r="J7974" s="3" t="s">
        <v>8194</v>
      </c>
      <c r="K7974" s="3" t="s">
        <v>223</v>
      </c>
    </row>
    <row r="7975" ht="15.6" spans="4:11">
      <c r="D7975" s="4">
        <v>7169</v>
      </c>
      <c r="E7975" s="4" t="s">
        <v>223</v>
      </c>
      <c r="J7975" s="3" t="s">
        <v>8195</v>
      </c>
      <c r="K7975" s="3" t="s">
        <v>223</v>
      </c>
    </row>
    <row r="7976" ht="15.6" spans="4:11">
      <c r="D7976" s="4">
        <v>7170</v>
      </c>
      <c r="E7976" s="4" t="s">
        <v>223</v>
      </c>
      <c r="J7976" s="3" t="s">
        <v>8196</v>
      </c>
      <c r="K7976" s="3" t="s">
        <v>223</v>
      </c>
    </row>
    <row r="7977" ht="15.6" spans="4:11">
      <c r="D7977" s="4">
        <v>7171</v>
      </c>
      <c r="E7977" s="4" t="s">
        <v>223</v>
      </c>
      <c r="J7977" s="3" t="s">
        <v>8197</v>
      </c>
      <c r="K7977" s="3" t="s">
        <v>223</v>
      </c>
    </row>
    <row r="7978" ht="15.6" spans="4:11">
      <c r="D7978" s="4">
        <v>7172</v>
      </c>
      <c r="E7978" s="4" t="s">
        <v>223</v>
      </c>
      <c r="J7978" s="3" t="s">
        <v>8198</v>
      </c>
      <c r="K7978" s="3" t="s">
        <v>223</v>
      </c>
    </row>
    <row r="7979" ht="15.6" spans="4:11">
      <c r="D7979" s="4">
        <v>7173</v>
      </c>
      <c r="E7979" s="4" t="s">
        <v>223</v>
      </c>
      <c r="J7979" s="3" t="s">
        <v>8199</v>
      </c>
      <c r="K7979" s="3" t="s">
        <v>223</v>
      </c>
    </row>
    <row r="7980" ht="15.6" spans="4:11">
      <c r="D7980" s="4">
        <v>7174</v>
      </c>
      <c r="E7980" s="4" t="s">
        <v>223</v>
      </c>
      <c r="J7980" s="3" t="s">
        <v>8200</v>
      </c>
      <c r="K7980" s="3" t="s">
        <v>223</v>
      </c>
    </row>
    <row r="7981" ht="15.6" spans="4:11">
      <c r="D7981" s="4">
        <v>7175</v>
      </c>
      <c r="E7981" s="4" t="s">
        <v>223</v>
      </c>
      <c r="J7981" s="3" t="s">
        <v>8201</v>
      </c>
      <c r="K7981" s="3" t="s">
        <v>223</v>
      </c>
    </row>
    <row r="7982" ht="15.6" spans="4:11">
      <c r="D7982" s="4">
        <v>7176</v>
      </c>
      <c r="E7982" s="4" t="s">
        <v>223</v>
      </c>
      <c r="J7982" s="3" t="s">
        <v>8202</v>
      </c>
      <c r="K7982" s="3" t="s">
        <v>223</v>
      </c>
    </row>
    <row r="7983" ht="15.6" spans="4:11">
      <c r="D7983" s="4">
        <v>7177</v>
      </c>
      <c r="E7983" s="4" t="s">
        <v>223</v>
      </c>
      <c r="J7983" s="3" t="s">
        <v>8203</v>
      </c>
      <c r="K7983" s="3" t="s">
        <v>223</v>
      </c>
    </row>
    <row r="7984" ht="15.6" spans="4:11">
      <c r="D7984" s="4">
        <v>7178</v>
      </c>
      <c r="E7984" s="4" t="s">
        <v>223</v>
      </c>
      <c r="J7984" s="3" t="s">
        <v>8204</v>
      </c>
      <c r="K7984" s="3" t="s">
        <v>223</v>
      </c>
    </row>
    <row r="7985" ht="15.6" spans="4:11">
      <c r="D7985" s="4">
        <v>7179</v>
      </c>
      <c r="E7985" s="4" t="s">
        <v>223</v>
      </c>
      <c r="J7985" s="3" t="s">
        <v>8205</v>
      </c>
      <c r="K7985" s="3" t="s">
        <v>223</v>
      </c>
    </row>
    <row r="7986" ht="15.6" spans="4:11">
      <c r="D7986" s="4">
        <v>7180</v>
      </c>
      <c r="E7986" s="4" t="s">
        <v>223</v>
      </c>
      <c r="J7986" s="3" t="s">
        <v>8206</v>
      </c>
      <c r="K7986" s="3" t="s">
        <v>223</v>
      </c>
    </row>
    <row r="7987" ht="15.6" spans="4:11">
      <c r="D7987" s="4">
        <v>7181</v>
      </c>
      <c r="E7987" s="4" t="s">
        <v>223</v>
      </c>
      <c r="J7987" s="3" t="s">
        <v>8207</v>
      </c>
      <c r="K7987" s="3" t="s">
        <v>223</v>
      </c>
    </row>
    <row r="7988" ht="15.6" spans="4:11">
      <c r="D7988" s="4">
        <v>7182</v>
      </c>
      <c r="E7988" s="4" t="s">
        <v>223</v>
      </c>
      <c r="J7988" s="3" t="s">
        <v>8208</v>
      </c>
      <c r="K7988" s="3" t="s">
        <v>223</v>
      </c>
    </row>
    <row r="7989" ht="15.6" spans="4:11">
      <c r="D7989" s="4">
        <v>7183</v>
      </c>
      <c r="E7989" s="4" t="s">
        <v>223</v>
      </c>
      <c r="J7989" s="3" t="s">
        <v>8209</v>
      </c>
      <c r="K7989" s="3" t="s">
        <v>223</v>
      </c>
    </row>
    <row r="7990" ht="15.6" spans="4:11">
      <c r="D7990" s="4">
        <v>7184</v>
      </c>
      <c r="E7990" s="4" t="s">
        <v>223</v>
      </c>
      <c r="J7990" s="3" t="s">
        <v>8210</v>
      </c>
      <c r="K7990" s="3" t="s">
        <v>223</v>
      </c>
    </row>
    <row r="7991" ht="15.6" spans="4:11">
      <c r="D7991" s="4">
        <v>7185</v>
      </c>
      <c r="E7991" s="4" t="s">
        <v>223</v>
      </c>
      <c r="J7991" s="3" t="s">
        <v>8211</v>
      </c>
      <c r="K7991" s="3" t="s">
        <v>223</v>
      </c>
    </row>
    <row r="7992" ht="15.6" spans="4:11">
      <c r="D7992" s="4">
        <v>7186</v>
      </c>
      <c r="E7992" s="4" t="s">
        <v>223</v>
      </c>
      <c r="J7992" s="3" t="s">
        <v>8212</v>
      </c>
      <c r="K7992" s="3" t="s">
        <v>223</v>
      </c>
    </row>
    <row r="7993" ht="15.6" spans="4:11">
      <c r="D7993" s="4">
        <v>7187</v>
      </c>
      <c r="E7993" s="4" t="s">
        <v>223</v>
      </c>
      <c r="J7993" s="3" t="s">
        <v>8213</v>
      </c>
      <c r="K7993" s="3" t="s">
        <v>223</v>
      </c>
    </row>
    <row r="7994" ht="15.6" spans="4:11">
      <c r="D7994" s="4">
        <v>7188</v>
      </c>
      <c r="E7994" s="4" t="s">
        <v>223</v>
      </c>
      <c r="J7994" s="3" t="s">
        <v>8214</v>
      </c>
      <c r="K7994" s="3" t="s">
        <v>223</v>
      </c>
    </row>
    <row r="7995" ht="15.6" spans="4:11">
      <c r="D7995" s="4">
        <v>7189</v>
      </c>
      <c r="E7995" s="4" t="s">
        <v>223</v>
      </c>
      <c r="J7995" s="3" t="s">
        <v>8215</v>
      </c>
      <c r="K7995" s="3" t="s">
        <v>223</v>
      </c>
    </row>
    <row r="7996" ht="15.6" spans="4:11">
      <c r="D7996" s="4">
        <v>7190</v>
      </c>
      <c r="E7996" s="4" t="s">
        <v>223</v>
      </c>
      <c r="J7996" s="3" t="s">
        <v>8216</v>
      </c>
      <c r="K7996" s="3" t="s">
        <v>223</v>
      </c>
    </row>
    <row r="7997" ht="15.6" spans="4:11">
      <c r="D7997" s="4">
        <v>7191</v>
      </c>
      <c r="E7997" s="4" t="s">
        <v>223</v>
      </c>
      <c r="J7997" s="3" t="s">
        <v>8217</v>
      </c>
      <c r="K7997" s="3" t="s">
        <v>223</v>
      </c>
    </row>
    <row r="7998" ht="15.6" spans="4:11">
      <c r="D7998" s="4">
        <v>7192</v>
      </c>
      <c r="E7998" s="4" t="s">
        <v>223</v>
      </c>
      <c r="J7998" s="3" t="s">
        <v>8218</v>
      </c>
      <c r="K7998" s="3" t="s">
        <v>223</v>
      </c>
    </row>
    <row r="7999" ht="15.6" spans="4:11">
      <c r="D7999" s="4">
        <v>7193</v>
      </c>
      <c r="E7999" s="4" t="s">
        <v>223</v>
      </c>
      <c r="J7999" s="3" t="s">
        <v>8219</v>
      </c>
      <c r="K7999" s="3" t="s">
        <v>223</v>
      </c>
    </row>
    <row r="8000" ht="15.6" spans="4:11">
      <c r="D8000" s="4">
        <v>7194</v>
      </c>
      <c r="E8000" s="4" t="s">
        <v>223</v>
      </c>
      <c r="J8000" s="3" t="s">
        <v>8220</v>
      </c>
      <c r="K8000" s="3" t="s">
        <v>223</v>
      </c>
    </row>
    <row r="8001" ht="15.6" spans="4:11">
      <c r="D8001" s="4">
        <v>7195</v>
      </c>
      <c r="E8001" s="4" t="s">
        <v>223</v>
      </c>
      <c r="J8001" s="3" t="s">
        <v>8221</v>
      </c>
      <c r="K8001" s="3" t="s">
        <v>223</v>
      </c>
    </row>
    <row r="8002" ht="15.6" spans="4:11">
      <c r="D8002" s="4">
        <v>7196</v>
      </c>
      <c r="E8002" s="4" t="s">
        <v>223</v>
      </c>
      <c r="J8002" s="3" t="s">
        <v>8222</v>
      </c>
      <c r="K8002" s="3" t="s">
        <v>223</v>
      </c>
    </row>
    <row r="8003" ht="15.6" spans="4:11">
      <c r="D8003" s="4">
        <v>7197</v>
      </c>
      <c r="E8003" s="4" t="s">
        <v>223</v>
      </c>
      <c r="J8003" s="3" t="s">
        <v>8223</v>
      </c>
      <c r="K8003" s="3" t="s">
        <v>223</v>
      </c>
    </row>
    <row r="8004" ht="15.6" spans="4:11">
      <c r="D8004" s="4">
        <v>7198</v>
      </c>
      <c r="E8004" s="4" t="s">
        <v>223</v>
      </c>
      <c r="J8004" s="3" t="s">
        <v>8224</v>
      </c>
      <c r="K8004" s="3" t="s">
        <v>223</v>
      </c>
    </row>
    <row r="8005" ht="15.6" spans="4:11">
      <c r="D8005" s="4">
        <v>7199</v>
      </c>
      <c r="E8005" s="4" t="s">
        <v>223</v>
      </c>
      <c r="J8005" s="3" t="s">
        <v>8225</v>
      </c>
      <c r="K8005" s="3" t="s">
        <v>223</v>
      </c>
    </row>
    <row r="8006" ht="15.6" spans="4:11">
      <c r="D8006" s="4">
        <v>7200</v>
      </c>
      <c r="E8006" s="4" t="s">
        <v>223</v>
      </c>
      <c r="J8006" s="3" t="s">
        <v>8226</v>
      </c>
      <c r="K8006" s="3" t="s">
        <v>223</v>
      </c>
    </row>
    <row r="8007" ht="15.6" spans="4:11">
      <c r="D8007" s="4">
        <v>7201</v>
      </c>
      <c r="E8007" s="4" t="s">
        <v>223</v>
      </c>
      <c r="J8007" s="3" t="s">
        <v>8227</v>
      </c>
      <c r="K8007" s="3" t="s">
        <v>223</v>
      </c>
    </row>
    <row r="8008" ht="15.6" spans="4:11">
      <c r="D8008" s="4">
        <v>7202</v>
      </c>
      <c r="E8008" s="4" t="s">
        <v>223</v>
      </c>
      <c r="J8008" s="3" t="s">
        <v>8228</v>
      </c>
      <c r="K8008" s="3" t="s">
        <v>223</v>
      </c>
    </row>
    <row r="8009" ht="15.6" spans="4:11">
      <c r="D8009" s="4">
        <v>7203</v>
      </c>
      <c r="E8009" s="4" t="s">
        <v>223</v>
      </c>
      <c r="J8009" s="3" t="s">
        <v>8229</v>
      </c>
      <c r="K8009" s="3" t="s">
        <v>223</v>
      </c>
    </row>
    <row r="8010" ht="15.6" spans="4:11">
      <c r="D8010" s="4">
        <v>7204</v>
      </c>
      <c r="E8010" s="4" t="s">
        <v>223</v>
      </c>
      <c r="J8010" s="3" t="s">
        <v>8230</v>
      </c>
      <c r="K8010" s="3" t="s">
        <v>223</v>
      </c>
    </row>
    <row r="8011" ht="15.6" spans="4:11">
      <c r="D8011" s="4">
        <v>7205</v>
      </c>
      <c r="E8011" s="4" t="s">
        <v>223</v>
      </c>
      <c r="J8011" s="3" t="s">
        <v>8231</v>
      </c>
      <c r="K8011" s="3" t="s">
        <v>223</v>
      </c>
    </row>
    <row r="8012" ht="15.6" spans="4:11">
      <c r="D8012" s="4">
        <v>7206</v>
      </c>
      <c r="E8012" s="4" t="s">
        <v>223</v>
      </c>
      <c r="J8012" s="3" t="s">
        <v>8232</v>
      </c>
      <c r="K8012" s="3" t="s">
        <v>223</v>
      </c>
    </row>
    <row r="8013" ht="15.6" spans="4:11">
      <c r="D8013" s="4">
        <v>7207</v>
      </c>
      <c r="E8013" s="4" t="s">
        <v>223</v>
      </c>
      <c r="J8013" s="3" t="s">
        <v>8233</v>
      </c>
      <c r="K8013" s="3" t="s">
        <v>223</v>
      </c>
    </row>
    <row r="8014" ht="15.6" spans="4:11">
      <c r="D8014" s="4">
        <v>7208</v>
      </c>
      <c r="E8014" s="4" t="s">
        <v>223</v>
      </c>
      <c r="J8014" s="3" t="s">
        <v>8234</v>
      </c>
      <c r="K8014" s="3" t="s">
        <v>223</v>
      </c>
    </row>
    <row r="8015" ht="15.6" spans="4:11">
      <c r="D8015" s="4">
        <v>7209</v>
      </c>
      <c r="E8015" s="4" t="s">
        <v>223</v>
      </c>
      <c r="J8015" s="3" t="s">
        <v>8235</v>
      </c>
      <c r="K8015" s="3" t="s">
        <v>223</v>
      </c>
    </row>
    <row r="8016" ht="15.6" spans="4:11">
      <c r="D8016" s="4">
        <v>7210</v>
      </c>
      <c r="E8016" s="4" t="s">
        <v>223</v>
      </c>
      <c r="J8016" s="3" t="s">
        <v>8236</v>
      </c>
      <c r="K8016" s="3" t="s">
        <v>223</v>
      </c>
    </row>
    <row r="8017" ht="15.6" spans="4:11">
      <c r="D8017" s="4">
        <v>7211</v>
      </c>
      <c r="E8017" s="4" t="s">
        <v>223</v>
      </c>
      <c r="J8017" s="3" t="s">
        <v>8237</v>
      </c>
      <c r="K8017" s="3" t="s">
        <v>223</v>
      </c>
    </row>
    <row r="8018" ht="15.6" spans="4:11">
      <c r="D8018" s="4">
        <v>7212</v>
      </c>
      <c r="E8018" s="4" t="s">
        <v>223</v>
      </c>
      <c r="J8018" s="3" t="s">
        <v>8238</v>
      </c>
      <c r="K8018" s="3" t="s">
        <v>223</v>
      </c>
    </row>
    <row r="8019" ht="15.6" spans="4:11">
      <c r="D8019" s="4">
        <v>7213</v>
      </c>
      <c r="E8019" s="4" t="s">
        <v>223</v>
      </c>
      <c r="J8019" s="3" t="s">
        <v>8239</v>
      </c>
      <c r="K8019" s="3" t="s">
        <v>223</v>
      </c>
    </row>
    <row r="8020" ht="15.6" spans="4:11">
      <c r="D8020" s="4">
        <v>7214</v>
      </c>
      <c r="E8020" s="4" t="s">
        <v>223</v>
      </c>
      <c r="J8020" s="3" t="s">
        <v>8240</v>
      </c>
      <c r="K8020" s="3" t="s">
        <v>223</v>
      </c>
    </row>
    <row r="8021" ht="15.6" spans="4:11">
      <c r="D8021" s="4">
        <v>7215</v>
      </c>
      <c r="E8021" s="4" t="s">
        <v>223</v>
      </c>
      <c r="J8021" s="3" t="s">
        <v>8241</v>
      </c>
      <c r="K8021" s="3" t="s">
        <v>223</v>
      </c>
    </row>
    <row r="8022" ht="15.6" spans="4:11">
      <c r="D8022" s="4">
        <v>7216</v>
      </c>
      <c r="E8022" s="4" t="s">
        <v>223</v>
      </c>
      <c r="J8022" s="3" t="s">
        <v>8242</v>
      </c>
      <c r="K8022" s="3" t="s">
        <v>223</v>
      </c>
    </row>
    <row r="8023" ht="15.6" spans="4:11">
      <c r="D8023" s="4">
        <v>7217</v>
      </c>
      <c r="E8023" s="4" t="s">
        <v>223</v>
      </c>
      <c r="J8023" s="3" t="s">
        <v>8243</v>
      </c>
      <c r="K8023" s="3" t="s">
        <v>223</v>
      </c>
    </row>
    <row r="8024" ht="15.6" spans="4:11">
      <c r="D8024" s="4">
        <v>7218</v>
      </c>
      <c r="E8024" s="4" t="s">
        <v>223</v>
      </c>
      <c r="J8024" s="3" t="s">
        <v>8244</v>
      </c>
      <c r="K8024" s="3" t="s">
        <v>223</v>
      </c>
    </row>
    <row r="8025" ht="15.6" spans="4:11">
      <c r="D8025" s="4">
        <v>7219</v>
      </c>
      <c r="E8025" s="4" t="s">
        <v>223</v>
      </c>
      <c r="J8025" s="3" t="s">
        <v>8245</v>
      </c>
      <c r="K8025" s="3" t="s">
        <v>223</v>
      </c>
    </row>
    <row r="8026" ht="15.6" spans="4:11">
      <c r="D8026" s="4">
        <v>7220</v>
      </c>
      <c r="E8026" s="4" t="s">
        <v>223</v>
      </c>
      <c r="J8026" s="3" t="s">
        <v>8246</v>
      </c>
      <c r="K8026" s="3" t="s">
        <v>223</v>
      </c>
    </row>
    <row r="8027" ht="15.6" spans="4:11">
      <c r="D8027" s="4">
        <v>7221</v>
      </c>
      <c r="E8027" s="4" t="s">
        <v>223</v>
      </c>
      <c r="J8027" s="3" t="s">
        <v>8247</v>
      </c>
      <c r="K8027" s="3" t="s">
        <v>223</v>
      </c>
    </row>
    <row r="8028" ht="15.6" spans="4:11">
      <c r="D8028" s="4">
        <v>7222</v>
      </c>
      <c r="E8028" s="4" t="s">
        <v>223</v>
      </c>
      <c r="J8028" s="3" t="s">
        <v>8248</v>
      </c>
      <c r="K8028" s="3" t="s">
        <v>223</v>
      </c>
    </row>
    <row r="8029" ht="15.6" spans="4:11">
      <c r="D8029" s="4">
        <v>7223</v>
      </c>
      <c r="E8029" s="4" t="s">
        <v>223</v>
      </c>
      <c r="J8029" s="3" t="s">
        <v>8249</v>
      </c>
      <c r="K8029" s="3" t="s">
        <v>223</v>
      </c>
    </row>
    <row r="8030" ht="15.6" spans="4:11">
      <c r="D8030" s="4">
        <v>7224</v>
      </c>
      <c r="E8030" s="4" t="s">
        <v>223</v>
      </c>
      <c r="J8030" s="3" t="s">
        <v>8250</v>
      </c>
      <c r="K8030" s="3" t="s">
        <v>223</v>
      </c>
    </row>
    <row r="8031" ht="15.6" spans="4:11">
      <c r="D8031" s="4">
        <v>7225</v>
      </c>
      <c r="E8031" s="4" t="s">
        <v>223</v>
      </c>
      <c r="J8031" s="3" t="s">
        <v>8251</v>
      </c>
      <c r="K8031" s="3" t="s">
        <v>223</v>
      </c>
    </row>
    <row r="8032" ht="15.6" spans="4:11">
      <c r="D8032" s="4">
        <v>7226</v>
      </c>
      <c r="E8032" s="4" t="s">
        <v>223</v>
      </c>
      <c r="J8032" s="3" t="s">
        <v>8252</v>
      </c>
      <c r="K8032" s="3" t="s">
        <v>223</v>
      </c>
    </row>
    <row r="8033" ht="15.6" spans="4:11">
      <c r="D8033" s="4">
        <v>7227</v>
      </c>
      <c r="E8033" s="4" t="s">
        <v>223</v>
      </c>
      <c r="J8033" s="3" t="s">
        <v>8253</v>
      </c>
      <c r="K8033" s="3" t="s">
        <v>223</v>
      </c>
    </row>
    <row r="8034" ht="15.6" spans="4:11">
      <c r="D8034" s="4">
        <v>7228</v>
      </c>
      <c r="E8034" s="4" t="s">
        <v>223</v>
      </c>
      <c r="J8034" s="3" t="s">
        <v>8254</v>
      </c>
      <c r="K8034" s="3" t="s">
        <v>223</v>
      </c>
    </row>
    <row r="8035" ht="15.6" spans="4:11">
      <c r="D8035" s="4">
        <v>7229</v>
      </c>
      <c r="E8035" s="4" t="s">
        <v>223</v>
      </c>
      <c r="J8035" s="3" t="s">
        <v>8255</v>
      </c>
      <c r="K8035" s="3" t="s">
        <v>223</v>
      </c>
    </row>
    <row r="8036" ht="15.6" spans="4:11">
      <c r="D8036" s="4">
        <v>7230</v>
      </c>
      <c r="E8036" s="4" t="s">
        <v>223</v>
      </c>
      <c r="J8036" s="3" t="s">
        <v>8256</v>
      </c>
      <c r="K8036" s="3" t="s">
        <v>223</v>
      </c>
    </row>
    <row r="8037" ht="15.6" spans="4:11">
      <c r="D8037" s="4">
        <v>7231</v>
      </c>
      <c r="E8037" s="4" t="s">
        <v>223</v>
      </c>
      <c r="J8037" s="3" t="s">
        <v>8257</v>
      </c>
      <c r="K8037" s="3" t="s">
        <v>223</v>
      </c>
    </row>
    <row r="8038" ht="15.6" spans="4:11">
      <c r="D8038" s="4">
        <v>7232</v>
      </c>
      <c r="E8038" s="4" t="s">
        <v>223</v>
      </c>
      <c r="J8038" s="3" t="s">
        <v>8258</v>
      </c>
      <c r="K8038" s="3" t="s">
        <v>223</v>
      </c>
    </row>
    <row r="8039" ht="15.6" spans="4:11">
      <c r="D8039" s="4">
        <v>7233</v>
      </c>
      <c r="E8039" s="4" t="s">
        <v>223</v>
      </c>
      <c r="J8039" s="3" t="s">
        <v>8259</v>
      </c>
      <c r="K8039" s="3" t="s">
        <v>223</v>
      </c>
    </row>
    <row r="8040" ht="15.6" spans="4:11">
      <c r="D8040" s="4">
        <v>7234</v>
      </c>
      <c r="E8040" s="4" t="s">
        <v>223</v>
      </c>
      <c r="J8040" s="3" t="s">
        <v>8260</v>
      </c>
      <c r="K8040" s="3" t="s">
        <v>223</v>
      </c>
    </row>
    <row r="8041" ht="15.6" spans="4:11">
      <c r="D8041" s="4">
        <v>7235</v>
      </c>
      <c r="E8041" s="4" t="s">
        <v>223</v>
      </c>
      <c r="J8041" s="3" t="s">
        <v>8261</v>
      </c>
      <c r="K8041" s="3" t="s">
        <v>223</v>
      </c>
    </row>
    <row r="8042" ht="15.6" spans="4:11">
      <c r="D8042" s="4">
        <v>7236</v>
      </c>
      <c r="E8042" s="4" t="s">
        <v>223</v>
      </c>
      <c r="J8042" s="3" t="s">
        <v>8262</v>
      </c>
      <c r="K8042" s="3" t="s">
        <v>223</v>
      </c>
    </row>
    <row r="8043" ht="15.6" spans="4:11">
      <c r="D8043" s="4">
        <v>7237</v>
      </c>
      <c r="E8043" s="4" t="s">
        <v>223</v>
      </c>
      <c r="J8043" s="3" t="s">
        <v>8263</v>
      </c>
      <c r="K8043" s="3" t="s">
        <v>223</v>
      </c>
    </row>
    <row r="8044" ht="15.6" spans="4:11">
      <c r="D8044" s="4">
        <v>7238</v>
      </c>
      <c r="E8044" s="4" t="s">
        <v>223</v>
      </c>
      <c r="J8044" s="3" t="s">
        <v>8264</v>
      </c>
      <c r="K8044" s="3" t="s">
        <v>223</v>
      </c>
    </row>
    <row r="8045" ht="15.6" spans="4:11">
      <c r="D8045" s="4">
        <v>7239</v>
      </c>
      <c r="E8045" s="4" t="s">
        <v>223</v>
      </c>
      <c r="J8045" s="3" t="s">
        <v>8265</v>
      </c>
      <c r="K8045" s="3" t="s">
        <v>223</v>
      </c>
    </row>
    <row r="8046" ht="15.6" spans="4:11">
      <c r="D8046" s="4">
        <v>7240</v>
      </c>
      <c r="E8046" s="4" t="s">
        <v>223</v>
      </c>
      <c r="J8046" s="3" t="s">
        <v>8266</v>
      </c>
      <c r="K8046" s="3" t="s">
        <v>223</v>
      </c>
    </row>
    <row r="8047" ht="15.6" spans="4:11">
      <c r="D8047" s="4">
        <v>7241</v>
      </c>
      <c r="E8047" s="4" t="s">
        <v>223</v>
      </c>
      <c r="J8047" s="3" t="s">
        <v>8267</v>
      </c>
      <c r="K8047" s="3" t="s">
        <v>223</v>
      </c>
    </row>
    <row r="8048" ht="15.6" spans="4:11">
      <c r="D8048" s="4">
        <v>7242</v>
      </c>
      <c r="E8048" s="4" t="s">
        <v>223</v>
      </c>
      <c r="J8048" s="3" t="s">
        <v>8268</v>
      </c>
      <c r="K8048" s="3" t="s">
        <v>223</v>
      </c>
    </row>
    <row r="8049" ht="15.6" spans="4:11">
      <c r="D8049" s="4">
        <v>7243</v>
      </c>
      <c r="E8049" s="4" t="s">
        <v>223</v>
      </c>
      <c r="J8049" s="3" t="s">
        <v>8269</v>
      </c>
      <c r="K8049" s="3" t="s">
        <v>223</v>
      </c>
    </row>
    <row r="8050" ht="15.6" spans="4:11">
      <c r="D8050" s="4">
        <v>7244</v>
      </c>
      <c r="E8050" s="4" t="s">
        <v>223</v>
      </c>
      <c r="J8050" s="3" t="s">
        <v>8270</v>
      </c>
      <c r="K8050" s="3" t="s">
        <v>223</v>
      </c>
    </row>
    <row r="8051" ht="15.6" spans="4:11">
      <c r="D8051" s="4">
        <v>7245</v>
      </c>
      <c r="E8051" s="4" t="s">
        <v>223</v>
      </c>
      <c r="J8051" s="3" t="s">
        <v>8271</v>
      </c>
      <c r="K8051" s="3" t="s">
        <v>223</v>
      </c>
    </row>
    <row r="8052" ht="15.6" spans="4:11">
      <c r="D8052" s="4">
        <v>7246</v>
      </c>
      <c r="E8052" s="4" t="s">
        <v>223</v>
      </c>
      <c r="J8052" s="3" t="s">
        <v>8272</v>
      </c>
      <c r="K8052" s="3" t="s">
        <v>223</v>
      </c>
    </row>
    <row r="8053" ht="15.6" spans="4:11">
      <c r="D8053" s="4">
        <v>7247</v>
      </c>
      <c r="E8053" s="4" t="s">
        <v>223</v>
      </c>
      <c r="J8053" s="3" t="s">
        <v>8273</v>
      </c>
      <c r="K8053" s="3" t="s">
        <v>223</v>
      </c>
    </row>
    <row r="8054" ht="15.6" spans="4:11">
      <c r="D8054" s="4">
        <v>7248</v>
      </c>
      <c r="E8054" s="4" t="s">
        <v>223</v>
      </c>
      <c r="J8054" s="3" t="s">
        <v>8274</v>
      </c>
      <c r="K8054" s="3" t="s">
        <v>223</v>
      </c>
    </row>
    <row r="8055" ht="15.6" spans="4:11">
      <c r="D8055" s="4">
        <v>7249</v>
      </c>
      <c r="E8055" s="4" t="s">
        <v>223</v>
      </c>
      <c r="J8055" s="3" t="s">
        <v>8275</v>
      </c>
      <c r="K8055" s="3" t="s">
        <v>223</v>
      </c>
    </row>
    <row r="8056" ht="15.6" spans="4:11">
      <c r="D8056" s="4">
        <v>7250</v>
      </c>
      <c r="E8056" s="4" t="s">
        <v>223</v>
      </c>
      <c r="J8056" s="3" t="s">
        <v>8276</v>
      </c>
      <c r="K8056" s="3" t="s">
        <v>223</v>
      </c>
    </row>
    <row r="8057" ht="15.6" spans="4:11">
      <c r="D8057" s="4">
        <v>7251</v>
      </c>
      <c r="E8057" s="4" t="s">
        <v>223</v>
      </c>
      <c r="J8057" s="3" t="s">
        <v>8277</v>
      </c>
      <c r="K8057" s="3" t="s">
        <v>223</v>
      </c>
    </row>
    <row r="8058" ht="15.6" spans="4:11">
      <c r="D8058" s="4">
        <v>7252</v>
      </c>
      <c r="E8058" s="4" t="s">
        <v>223</v>
      </c>
      <c r="J8058" s="3" t="s">
        <v>8278</v>
      </c>
      <c r="K8058" s="3" t="s">
        <v>223</v>
      </c>
    </row>
    <row r="8059" ht="15.6" spans="4:11">
      <c r="D8059" s="4">
        <v>7253</v>
      </c>
      <c r="E8059" s="4" t="s">
        <v>223</v>
      </c>
      <c r="J8059" s="3" t="s">
        <v>8279</v>
      </c>
      <c r="K8059" s="3" t="s">
        <v>223</v>
      </c>
    </row>
    <row r="8060" ht="15.6" spans="4:11">
      <c r="D8060" s="4">
        <v>7254</v>
      </c>
      <c r="E8060" s="4" t="s">
        <v>223</v>
      </c>
      <c r="J8060" s="3" t="s">
        <v>8280</v>
      </c>
      <c r="K8060" s="3" t="s">
        <v>223</v>
      </c>
    </row>
    <row r="8061" ht="15.6" spans="4:11">
      <c r="D8061" s="4">
        <v>7255</v>
      </c>
      <c r="E8061" s="4" t="s">
        <v>223</v>
      </c>
      <c r="J8061" s="3" t="s">
        <v>8281</v>
      </c>
      <c r="K8061" s="3" t="s">
        <v>223</v>
      </c>
    </row>
    <row r="8062" ht="15.6" spans="4:11">
      <c r="D8062" s="4">
        <v>7256</v>
      </c>
      <c r="E8062" s="4" t="s">
        <v>223</v>
      </c>
      <c r="J8062" s="3" t="s">
        <v>8282</v>
      </c>
      <c r="K8062" s="3" t="s">
        <v>223</v>
      </c>
    </row>
    <row r="8063" ht="15.6" spans="4:11">
      <c r="D8063" s="4">
        <v>7257</v>
      </c>
      <c r="E8063" s="4" t="s">
        <v>223</v>
      </c>
      <c r="J8063" s="3" t="s">
        <v>8283</v>
      </c>
      <c r="K8063" s="3" t="s">
        <v>223</v>
      </c>
    </row>
    <row r="8064" ht="15.6" spans="4:11">
      <c r="D8064" s="4">
        <v>7258</v>
      </c>
      <c r="E8064" s="4" t="s">
        <v>223</v>
      </c>
      <c r="J8064" s="3" t="s">
        <v>8284</v>
      </c>
      <c r="K8064" s="3" t="s">
        <v>223</v>
      </c>
    </row>
    <row r="8065" ht="15.6" spans="4:11">
      <c r="D8065" s="4">
        <v>7259</v>
      </c>
      <c r="E8065" s="4" t="s">
        <v>223</v>
      </c>
      <c r="J8065" s="3" t="s">
        <v>8285</v>
      </c>
      <c r="K8065" s="3" t="s">
        <v>223</v>
      </c>
    </row>
    <row r="8066" ht="15.6" spans="4:11">
      <c r="D8066" s="4">
        <v>7260</v>
      </c>
      <c r="E8066" s="4" t="s">
        <v>223</v>
      </c>
      <c r="J8066" s="3" t="s">
        <v>8286</v>
      </c>
      <c r="K8066" s="3" t="s">
        <v>223</v>
      </c>
    </row>
    <row r="8067" ht="15.6" spans="4:11">
      <c r="D8067" s="4">
        <v>7261</v>
      </c>
      <c r="E8067" s="4" t="s">
        <v>223</v>
      </c>
      <c r="J8067" s="3" t="s">
        <v>8287</v>
      </c>
      <c r="K8067" s="3" t="s">
        <v>223</v>
      </c>
    </row>
    <row r="8068" ht="15.6" spans="4:11">
      <c r="D8068" s="4">
        <v>7262</v>
      </c>
      <c r="E8068" s="4" t="s">
        <v>223</v>
      </c>
      <c r="J8068" s="3" t="s">
        <v>8288</v>
      </c>
      <c r="K8068" s="3" t="s">
        <v>223</v>
      </c>
    </row>
    <row r="8069" ht="15.6" spans="4:11">
      <c r="D8069" s="4">
        <v>7263</v>
      </c>
      <c r="E8069" s="4" t="s">
        <v>223</v>
      </c>
      <c r="J8069" s="3" t="s">
        <v>8289</v>
      </c>
      <c r="K8069" s="3" t="s">
        <v>223</v>
      </c>
    </row>
    <row r="8070" ht="15.6" spans="4:11">
      <c r="D8070" s="4">
        <v>7264</v>
      </c>
      <c r="E8070" s="4" t="s">
        <v>223</v>
      </c>
      <c r="J8070" s="3" t="s">
        <v>8290</v>
      </c>
      <c r="K8070" s="3" t="s">
        <v>223</v>
      </c>
    </row>
    <row r="8071" ht="15.6" spans="4:11">
      <c r="D8071" s="4">
        <v>7265</v>
      </c>
      <c r="E8071" s="4" t="s">
        <v>223</v>
      </c>
      <c r="J8071" s="3" t="s">
        <v>8291</v>
      </c>
      <c r="K8071" s="3" t="s">
        <v>223</v>
      </c>
    </row>
    <row r="8072" ht="15.6" spans="4:11">
      <c r="D8072" s="4">
        <v>7266</v>
      </c>
      <c r="E8072" s="4" t="s">
        <v>223</v>
      </c>
      <c r="J8072" s="3" t="s">
        <v>8292</v>
      </c>
      <c r="K8072" s="3" t="s">
        <v>223</v>
      </c>
    </row>
    <row r="8073" ht="15.6" spans="4:11">
      <c r="D8073" s="4">
        <v>7267</v>
      </c>
      <c r="E8073" s="4" t="s">
        <v>223</v>
      </c>
      <c r="J8073" s="3" t="s">
        <v>8293</v>
      </c>
      <c r="K8073" s="3" t="s">
        <v>223</v>
      </c>
    </row>
    <row r="8074" ht="15.6" spans="4:11">
      <c r="D8074" s="4">
        <v>7268</v>
      </c>
      <c r="E8074" s="4" t="s">
        <v>223</v>
      </c>
      <c r="J8074" s="3" t="s">
        <v>8294</v>
      </c>
      <c r="K8074" s="3" t="s">
        <v>223</v>
      </c>
    </row>
    <row r="8075" ht="15.6" spans="4:11">
      <c r="D8075" s="4">
        <v>7269</v>
      </c>
      <c r="E8075" s="4" t="s">
        <v>223</v>
      </c>
      <c r="J8075" s="3" t="s">
        <v>8295</v>
      </c>
      <c r="K8075" s="3" t="s">
        <v>223</v>
      </c>
    </row>
    <row r="8076" ht="15.6" spans="4:11">
      <c r="D8076" s="4">
        <v>7270</v>
      </c>
      <c r="E8076" s="4" t="s">
        <v>223</v>
      </c>
      <c r="J8076" s="3" t="s">
        <v>8296</v>
      </c>
      <c r="K8076" s="3" t="s">
        <v>223</v>
      </c>
    </row>
    <row r="8077" ht="15.6" spans="4:11">
      <c r="D8077" s="4">
        <v>7271</v>
      </c>
      <c r="E8077" s="4" t="s">
        <v>223</v>
      </c>
      <c r="J8077" s="3" t="s">
        <v>8297</v>
      </c>
      <c r="K8077" s="3" t="s">
        <v>223</v>
      </c>
    </row>
    <row r="8078" ht="15.6" spans="4:11">
      <c r="D8078" s="4">
        <v>7272</v>
      </c>
      <c r="E8078" s="4" t="s">
        <v>223</v>
      </c>
      <c r="J8078" s="3" t="s">
        <v>8298</v>
      </c>
      <c r="K8078" s="3" t="s">
        <v>223</v>
      </c>
    </row>
    <row r="8079" ht="15.6" spans="4:11">
      <c r="D8079" s="4">
        <v>7273</v>
      </c>
      <c r="E8079" s="4" t="s">
        <v>223</v>
      </c>
      <c r="J8079" s="3" t="s">
        <v>8299</v>
      </c>
      <c r="K8079" s="3" t="s">
        <v>223</v>
      </c>
    </row>
    <row r="8080" ht="15.6" spans="4:11">
      <c r="D8080" s="4">
        <v>7274</v>
      </c>
      <c r="E8080" s="4" t="s">
        <v>223</v>
      </c>
      <c r="J8080" s="3" t="s">
        <v>8300</v>
      </c>
      <c r="K8080" s="3" t="s">
        <v>223</v>
      </c>
    </row>
    <row r="8081" ht="15.6" spans="4:11">
      <c r="D8081" s="4">
        <v>7275</v>
      </c>
      <c r="E8081" s="4" t="s">
        <v>223</v>
      </c>
      <c r="J8081" s="3" t="s">
        <v>8301</v>
      </c>
      <c r="K8081" s="3" t="s">
        <v>223</v>
      </c>
    </row>
    <row r="8082" ht="15.6" spans="4:11">
      <c r="D8082" s="4">
        <v>7276</v>
      </c>
      <c r="E8082" s="4" t="s">
        <v>223</v>
      </c>
      <c r="J8082" s="3" t="s">
        <v>8302</v>
      </c>
      <c r="K8082" s="3" t="s">
        <v>223</v>
      </c>
    </row>
    <row r="8083" ht="15.6" spans="4:11">
      <c r="D8083" s="4">
        <v>7277</v>
      </c>
      <c r="E8083" s="4" t="s">
        <v>223</v>
      </c>
      <c r="J8083" s="3" t="s">
        <v>8303</v>
      </c>
      <c r="K8083" s="3" t="s">
        <v>223</v>
      </c>
    </row>
    <row r="8084" ht="15.6" spans="4:11">
      <c r="D8084" s="4">
        <v>7278</v>
      </c>
      <c r="E8084" s="4" t="s">
        <v>223</v>
      </c>
      <c r="J8084" s="3" t="s">
        <v>8304</v>
      </c>
      <c r="K8084" s="3" t="s">
        <v>223</v>
      </c>
    </row>
    <row r="8085" ht="15.6" spans="4:11">
      <c r="D8085" s="4">
        <v>7279</v>
      </c>
      <c r="E8085" s="4" t="s">
        <v>223</v>
      </c>
      <c r="J8085" s="3" t="s">
        <v>8305</v>
      </c>
      <c r="K8085" s="3" t="s">
        <v>223</v>
      </c>
    </row>
    <row r="8086" ht="15.6" spans="4:11">
      <c r="D8086" s="4">
        <v>7280</v>
      </c>
      <c r="E8086" s="4" t="s">
        <v>223</v>
      </c>
      <c r="J8086" s="3" t="s">
        <v>8306</v>
      </c>
      <c r="K8086" s="3" t="s">
        <v>223</v>
      </c>
    </row>
    <row r="8087" ht="15.6" spans="4:11">
      <c r="D8087" s="4">
        <v>7281</v>
      </c>
      <c r="E8087" s="4" t="s">
        <v>223</v>
      </c>
      <c r="J8087" s="3" t="s">
        <v>8307</v>
      </c>
      <c r="K8087" s="3" t="s">
        <v>223</v>
      </c>
    </row>
    <row r="8088" ht="15.6" spans="4:11">
      <c r="D8088" s="4">
        <v>7282</v>
      </c>
      <c r="E8088" s="4" t="s">
        <v>223</v>
      </c>
      <c r="J8088" s="3" t="s">
        <v>8308</v>
      </c>
      <c r="K8088" s="3" t="s">
        <v>223</v>
      </c>
    </row>
    <row r="8089" ht="15.6" spans="4:11">
      <c r="D8089" s="4">
        <v>7283</v>
      </c>
      <c r="E8089" s="4" t="s">
        <v>223</v>
      </c>
      <c r="J8089" s="3" t="s">
        <v>8309</v>
      </c>
      <c r="K8089" s="3" t="s">
        <v>223</v>
      </c>
    </row>
    <row r="8090" ht="15.6" spans="4:11">
      <c r="D8090" s="4">
        <v>7284</v>
      </c>
      <c r="E8090" s="4" t="s">
        <v>223</v>
      </c>
      <c r="J8090" s="3" t="s">
        <v>8310</v>
      </c>
      <c r="K8090" s="3" t="s">
        <v>223</v>
      </c>
    </row>
    <row r="8091" ht="15.6" spans="4:11">
      <c r="D8091" s="4">
        <v>7285</v>
      </c>
      <c r="E8091" s="4" t="s">
        <v>223</v>
      </c>
      <c r="J8091" s="3" t="s">
        <v>8311</v>
      </c>
      <c r="K8091" s="3" t="s">
        <v>223</v>
      </c>
    </row>
    <row r="8092" ht="15.6" spans="4:11">
      <c r="D8092" s="4">
        <v>7286</v>
      </c>
      <c r="E8092" s="4" t="s">
        <v>223</v>
      </c>
      <c r="J8092" s="3" t="s">
        <v>8312</v>
      </c>
      <c r="K8092" s="3" t="s">
        <v>223</v>
      </c>
    </row>
    <row r="8093" ht="15.6" spans="4:11">
      <c r="D8093" s="4">
        <v>7287</v>
      </c>
      <c r="E8093" s="4" t="s">
        <v>223</v>
      </c>
      <c r="J8093" s="3" t="s">
        <v>8313</v>
      </c>
      <c r="K8093" s="3" t="s">
        <v>223</v>
      </c>
    </row>
    <row r="8094" ht="15.6" spans="4:11">
      <c r="D8094" s="4">
        <v>7288</v>
      </c>
      <c r="E8094" s="4" t="s">
        <v>223</v>
      </c>
      <c r="J8094" s="3" t="s">
        <v>8314</v>
      </c>
      <c r="K8094" s="3" t="s">
        <v>223</v>
      </c>
    </row>
    <row r="8095" ht="15.6" spans="4:11">
      <c r="D8095" s="4">
        <v>7289</v>
      </c>
      <c r="E8095" s="4" t="s">
        <v>223</v>
      </c>
      <c r="J8095" s="3" t="s">
        <v>8315</v>
      </c>
      <c r="K8095" s="3" t="s">
        <v>223</v>
      </c>
    </row>
    <row r="8096" ht="15.6" spans="4:11">
      <c r="D8096" s="4">
        <v>7290</v>
      </c>
      <c r="E8096" s="4" t="s">
        <v>223</v>
      </c>
      <c r="J8096" s="3" t="s">
        <v>8316</v>
      </c>
      <c r="K8096" s="3" t="s">
        <v>223</v>
      </c>
    </row>
    <row r="8097" ht="15.6" spans="4:11">
      <c r="D8097" s="4">
        <v>7291</v>
      </c>
      <c r="E8097" s="4" t="s">
        <v>223</v>
      </c>
      <c r="J8097" s="3" t="s">
        <v>8317</v>
      </c>
      <c r="K8097" s="3" t="s">
        <v>223</v>
      </c>
    </row>
    <row r="8098" ht="15.6" spans="4:11">
      <c r="D8098" s="4">
        <v>7292</v>
      </c>
      <c r="E8098" s="4" t="s">
        <v>223</v>
      </c>
      <c r="J8098" s="3" t="s">
        <v>8318</v>
      </c>
      <c r="K8098" s="3" t="s">
        <v>223</v>
      </c>
    </row>
    <row r="8099" ht="15.6" spans="4:11">
      <c r="D8099" s="4">
        <v>7293</v>
      </c>
      <c r="E8099" s="4" t="s">
        <v>223</v>
      </c>
      <c r="J8099" s="3" t="s">
        <v>8319</v>
      </c>
      <c r="K8099" s="3" t="s">
        <v>223</v>
      </c>
    </row>
    <row r="8100" ht="15.6" spans="4:11">
      <c r="D8100" s="4">
        <v>7294</v>
      </c>
      <c r="E8100" s="4" t="s">
        <v>223</v>
      </c>
      <c r="J8100" s="3" t="s">
        <v>8320</v>
      </c>
      <c r="K8100" s="3" t="s">
        <v>223</v>
      </c>
    </row>
    <row r="8101" ht="15.6" spans="4:11">
      <c r="D8101" s="4">
        <v>7295</v>
      </c>
      <c r="E8101" s="4" t="s">
        <v>223</v>
      </c>
      <c r="J8101" s="3" t="s">
        <v>8321</v>
      </c>
      <c r="K8101" s="3" t="s">
        <v>223</v>
      </c>
    </row>
    <row r="8102" ht="15.6" spans="4:11">
      <c r="D8102" s="4">
        <v>7296</v>
      </c>
      <c r="E8102" s="4" t="s">
        <v>223</v>
      </c>
      <c r="J8102" s="3" t="s">
        <v>8322</v>
      </c>
      <c r="K8102" s="3" t="s">
        <v>223</v>
      </c>
    </row>
    <row r="8103" ht="15.6" spans="4:11">
      <c r="D8103" s="4">
        <v>7297</v>
      </c>
      <c r="E8103" s="4" t="s">
        <v>223</v>
      </c>
      <c r="J8103" s="3" t="s">
        <v>8323</v>
      </c>
      <c r="K8103" s="3" t="s">
        <v>223</v>
      </c>
    </row>
    <row r="8104" ht="15.6" spans="4:11">
      <c r="D8104" s="4">
        <v>7298</v>
      </c>
      <c r="E8104" s="4" t="s">
        <v>223</v>
      </c>
      <c r="J8104" s="3" t="s">
        <v>8324</v>
      </c>
      <c r="K8104" s="3" t="s">
        <v>223</v>
      </c>
    </row>
    <row r="8105" ht="15.6" spans="4:11">
      <c r="D8105" s="4">
        <v>7299</v>
      </c>
      <c r="E8105" s="4" t="s">
        <v>223</v>
      </c>
      <c r="J8105" s="3" t="s">
        <v>8325</v>
      </c>
      <c r="K8105" s="3" t="s">
        <v>223</v>
      </c>
    </row>
    <row r="8106" ht="15.6" spans="4:11">
      <c r="D8106" s="4">
        <v>7300</v>
      </c>
      <c r="E8106" s="4" t="s">
        <v>223</v>
      </c>
      <c r="J8106" s="3" t="s">
        <v>8326</v>
      </c>
      <c r="K8106" s="3" t="s">
        <v>223</v>
      </c>
    </row>
    <row r="8107" ht="15.6" spans="4:11">
      <c r="D8107" s="4">
        <v>7301</v>
      </c>
      <c r="E8107" s="4" t="s">
        <v>223</v>
      </c>
      <c r="J8107" s="3" t="s">
        <v>8327</v>
      </c>
      <c r="K8107" s="3" t="s">
        <v>223</v>
      </c>
    </row>
    <row r="8108" ht="15.6" spans="4:11">
      <c r="D8108" s="4">
        <v>7302</v>
      </c>
      <c r="E8108" s="4" t="s">
        <v>223</v>
      </c>
      <c r="J8108" s="3" t="s">
        <v>8328</v>
      </c>
      <c r="K8108" s="3" t="s">
        <v>223</v>
      </c>
    </row>
    <row r="8109" ht="15.6" spans="4:11">
      <c r="D8109" s="4">
        <v>7303</v>
      </c>
      <c r="E8109" s="4" t="s">
        <v>223</v>
      </c>
      <c r="J8109" s="3" t="s">
        <v>8329</v>
      </c>
      <c r="K8109" s="3" t="s">
        <v>223</v>
      </c>
    </row>
    <row r="8110" ht="15.6" spans="4:11">
      <c r="D8110" s="4">
        <v>7304</v>
      </c>
      <c r="E8110" s="4" t="s">
        <v>223</v>
      </c>
      <c r="J8110" s="3" t="s">
        <v>8330</v>
      </c>
      <c r="K8110" s="3" t="s">
        <v>223</v>
      </c>
    </row>
    <row r="8111" ht="15.6" spans="4:11">
      <c r="D8111" s="4">
        <v>7305</v>
      </c>
      <c r="E8111" s="4" t="s">
        <v>223</v>
      </c>
      <c r="J8111" s="3" t="s">
        <v>8331</v>
      </c>
      <c r="K8111" s="3" t="s">
        <v>223</v>
      </c>
    </row>
    <row r="8112" ht="15.6" spans="4:11">
      <c r="D8112" s="4">
        <v>7306</v>
      </c>
      <c r="E8112" s="4" t="s">
        <v>223</v>
      </c>
      <c r="J8112" s="3" t="s">
        <v>8332</v>
      </c>
      <c r="K8112" s="3" t="s">
        <v>223</v>
      </c>
    </row>
    <row r="8113" ht="15.6" spans="4:11">
      <c r="D8113" s="4">
        <v>7307</v>
      </c>
      <c r="E8113" s="4" t="s">
        <v>223</v>
      </c>
      <c r="J8113" s="3" t="s">
        <v>8333</v>
      </c>
      <c r="K8113" s="3" t="s">
        <v>223</v>
      </c>
    </row>
    <row r="8114" ht="15.6" spans="4:11">
      <c r="D8114" s="4">
        <v>7308</v>
      </c>
      <c r="E8114" s="4" t="s">
        <v>223</v>
      </c>
      <c r="J8114" s="3" t="s">
        <v>8334</v>
      </c>
      <c r="K8114" s="3" t="s">
        <v>223</v>
      </c>
    </row>
    <row r="8115" ht="15.6" spans="4:11">
      <c r="D8115" s="4">
        <v>7309</v>
      </c>
      <c r="E8115" s="4" t="s">
        <v>223</v>
      </c>
      <c r="J8115" s="3" t="s">
        <v>8335</v>
      </c>
      <c r="K8115" s="3" t="s">
        <v>223</v>
      </c>
    </row>
    <row r="8116" ht="15.6" spans="4:11">
      <c r="D8116" s="4">
        <v>7310</v>
      </c>
      <c r="E8116" s="4" t="s">
        <v>223</v>
      </c>
      <c r="J8116" s="3" t="s">
        <v>8336</v>
      </c>
      <c r="K8116" s="3" t="s">
        <v>223</v>
      </c>
    </row>
    <row r="8117" ht="15.6" spans="4:11">
      <c r="D8117" s="4">
        <v>7311</v>
      </c>
      <c r="E8117" s="4" t="s">
        <v>223</v>
      </c>
      <c r="J8117" s="3" t="s">
        <v>8337</v>
      </c>
      <c r="K8117" s="3" t="s">
        <v>223</v>
      </c>
    </row>
    <row r="8118" ht="15.6" spans="4:11">
      <c r="D8118" s="4">
        <v>7312</v>
      </c>
      <c r="E8118" s="4" t="s">
        <v>223</v>
      </c>
      <c r="J8118" s="3" t="s">
        <v>8338</v>
      </c>
      <c r="K8118" s="3" t="s">
        <v>223</v>
      </c>
    </row>
    <row r="8119" ht="15.6" spans="4:11">
      <c r="D8119" s="4">
        <v>7313</v>
      </c>
      <c r="E8119" s="4" t="s">
        <v>223</v>
      </c>
      <c r="J8119" s="3" t="s">
        <v>8339</v>
      </c>
      <c r="K8119" s="3" t="s">
        <v>223</v>
      </c>
    </row>
    <row r="8120" ht="15.6" spans="4:11">
      <c r="D8120" s="4">
        <v>7314</v>
      </c>
      <c r="E8120" s="4" t="s">
        <v>223</v>
      </c>
      <c r="J8120" s="3" t="s">
        <v>8340</v>
      </c>
      <c r="K8120" s="3" t="s">
        <v>223</v>
      </c>
    </row>
    <row r="8121" ht="15.6" spans="4:11">
      <c r="D8121" s="4">
        <v>7315</v>
      </c>
      <c r="E8121" s="4" t="s">
        <v>223</v>
      </c>
      <c r="J8121" s="3" t="s">
        <v>8341</v>
      </c>
      <c r="K8121" s="3" t="s">
        <v>223</v>
      </c>
    </row>
    <row r="8122" ht="15.6" spans="4:11">
      <c r="D8122" s="4">
        <v>7316</v>
      </c>
      <c r="E8122" s="4" t="s">
        <v>223</v>
      </c>
      <c r="J8122" s="3" t="s">
        <v>8342</v>
      </c>
      <c r="K8122" s="3" t="s">
        <v>223</v>
      </c>
    </row>
    <row r="8123" ht="15.6" spans="4:11">
      <c r="D8123" s="4">
        <v>7317</v>
      </c>
      <c r="E8123" s="4" t="s">
        <v>223</v>
      </c>
      <c r="J8123" s="3" t="s">
        <v>8343</v>
      </c>
      <c r="K8123" s="3" t="s">
        <v>223</v>
      </c>
    </row>
    <row r="8124" ht="15.6" spans="4:11">
      <c r="D8124" s="4">
        <v>7318</v>
      </c>
      <c r="E8124" s="4" t="s">
        <v>223</v>
      </c>
      <c r="J8124" s="3" t="s">
        <v>8344</v>
      </c>
      <c r="K8124" s="3" t="s">
        <v>223</v>
      </c>
    </row>
    <row r="8125" ht="15.6" spans="4:11">
      <c r="D8125" s="4">
        <v>7319</v>
      </c>
      <c r="E8125" s="4" t="s">
        <v>223</v>
      </c>
      <c r="J8125" s="3" t="s">
        <v>8345</v>
      </c>
      <c r="K8125" s="3" t="s">
        <v>223</v>
      </c>
    </row>
    <row r="8126" ht="15.6" spans="4:11">
      <c r="D8126" s="4">
        <v>7320</v>
      </c>
      <c r="E8126" s="4" t="s">
        <v>223</v>
      </c>
      <c r="J8126" s="3" t="s">
        <v>8346</v>
      </c>
      <c r="K8126" s="3" t="s">
        <v>223</v>
      </c>
    </row>
    <row r="8127" ht="15.6" spans="4:11">
      <c r="D8127" s="4">
        <v>7321</v>
      </c>
      <c r="E8127" s="4" t="s">
        <v>223</v>
      </c>
      <c r="J8127" s="3" t="s">
        <v>8347</v>
      </c>
      <c r="K8127" s="3" t="s">
        <v>223</v>
      </c>
    </row>
    <row r="8128" ht="15.6" spans="4:11">
      <c r="D8128" s="4">
        <v>7322</v>
      </c>
      <c r="E8128" s="4" t="s">
        <v>223</v>
      </c>
      <c r="J8128" s="3" t="s">
        <v>8348</v>
      </c>
      <c r="K8128" s="3" t="s">
        <v>223</v>
      </c>
    </row>
    <row r="8129" ht="15.6" spans="4:11">
      <c r="D8129" s="4">
        <v>7323</v>
      </c>
      <c r="E8129" s="4" t="s">
        <v>223</v>
      </c>
      <c r="J8129" s="3" t="s">
        <v>8349</v>
      </c>
      <c r="K8129" s="3" t="s">
        <v>223</v>
      </c>
    </row>
    <row r="8130" ht="15.6" spans="4:11">
      <c r="D8130" s="4">
        <v>7324</v>
      </c>
      <c r="E8130" s="4" t="s">
        <v>223</v>
      </c>
      <c r="J8130" s="3" t="s">
        <v>8350</v>
      </c>
      <c r="K8130" s="3" t="s">
        <v>223</v>
      </c>
    </row>
    <row r="8131" ht="15.6" spans="4:11">
      <c r="D8131" s="4">
        <v>7325</v>
      </c>
      <c r="E8131" s="4" t="s">
        <v>223</v>
      </c>
      <c r="J8131" s="3" t="s">
        <v>8351</v>
      </c>
      <c r="K8131" s="3" t="s">
        <v>223</v>
      </c>
    </row>
    <row r="8132" ht="15.6" spans="4:11">
      <c r="D8132" s="4">
        <v>7326</v>
      </c>
      <c r="E8132" s="4" t="s">
        <v>223</v>
      </c>
      <c r="J8132" s="3" t="s">
        <v>8352</v>
      </c>
      <c r="K8132" s="3" t="s">
        <v>223</v>
      </c>
    </row>
    <row r="8133" ht="15.6" spans="4:11">
      <c r="D8133" s="4">
        <v>7327</v>
      </c>
      <c r="E8133" s="4" t="s">
        <v>223</v>
      </c>
      <c r="J8133" s="3" t="s">
        <v>8353</v>
      </c>
      <c r="K8133" s="3" t="s">
        <v>223</v>
      </c>
    </row>
    <row r="8134" ht="15.6" spans="4:11">
      <c r="D8134" s="4">
        <v>7328</v>
      </c>
      <c r="E8134" s="4" t="s">
        <v>223</v>
      </c>
      <c r="J8134" s="3" t="s">
        <v>8354</v>
      </c>
      <c r="K8134" s="3" t="s">
        <v>223</v>
      </c>
    </row>
    <row r="8135" ht="15.6" spans="4:11">
      <c r="D8135" s="4">
        <v>7329</v>
      </c>
      <c r="E8135" s="4" t="s">
        <v>223</v>
      </c>
      <c r="J8135" s="3" t="s">
        <v>8355</v>
      </c>
      <c r="K8135" s="3" t="s">
        <v>223</v>
      </c>
    </row>
    <row r="8136" ht="15.6" spans="4:11">
      <c r="D8136" s="4">
        <v>7330</v>
      </c>
      <c r="E8136" s="4" t="s">
        <v>223</v>
      </c>
      <c r="J8136" s="3" t="s">
        <v>8356</v>
      </c>
      <c r="K8136" s="3" t="s">
        <v>223</v>
      </c>
    </row>
    <row r="8137" ht="15.6" spans="4:11">
      <c r="D8137" s="4">
        <v>7331</v>
      </c>
      <c r="E8137" s="4" t="s">
        <v>223</v>
      </c>
      <c r="J8137" s="3" t="s">
        <v>8357</v>
      </c>
      <c r="K8137" s="3" t="s">
        <v>223</v>
      </c>
    </row>
    <row r="8138" ht="15.6" spans="4:11">
      <c r="D8138" s="4">
        <v>7332</v>
      </c>
      <c r="E8138" s="4" t="s">
        <v>223</v>
      </c>
      <c r="J8138" s="3" t="s">
        <v>8358</v>
      </c>
      <c r="K8138" s="3" t="s">
        <v>223</v>
      </c>
    </row>
    <row r="8139" ht="15.6" spans="4:11">
      <c r="D8139" s="4">
        <v>7333</v>
      </c>
      <c r="E8139" s="4" t="s">
        <v>223</v>
      </c>
      <c r="J8139" s="3" t="s">
        <v>8359</v>
      </c>
      <c r="K8139" s="3" t="s">
        <v>223</v>
      </c>
    </row>
    <row r="8140" ht="15.6" spans="4:11">
      <c r="D8140" s="4">
        <v>7334</v>
      </c>
      <c r="E8140" s="4" t="s">
        <v>223</v>
      </c>
      <c r="J8140" s="3" t="s">
        <v>8360</v>
      </c>
      <c r="K8140" s="3" t="s">
        <v>223</v>
      </c>
    </row>
    <row r="8141" ht="15.6" spans="4:11">
      <c r="D8141" s="4">
        <v>7335</v>
      </c>
      <c r="E8141" s="4" t="s">
        <v>223</v>
      </c>
      <c r="J8141" s="3" t="s">
        <v>8361</v>
      </c>
      <c r="K8141" s="3" t="s">
        <v>223</v>
      </c>
    </row>
    <row r="8142" ht="15.6" spans="4:11">
      <c r="D8142" s="4">
        <v>7336</v>
      </c>
      <c r="E8142" s="4" t="s">
        <v>223</v>
      </c>
      <c r="J8142" s="3" t="s">
        <v>8362</v>
      </c>
      <c r="K8142" s="3" t="s">
        <v>223</v>
      </c>
    </row>
    <row r="8143" ht="15.6" spans="4:11">
      <c r="D8143" s="4">
        <v>7337</v>
      </c>
      <c r="E8143" s="4" t="s">
        <v>223</v>
      </c>
      <c r="J8143" s="3" t="s">
        <v>8363</v>
      </c>
      <c r="K8143" s="3" t="s">
        <v>223</v>
      </c>
    </row>
    <row r="8144" ht="15.6" spans="4:11">
      <c r="D8144" s="4">
        <v>7338</v>
      </c>
      <c r="E8144" s="4" t="s">
        <v>223</v>
      </c>
      <c r="J8144" s="3" t="s">
        <v>8364</v>
      </c>
      <c r="K8144" s="3" t="s">
        <v>223</v>
      </c>
    </row>
    <row r="8145" ht="15.6" spans="4:11">
      <c r="D8145" s="4">
        <v>7339</v>
      </c>
      <c r="E8145" s="4" t="s">
        <v>223</v>
      </c>
      <c r="J8145" s="3" t="s">
        <v>8365</v>
      </c>
      <c r="K8145" s="3" t="s">
        <v>223</v>
      </c>
    </row>
    <row r="8146" ht="15.6" spans="4:11">
      <c r="D8146" s="4">
        <v>7340</v>
      </c>
      <c r="E8146" s="4" t="s">
        <v>223</v>
      </c>
      <c r="J8146" s="3" t="s">
        <v>8366</v>
      </c>
      <c r="K8146" s="3" t="s">
        <v>223</v>
      </c>
    </row>
    <row r="8147" ht="15.6" spans="4:11">
      <c r="D8147" s="4">
        <v>7341</v>
      </c>
      <c r="E8147" s="4" t="s">
        <v>223</v>
      </c>
      <c r="J8147" s="3" t="s">
        <v>8367</v>
      </c>
      <c r="K8147" s="3" t="s">
        <v>223</v>
      </c>
    </row>
    <row r="8148" ht="15.6" spans="4:11">
      <c r="D8148" s="4">
        <v>7342</v>
      </c>
      <c r="E8148" s="4" t="s">
        <v>223</v>
      </c>
      <c r="J8148" s="3" t="s">
        <v>8368</v>
      </c>
      <c r="K8148" s="3" t="s">
        <v>223</v>
      </c>
    </row>
    <row r="8149" ht="15.6" spans="4:11">
      <c r="D8149" s="4">
        <v>7343</v>
      </c>
      <c r="E8149" s="4" t="s">
        <v>223</v>
      </c>
      <c r="J8149" s="3" t="s">
        <v>8369</v>
      </c>
      <c r="K8149" s="3" t="s">
        <v>223</v>
      </c>
    </row>
    <row r="8150" ht="15.6" spans="4:11">
      <c r="D8150" s="4">
        <v>7344</v>
      </c>
      <c r="E8150" s="4" t="s">
        <v>223</v>
      </c>
      <c r="J8150" s="3" t="s">
        <v>8370</v>
      </c>
      <c r="K8150" s="3" t="s">
        <v>223</v>
      </c>
    </row>
    <row r="8151" ht="15.6" spans="4:11">
      <c r="D8151" s="4">
        <v>7345</v>
      </c>
      <c r="E8151" s="4" t="s">
        <v>223</v>
      </c>
      <c r="J8151" s="3" t="s">
        <v>8371</v>
      </c>
      <c r="K8151" s="3" t="s">
        <v>223</v>
      </c>
    </row>
    <row r="8152" ht="15.6" spans="4:11">
      <c r="D8152" s="4">
        <v>7346</v>
      </c>
      <c r="E8152" s="4" t="s">
        <v>223</v>
      </c>
      <c r="J8152" s="3" t="s">
        <v>8372</v>
      </c>
      <c r="K8152" s="3" t="s">
        <v>223</v>
      </c>
    </row>
    <row r="8153" ht="15.6" spans="4:11">
      <c r="D8153" s="4">
        <v>7347</v>
      </c>
      <c r="E8153" s="4" t="s">
        <v>223</v>
      </c>
      <c r="J8153" s="3" t="s">
        <v>8373</v>
      </c>
      <c r="K8153" s="3" t="s">
        <v>223</v>
      </c>
    </row>
    <row r="8154" ht="15.6" spans="4:11">
      <c r="D8154" s="4">
        <v>7348</v>
      </c>
      <c r="E8154" s="4" t="s">
        <v>223</v>
      </c>
      <c r="J8154" s="3" t="s">
        <v>8374</v>
      </c>
      <c r="K8154" s="3" t="s">
        <v>223</v>
      </c>
    </row>
    <row r="8155" ht="15.6" spans="4:11">
      <c r="D8155" s="4">
        <v>7349</v>
      </c>
      <c r="E8155" s="4" t="s">
        <v>223</v>
      </c>
      <c r="J8155" s="3" t="s">
        <v>8375</v>
      </c>
      <c r="K8155" s="3" t="s">
        <v>223</v>
      </c>
    </row>
    <row r="8156" ht="15.6" spans="4:11">
      <c r="D8156" s="4">
        <v>7350</v>
      </c>
      <c r="E8156" s="4" t="s">
        <v>223</v>
      </c>
      <c r="J8156" s="3" t="s">
        <v>8376</v>
      </c>
      <c r="K8156" s="3" t="s">
        <v>223</v>
      </c>
    </row>
    <row r="8157" ht="15.6" spans="4:11">
      <c r="D8157" s="4">
        <v>7351</v>
      </c>
      <c r="E8157" s="4" t="s">
        <v>223</v>
      </c>
      <c r="J8157" s="3" t="s">
        <v>8377</v>
      </c>
      <c r="K8157" s="3" t="s">
        <v>223</v>
      </c>
    </row>
    <row r="8158" ht="15.6" spans="4:11">
      <c r="D8158" s="4">
        <v>7352</v>
      </c>
      <c r="E8158" s="4" t="s">
        <v>223</v>
      </c>
      <c r="J8158" s="3" t="s">
        <v>8378</v>
      </c>
      <c r="K8158" s="3" t="s">
        <v>223</v>
      </c>
    </row>
    <row r="8159" ht="15.6" spans="4:11">
      <c r="D8159" s="4">
        <v>7353</v>
      </c>
      <c r="E8159" s="4" t="s">
        <v>223</v>
      </c>
      <c r="J8159" s="3" t="s">
        <v>8379</v>
      </c>
      <c r="K8159" s="3" t="s">
        <v>223</v>
      </c>
    </row>
    <row r="8160" ht="15.6" spans="4:11">
      <c r="D8160" s="4">
        <v>7354</v>
      </c>
      <c r="E8160" s="4" t="s">
        <v>223</v>
      </c>
      <c r="J8160" s="3" t="s">
        <v>8380</v>
      </c>
      <c r="K8160" s="3" t="s">
        <v>223</v>
      </c>
    </row>
    <row r="8161" ht="15.6" spans="4:11">
      <c r="D8161" s="4">
        <v>7355</v>
      </c>
      <c r="E8161" s="4" t="s">
        <v>223</v>
      </c>
      <c r="J8161" s="3" t="s">
        <v>8381</v>
      </c>
      <c r="K8161" s="3" t="s">
        <v>223</v>
      </c>
    </row>
    <row r="8162" ht="15.6" spans="4:11">
      <c r="D8162" s="4">
        <v>7356</v>
      </c>
      <c r="E8162" s="4" t="s">
        <v>223</v>
      </c>
      <c r="J8162" s="3" t="s">
        <v>8382</v>
      </c>
      <c r="K8162" s="3" t="s">
        <v>223</v>
      </c>
    </row>
    <row r="8163" ht="15.6" spans="4:11">
      <c r="D8163" s="4">
        <v>7357</v>
      </c>
      <c r="E8163" s="4" t="s">
        <v>223</v>
      </c>
      <c r="J8163" s="3" t="s">
        <v>8383</v>
      </c>
      <c r="K8163" s="3" t="s">
        <v>223</v>
      </c>
    </row>
    <row r="8164" ht="15.6" spans="4:11">
      <c r="D8164" s="4">
        <v>7358</v>
      </c>
      <c r="E8164" s="4" t="s">
        <v>223</v>
      </c>
      <c r="J8164" s="3" t="s">
        <v>8384</v>
      </c>
      <c r="K8164" s="3" t="s">
        <v>223</v>
      </c>
    </row>
    <row r="8165" ht="15.6" spans="4:11">
      <c r="D8165" s="4">
        <v>7359</v>
      </c>
      <c r="E8165" s="4" t="s">
        <v>223</v>
      </c>
      <c r="J8165" s="3" t="s">
        <v>8385</v>
      </c>
      <c r="K8165" s="3" t="s">
        <v>223</v>
      </c>
    </row>
    <row r="8166" ht="15.6" spans="4:11">
      <c r="D8166" s="4">
        <v>7360</v>
      </c>
      <c r="E8166" s="4" t="s">
        <v>223</v>
      </c>
      <c r="J8166" s="3" t="s">
        <v>8386</v>
      </c>
      <c r="K8166" s="3" t="s">
        <v>223</v>
      </c>
    </row>
    <row r="8167" ht="15.6" spans="4:11">
      <c r="D8167" s="4">
        <v>7361</v>
      </c>
      <c r="E8167" s="4" t="s">
        <v>223</v>
      </c>
      <c r="J8167" s="3" t="s">
        <v>8387</v>
      </c>
      <c r="K8167" s="3" t="s">
        <v>223</v>
      </c>
    </row>
    <row r="8168" ht="15.6" spans="4:11">
      <c r="D8168" s="4">
        <v>7362</v>
      </c>
      <c r="E8168" s="4" t="s">
        <v>223</v>
      </c>
      <c r="J8168" s="3" t="s">
        <v>8388</v>
      </c>
      <c r="K8168" s="3" t="s">
        <v>223</v>
      </c>
    </row>
    <row r="8169" ht="15.6" spans="4:11">
      <c r="D8169" s="4">
        <v>7363</v>
      </c>
      <c r="E8169" s="4" t="s">
        <v>223</v>
      </c>
      <c r="J8169" s="3" t="s">
        <v>8389</v>
      </c>
      <c r="K8169" s="3" t="s">
        <v>223</v>
      </c>
    </row>
    <row r="8170" ht="15.6" spans="4:11">
      <c r="D8170" s="4">
        <v>7364</v>
      </c>
      <c r="E8170" s="4" t="s">
        <v>223</v>
      </c>
      <c r="J8170" s="3" t="s">
        <v>8390</v>
      </c>
      <c r="K8170" s="3" t="s">
        <v>223</v>
      </c>
    </row>
    <row r="8171" ht="15.6" spans="4:11">
      <c r="D8171" s="4">
        <v>7365</v>
      </c>
      <c r="E8171" s="4" t="s">
        <v>223</v>
      </c>
      <c r="J8171" s="3" t="s">
        <v>8391</v>
      </c>
      <c r="K8171" s="3" t="s">
        <v>223</v>
      </c>
    </row>
    <row r="8172" ht="15.6" spans="4:11">
      <c r="D8172" s="4">
        <v>7366</v>
      </c>
      <c r="E8172" s="4" t="s">
        <v>223</v>
      </c>
      <c r="J8172" s="3" t="s">
        <v>8392</v>
      </c>
      <c r="K8172" s="3" t="s">
        <v>223</v>
      </c>
    </row>
    <row r="8173" ht="15.6" spans="4:11">
      <c r="D8173" s="4">
        <v>7367</v>
      </c>
      <c r="E8173" s="4" t="s">
        <v>223</v>
      </c>
      <c r="J8173" s="3" t="s">
        <v>8393</v>
      </c>
      <c r="K8173" s="3" t="s">
        <v>223</v>
      </c>
    </row>
    <row r="8174" ht="15.6" spans="4:11">
      <c r="D8174" s="4">
        <v>7368</v>
      </c>
      <c r="E8174" s="4" t="s">
        <v>223</v>
      </c>
      <c r="J8174" s="3" t="s">
        <v>8394</v>
      </c>
      <c r="K8174" s="3" t="s">
        <v>223</v>
      </c>
    </row>
    <row r="8175" ht="15.6" spans="4:11">
      <c r="D8175" s="4">
        <v>7369</v>
      </c>
      <c r="E8175" s="4" t="s">
        <v>223</v>
      </c>
      <c r="J8175" s="3" t="s">
        <v>8395</v>
      </c>
      <c r="K8175" s="3" t="s">
        <v>223</v>
      </c>
    </row>
    <row r="8176" ht="15.6" spans="4:11">
      <c r="D8176" s="4">
        <v>7370</v>
      </c>
      <c r="E8176" s="4" t="s">
        <v>223</v>
      </c>
      <c r="J8176" s="3" t="s">
        <v>8396</v>
      </c>
      <c r="K8176" s="3" t="s">
        <v>223</v>
      </c>
    </row>
    <row r="8177" ht="15.6" spans="4:11">
      <c r="D8177" s="4">
        <v>7371</v>
      </c>
      <c r="E8177" s="4" t="s">
        <v>223</v>
      </c>
      <c r="J8177" s="3" t="s">
        <v>8397</v>
      </c>
      <c r="K8177" s="3" t="s">
        <v>223</v>
      </c>
    </row>
    <row r="8178" ht="15.6" spans="4:11">
      <c r="D8178" s="4">
        <v>7372</v>
      </c>
      <c r="E8178" s="4" t="s">
        <v>223</v>
      </c>
      <c r="J8178" s="3" t="s">
        <v>8398</v>
      </c>
      <c r="K8178" s="3" t="s">
        <v>223</v>
      </c>
    </row>
    <row r="8179" ht="15.6" spans="4:11">
      <c r="D8179" s="4">
        <v>7373</v>
      </c>
      <c r="E8179" s="4" t="s">
        <v>223</v>
      </c>
      <c r="J8179" s="3" t="s">
        <v>8399</v>
      </c>
      <c r="K8179" s="3" t="s">
        <v>223</v>
      </c>
    </row>
    <row r="8180" ht="15.6" spans="4:11">
      <c r="D8180" s="4">
        <v>7374</v>
      </c>
      <c r="E8180" s="4" t="s">
        <v>223</v>
      </c>
      <c r="J8180" s="3" t="s">
        <v>8400</v>
      </c>
      <c r="K8180" s="3" t="s">
        <v>223</v>
      </c>
    </row>
    <row r="8181" ht="15.6" spans="4:11">
      <c r="D8181" s="4">
        <v>7375</v>
      </c>
      <c r="E8181" s="4" t="s">
        <v>223</v>
      </c>
      <c r="J8181" s="3" t="s">
        <v>8401</v>
      </c>
      <c r="K8181" s="3" t="s">
        <v>223</v>
      </c>
    </row>
    <row r="8182" ht="15.6" spans="4:11">
      <c r="D8182" s="4">
        <v>7376</v>
      </c>
      <c r="E8182" s="4" t="s">
        <v>223</v>
      </c>
      <c r="J8182" s="3" t="s">
        <v>8402</v>
      </c>
      <c r="K8182" s="3" t="s">
        <v>223</v>
      </c>
    </row>
    <row r="8183" ht="15.6" spans="4:11">
      <c r="D8183" s="4">
        <v>7377</v>
      </c>
      <c r="E8183" s="4" t="s">
        <v>223</v>
      </c>
      <c r="J8183" s="3" t="s">
        <v>8403</v>
      </c>
      <c r="K8183" s="3" t="s">
        <v>223</v>
      </c>
    </row>
    <row r="8184" ht="15.6" spans="4:11">
      <c r="D8184" s="4">
        <v>7378</v>
      </c>
      <c r="E8184" s="4" t="s">
        <v>223</v>
      </c>
      <c r="J8184" s="3" t="s">
        <v>8404</v>
      </c>
      <c r="K8184" s="3" t="s">
        <v>223</v>
      </c>
    </row>
    <row r="8185" ht="15.6" spans="4:11">
      <c r="D8185" s="4">
        <v>7379</v>
      </c>
      <c r="E8185" s="4" t="s">
        <v>223</v>
      </c>
      <c r="J8185" s="3" t="s">
        <v>8405</v>
      </c>
      <c r="K8185" s="3" t="s">
        <v>223</v>
      </c>
    </row>
    <row r="8186" ht="15.6" spans="4:11">
      <c r="D8186" s="4">
        <v>7380</v>
      </c>
      <c r="E8186" s="4" t="s">
        <v>223</v>
      </c>
      <c r="J8186" s="3" t="s">
        <v>8406</v>
      </c>
      <c r="K8186" s="3" t="s">
        <v>223</v>
      </c>
    </row>
    <row r="8187" ht="15.6" spans="4:11">
      <c r="D8187" s="4">
        <v>7381</v>
      </c>
      <c r="E8187" s="4" t="s">
        <v>223</v>
      </c>
      <c r="J8187" s="3" t="s">
        <v>8407</v>
      </c>
      <c r="K8187" s="3" t="s">
        <v>223</v>
      </c>
    </row>
    <row r="8188" ht="15.6" spans="4:11">
      <c r="D8188" s="4">
        <v>7382</v>
      </c>
      <c r="E8188" s="4" t="s">
        <v>223</v>
      </c>
      <c r="J8188" s="3" t="s">
        <v>8408</v>
      </c>
      <c r="K8188" s="3" t="s">
        <v>223</v>
      </c>
    </row>
    <row r="8189" ht="15.6" spans="4:11">
      <c r="D8189" s="4">
        <v>7383</v>
      </c>
      <c r="E8189" s="4" t="s">
        <v>223</v>
      </c>
      <c r="J8189" s="3" t="s">
        <v>8409</v>
      </c>
      <c r="K8189" s="3" t="s">
        <v>223</v>
      </c>
    </row>
    <row r="8190" ht="15.6" spans="4:11">
      <c r="D8190" s="4">
        <v>7384</v>
      </c>
      <c r="E8190" s="4" t="s">
        <v>223</v>
      </c>
      <c r="J8190" s="3" t="s">
        <v>8410</v>
      </c>
      <c r="K8190" s="3" t="s">
        <v>223</v>
      </c>
    </row>
    <row r="8191" ht="15.6" spans="4:11">
      <c r="D8191" s="4">
        <v>7385</v>
      </c>
      <c r="E8191" s="4" t="s">
        <v>223</v>
      </c>
      <c r="J8191" s="3" t="s">
        <v>8411</v>
      </c>
      <c r="K8191" s="3" t="s">
        <v>223</v>
      </c>
    </row>
    <row r="8192" ht="15.6" spans="4:11">
      <c r="D8192" s="4">
        <v>7386</v>
      </c>
      <c r="E8192" s="4" t="s">
        <v>223</v>
      </c>
      <c r="J8192" s="3" t="s">
        <v>8412</v>
      </c>
      <c r="K8192" s="3" t="s">
        <v>223</v>
      </c>
    </row>
    <row r="8193" ht="15.6" spans="4:11">
      <c r="D8193" s="4">
        <v>7387</v>
      </c>
      <c r="E8193" s="4" t="s">
        <v>223</v>
      </c>
      <c r="J8193" s="3" t="s">
        <v>8413</v>
      </c>
      <c r="K8193" s="3" t="s">
        <v>223</v>
      </c>
    </row>
    <row r="8194" ht="15.6" spans="4:11">
      <c r="D8194" s="4">
        <v>7388</v>
      </c>
      <c r="E8194" s="4" t="s">
        <v>223</v>
      </c>
      <c r="J8194" s="3" t="s">
        <v>8414</v>
      </c>
      <c r="K8194" s="3" t="s">
        <v>223</v>
      </c>
    </row>
    <row r="8195" ht="15.6" spans="4:11">
      <c r="D8195" s="4">
        <v>7389</v>
      </c>
      <c r="E8195" s="4" t="s">
        <v>223</v>
      </c>
      <c r="J8195" s="3" t="s">
        <v>8415</v>
      </c>
      <c r="K8195" s="3" t="s">
        <v>223</v>
      </c>
    </row>
    <row r="8196" ht="15.6" spans="4:11">
      <c r="D8196" s="4">
        <v>7390</v>
      </c>
      <c r="E8196" s="4" t="s">
        <v>223</v>
      </c>
      <c r="J8196" s="3" t="s">
        <v>8416</v>
      </c>
      <c r="K8196" s="3" t="s">
        <v>223</v>
      </c>
    </row>
    <row r="8197" ht="15.6" spans="4:11">
      <c r="D8197" s="4">
        <v>7391</v>
      </c>
      <c r="E8197" s="4" t="s">
        <v>223</v>
      </c>
      <c r="J8197" s="3" t="s">
        <v>8417</v>
      </c>
      <c r="K8197" s="3" t="s">
        <v>223</v>
      </c>
    </row>
    <row r="8198" ht="15.6" spans="4:11">
      <c r="D8198" s="4">
        <v>7392</v>
      </c>
      <c r="E8198" s="4" t="s">
        <v>223</v>
      </c>
      <c r="J8198" s="3" t="s">
        <v>8418</v>
      </c>
      <c r="K8198" s="3" t="s">
        <v>223</v>
      </c>
    </row>
    <row r="8199" ht="15.6" spans="4:11">
      <c r="D8199" s="4">
        <v>7393</v>
      </c>
      <c r="E8199" s="4" t="s">
        <v>223</v>
      </c>
      <c r="J8199" s="3" t="s">
        <v>8419</v>
      </c>
      <c r="K8199" s="3" t="s">
        <v>223</v>
      </c>
    </row>
    <row r="8200" ht="15.6" spans="4:11">
      <c r="D8200" s="4">
        <v>7394</v>
      </c>
      <c r="E8200" s="4" t="s">
        <v>223</v>
      </c>
      <c r="J8200" s="3" t="s">
        <v>8420</v>
      </c>
      <c r="K8200" s="3" t="s">
        <v>223</v>
      </c>
    </row>
    <row r="8201" ht="15.6" spans="4:11">
      <c r="D8201" s="4">
        <v>7395</v>
      </c>
      <c r="E8201" s="4" t="s">
        <v>223</v>
      </c>
      <c r="J8201" s="3" t="s">
        <v>8421</v>
      </c>
      <c r="K8201" s="3" t="s">
        <v>223</v>
      </c>
    </row>
    <row r="8202" ht="15.6" spans="4:11">
      <c r="D8202" s="4">
        <v>7396</v>
      </c>
      <c r="E8202" s="4" t="s">
        <v>223</v>
      </c>
      <c r="J8202" s="3" t="s">
        <v>8422</v>
      </c>
      <c r="K8202" s="3" t="s">
        <v>223</v>
      </c>
    </row>
    <row r="8203" ht="15.6" spans="4:11">
      <c r="D8203" s="4">
        <v>7397</v>
      </c>
      <c r="E8203" s="4" t="s">
        <v>223</v>
      </c>
      <c r="J8203" s="3" t="s">
        <v>8423</v>
      </c>
      <c r="K8203" s="3" t="s">
        <v>223</v>
      </c>
    </row>
    <row r="8204" ht="15.6" spans="4:11">
      <c r="D8204" s="4">
        <v>7398</v>
      </c>
      <c r="E8204" s="4" t="s">
        <v>223</v>
      </c>
      <c r="J8204" s="3" t="s">
        <v>8424</v>
      </c>
      <c r="K8204" s="3" t="s">
        <v>223</v>
      </c>
    </row>
    <row r="8205" ht="15.6" spans="4:11">
      <c r="D8205" s="4">
        <v>7399</v>
      </c>
      <c r="E8205" s="4" t="s">
        <v>223</v>
      </c>
      <c r="J8205" s="3" t="s">
        <v>8425</v>
      </c>
      <c r="K8205" s="3" t="s">
        <v>223</v>
      </c>
    </row>
    <row r="8206" ht="15.6" spans="4:11">
      <c r="D8206" s="4">
        <v>7400</v>
      </c>
      <c r="E8206" s="4" t="s">
        <v>223</v>
      </c>
      <c r="J8206" s="3" t="s">
        <v>8426</v>
      </c>
      <c r="K8206" s="3" t="s">
        <v>223</v>
      </c>
    </row>
    <row r="8207" ht="15.6" spans="4:11">
      <c r="D8207" s="4">
        <v>7401</v>
      </c>
      <c r="E8207" s="4" t="s">
        <v>223</v>
      </c>
      <c r="J8207" s="3" t="s">
        <v>8427</v>
      </c>
      <c r="K8207" s="3" t="s">
        <v>223</v>
      </c>
    </row>
    <row r="8208" ht="15.6" spans="4:11">
      <c r="D8208" s="4">
        <v>7402</v>
      </c>
      <c r="E8208" s="4" t="s">
        <v>223</v>
      </c>
      <c r="J8208" s="3" t="s">
        <v>8428</v>
      </c>
      <c r="K8208" s="3" t="s">
        <v>223</v>
      </c>
    </row>
    <row r="8209" ht="15.6" spans="4:11">
      <c r="D8209" s="4">
        <v>7403</v>
      </c>
      <c r="E8209" s="4" t="s">
        <v>223</v>
      </c>
      <c r="J8209" s="3" t="s">
        <v>8429</v>
      </c>
      <c r="K8209" s="3" t="s">
        <v>223</v>
      </c>
    </row>
    <row r="8210" ht="15.6" spans="4:11">
      <c r="D8210" s="4">
        <v>7404</v>
      </c>
      <c r="E8210" s="4" t="s">
        <v>223</v>
      </c>
      <c r="J8210" s="3" t="s">
        <v>8430</v>
      </c>
      <c r="K8210" s="3" t="s">
        <v>223</v>
      </c>
    </row>
    <row r="8211" ht="15.6" spans="4:11">
      <c r="D8211" s="4">
        <v>7405</v>
      </c>
      <c r="E8211" s="4" t="s">
        <v>223</v>
      </c>
      <c r="J8211" s="3" t="s">
        <v>8431</v>
      </c>
      <c r="K8211" s="3" t="s">
        <v>223</v>
      </c>
    </row>
    <row r="8212" ht="15.6" spans="4:11">
      <c r="D8212" s="4">
        <v>7406</v>
      </c>
      <c r="E8212" s="4" t="s">
        <v>223</v>
      </c>
      <c r="J8212" s="3" t="s">
        <v>8432</v>
      </c>
      <c r="K8212" s="3" t="s">
        <v>223</v>
      </c>
    </row>
    <row r="8213" ht="15.6" spans="4:11">
      <c r="D8213" s="4">
        <v>7407</v>
      </c>
      <c r="E8213" s="4" t="s">
        <v>223</v>
      </c>
      <c r="J8213" s="3" t="s">
        <v>8433</v>
      </c>
      <c r="K8213" s="3" t="s">
        <v>223</v>
      </c>
    </row>
    <row r="8214" ht="15.6" spans="4:11">
      <c r="D8214" s="4">
        <v>7408</v>
      </c>
      <c r="E8214" s="4" t="s">
        <v>223</v>
      </c>
      <c r="J8214" s="3" t="s">
        <v>8434</v>
      </c>
      <c r="K8214" s="3" t="s">
        <v>223</v>
      </c>
    </row>
    <row r="8215" ht="15.6" spans="4:11">
      <c r="D8215" s="4">
        <v>7409</v>
      </c>
      <c r="E8215" s="4" t="s">
        <v>223</v>
      </c>
      <c r="J8215" s="3" t="s">
        <v>8435</v>
      </c>
      <c r="K8215" s="3" t="s">
        <v>223</v>
      </c>
    </row>
    <row r="8216" ht="15.6" spans="4:11">
      <c r="D8216" s="4">
        <v>7410</v>
      </c>
      <c r="E8216" s="4" t="s">
        <v>223</v>
      </c>
      <c r="J8216" s="3" t="s">
        <v>8436</v>
      </c>
      <c r="K8216" s="3" t="s">
        <v>223</v>
      </c>
    </row>
    <row r="8217" ht="15.6" spans="4:11">
      <c r="D8217" s="4">
        <v>7411</v>
      </c>
      <c r="E8217" s="4" t="s">
        <v>223</v>
      </c>
      <c r="J8217" s="3" t="s">
        <v>8437</v>
      </c>
      <c r="K8217" s="3" t="s">
        <v>223</v>
      </c>
    </row>
    <row r="8218" ht="15.6" spans="4:11">
      <c r="D8218" s="4">
        <v>7412</v>
      </c>
      <c r="E8218" s="4" t="s">
        <v>223</v>
      </c>
      <c r="J8218" s="3" t="s">
        <v>8438</v>
      </c>
      <c r="K8218" s="3" t="s">
        <v>223</v>
      </c>
    </row>
    <row r="8219" ht="15.6" spans="4:11">
      <c r="D8219" s="4">
        <v>7413</v>
      </c>
      <c r="E8219" s="4" t="s">
        <v>223</v>
      </c>
      <c r="J8219" s="3" t="s">
        <v>8439</v>
      </c>
      <c r="K8219" s="3" t="s">
        <v>223</v>
      </c>
    </row>
    <row r="8220" ht="15.6" spans="4:11">
      <c r="D8220" s="4">
        <v>7414</v>
      </c>
      <c r="E8220" s="4" t="s">
        <v>223</v>
      </c>
      <c r="J8220" s="3" t="s">
        <v>8440</v>
      </c>
      <c r="K8220" s="3" t="s">
        <v>223</v>
      </c>
    </row>
    <row r="8221" ht="15.6" spans="4:11">
      <c r="D8221" s="4">
        <v>7415</v>
      </c>
      <c r="E8221" s="4" t="s">
        <v>223</v>
      </c>
      <c r="J8221" s="3" t="s">
        <v>8441</v>
      </c>
      <c r="K8221" s="3" t="s">
        <v>223</v>
      </c>
    </row>
    <row r="8222" ht="15.6" spans="4:11">
      <c r="D8222" s="4">
        <v>7416</v>
      </c>
      <c r="E8222" s="4" t="s">
        <v>223</v>
      </c>
      <c r="J8222" s="3" t="s">
        <v>8442</v>
      </c>
      <c r="K8222" s="3" t="s">
        <v>223</v>
      </c>
    </row>
    <row r="8223" ht="15.6" spans="4:11">
      <c r="D8223" s="4">
        <v>7417</v>
      </c>
      <c r="E8223" s="4" t="s">
        <v>223</v>
      </c>
      <c r="J8223" s="3" t="s">
        <v>8443</v>
      </c>
      <c r="K8223" s="3" t="s">
        <v>223</v>
      </c>
    </row>
    <row r="8224" ht="15.6" spans="4:11">
      <c r="D8224" s="4">
        <v>7418</v>
      </c>
      <c r="E8224" s="4" t="s">
        <v>223</v>
      </c>
      <c r="J8224" s="3" t="s">
        <v>8444</v>
      </c>
      <c r="K8224" s="3" t="s">
        <v>223</v>
      </c>
    </row>
    <row r="8225" ht="15.6" spans="4:11">
      <c r="D8225" s="4">
        <v>7419</v>
      </c>
      <c r="E8225" s="4" t="s">
        <v>223</v>
      </c>
      <c r="J8225" s="3" t="s">
        <v>8445</v>
      </c>
      <c r="K8225" s="3" t="s">
        <v>223</v>
      </c>
    </row>
    <row r="8226" ht="15.6" spans="4:11">
      <c r="D8226" s="4">
        <v>7420</v>
      </c>
      <c r="E8226" s="4" t="s">
        <v>223</v>
      </c>
      <c r="J8226" s="3" t="s">
        <v>8446</v>
      </c>
      <c r="K8226" s="3" t="s">
        <v>223</v>
      </c>
    </row>
    <row r="8227" ht="15.6" spans="4:11">
      <c r="D8227" s="4">
        <v>7421</v>
      </c>
      <c r="E8227" s="4" t="s">
        <v>223</v>
      </c>
      <c r="J8227" s="3" t="s">
        <v>8447</v>
      </c>
      <c r="K8227" s="3" t="s">
        <v>223</v>
      </c>
    </row>
    <row r="8228" ht="15.6" spans="4:11">
      <c r="D8228" s="4">
        <v>7422</v>
      </c>
      <c r="E8228" s="4" t="s">
        <v>223</v>
      </c>
      <c r="J8228" s="3" t="s">
        <v>8448</v>
      </c>
      <c r="K8228" s="3" t="s">
        <v>223</v>
      </c>
    </row>
    <row r="8229" ht="15.6" spans="4:11">
      <c r="D8229" s="4">
        <v>7423</v>
      </c>
      <c r="E8229" s="4" t="s">
        <v>223</v>
      </c>
      <c r="J8229" s="3" t="s">
        <v>8449</v>
      </c>
      <c r="K8229" s="3" t="s">
        <v>223</v>
      </c>
    </row>
    <row r="8230" ht="15.6" spans="4:11">
      <c r="D8230" s="4">
        <v>7424</v>
      </c>
      <c r="E8230" s="4" t="s">
        <v>223</v>
      </c>
      <c r="J8230" s="3" t="s">
        <v>8450</v>
      </c>
      <c r="K8230" s="3" t="s">
        <v>223</v>
      </c>
    </row>
    <row r="8231" ht="15.6" spans="4:11">
      <c r="D8231" s="4">
        <v>7425</v>
      </c>
      <c r="E8231" s="4" t="s">
        <v>223</v>
      </c>
      <c r="J8231" s="3" t="s">
        <v>8451</v>
      </c>
      <c r="K8231" s="3" t="s">
        <v>223</v>
      </c>
    </row>
    <row r="8232" ht="15.6" spans="4:11">
      <c r="D8232" s="4">
        <v>7426</v>
      </c>
      <c r="E8232" s="4" t="s">
        <v>223</v>
      </c>
      <c r="J8232" s="3" t="s">
        <v>8452</v>
      </c>
      <c r="K8232" s="3" t="s">
        <v>223</v>
      </c>
    </row>
    <row r="8233" ht="15.6" spans="4:11">
      <c r="D8233" s="4">
        <v>7427</v>
      </c>
      <c r="E8233" s="4" t="s">
        <v>223</v>
      </c>
      <c r="J8233" s="3" t="s">
        <v>8453</v>
      </c>
      <c r="K8233" s="3" t="s">
        <v>223</v>
      </c>
    </row>
    <row r="8234" ht="15.6" spans="4:11">
      <c r="D8234" s="4">
        <v>7428</v>
      </c>
      <c r="E8234" s="4" t="s">
        <v>223</v>
      </c>
      <c r="J8234" s="3" t="s">
        <v>8454</v>
      </c>
      <c r="K8234" s="3" t="s">
        <v>223</v>
      </c>
    </row>
    <row r="8235" ht="15.6" spans="4:11">
      <c r="D8235" s="4">
        <v>7429</v>
      </c>
      <c r="E8235" s="4" t="s">
        <v>223</v>
      </c>
      <c r="J8235" s="3" t="s">
        <v>8455</v>
      </c>
      <c r="K8235" s="3" t="s">
        <v>223</v>
      </c>
    </row>
    <row r="8236" ht="15.6" spans="4:11">
      <c r="D8236" s="4">
        <v>7430</v>
      </c>
      <c r="E8236" s="4" t="s">
        <v>223</v>
      </c>
      <c r="J8236" s="3" t="s">
        <v>8456</v>
      </c>
      <c r="K8236" s="3" t="s">
        <v>223</v>
      </c>
    </row>
    <row r="8237" ht="15.6" spans="4:11">
      <c r="D8237" s="4">
        <v>7431</v>
      </c>
      <c r="E8237" s="4" t="s">
        <v>223</v>
      </c>
      <c r="J8237" s="3" t="s">
        <v>8457</v>
      </c>
      <c r="K8237" s="3" t="s">
        <v>223</v>
      </c>
    </row>
    <row r="8238" ht="15.6" spans="4:11">
      <c r="D8238" s="4">
        <v>7432</v>
      </c>
      <c r="E8238" s="4" t="s">
        <v>223</v>
      </c>
      <c r="J8238" s="3" t="s">
        <v>8458</v>
      </c>
      <c r="K8238" s="3" t="s">
        <v>223</v>
      </c>
    </row>
    <row r="8239" ht="15.6" spans="4:11">
      <c r="D8239" s="4">
        <v>7433</v>
      </c>
      <c r="E8239" s="4" t="s">
        <v>223</v>
      </c>
      <c r="J8239" s="3" t="s">
        <v>8459</v>
      </c>
      <c r="K8239" s="3" t="s">
        <v>223</v>
      </c>
    </row>
    <row r="8240" ht="15.6" spans="4:11">
      <c r="D8240" s="4">
        <v>7434</v>
      </c>
      <c r="E8240" s="4" t="s">
        <v>223</v>
      </c>
      <c r="J8240" s="3" t="s">
        <v>8460</v>
      </c>
      <c r="K8240" s="3" t="s">
        <v>223</v>
      </c>
    </row>
    <row r="8241" ht="15.6" spans="4:11">
      <c r="D8241" s="4">
        <v>7435</v>
      </c>
      <c r="E8241" s="4" t="s">
        <v>223</v>
      </c>
      <c r="J8241" s="3" t="s">
        <v>8461</v>
      </c>
      <c r="K8241" s="3" t="s">
        <v>223</v>
      </c>
    </row>
    <row r="8242" ht="15.6" spans="4:11">
      <c r="D8242" s="4">
        <v>7436</v>
      </c>
      <c r="E8242" s="4" t="s">
        <v>223</v>
      </c>
      <c r="J8242" s="3" t="s">
        <v>8462</v>
      </c>
      <c r="K8242" s="3" t="s">
        <v>223</v>
      </c>
    </row>
    <row r="8243" ht="15.6" spans="4:11">
      <c r="D8243" s="4">
        <v>7437</v>
      </c>
      <c r="E8243" s="4" t="s">
        <v>223</v>
      </c>
      <c r="J8243" s="3" t="s">
        <v>8463</v>
      </c>
      <c r="K8243" s="3" t="s">
        <v>223</v>
      </c>
    </row>
    <row r="8244" ht="15.6" spans="4:11">
      <c r="D8244" s="4">
        <v>7438</v>
      </c>
      <c r="E8244" s="4" t="s">
        <v>223</v>
      </c>
      <c r="J8244" s="3" t="s">
        <v>8464</v>
      </c>
      <c r="K8244" s="3" t="s">
        <v>223</v>
      </c>
    </row>
    <row r="8245" ht="15.6" spans="4:11">
      <c r="D8245" s="4">
        <v>7439</v>
      </c>
      <c r="E8245" s="4" t="s">
        <v>223</v>
      </c>
      <c r="J8245" s="3" t="s">
        <v>8465</v>
      </c>
      <c r="K8245" s="3" t="s">
        <v>223</v>
      </c>
    </row>
    <row r="8246" ht="15.6" spans="4:11">
      <c r="D8246" s="4">
        <v>7440</v>
      </c>
      <c r="E8246" s="4" t="s">
        <v>223</v>
      </c>
      <c r="J8246" s="3" t="s">
        <v>8466</v>
      </c>
      <c r="K8246" s="3" t="s">
        <v>223</v>
      </c>
    </row>
    <row r="8247" ht="15.6" spans="4:11">
      <c r="D8247" s="4">
        <v>7441</v>
      </c>
      <c r="E8247" s="4" t="s">
        <v>223</v>
      </c>
      <c r="J8247" s="3" t="s">
        <v>8467</v>
      </c>
      <c r="K8247" s="3" t="s">
        <v>223</v>
      </c>
    </row>
    <row r="8248" ht="15.6" spans="4:11">
      <c r="D8248" s="4">
        <v>7442</v>
      </c>
      <c r="E8248" s="4" t="s">
        <v>223</v>
      </c>
      <c r="J8248" s="3" t="s">
        <v>8468</v>
      </c>
      <c r="K8248" s="3" t="s">
        <v>223</v>
      </c>
    </row>
    <row r="8249" ht="15.6" spans="4:11">
      <c r="D8249" s="4">
        <v>7443</v>
      </c>
      <c r="E8249" s="4" t="s">
        <v>223</v>
      </c>
      <c r="J8249" s="3" t="s">
        <v>8469</v>
      </c>
      <c r="K8249" s="3" t="s">
        <v>223</v>
      </c>
    </row>
    <row r="8250" ht="15.6" spans="4:11">
      <c r="D8250" s="4">
        <v>7444</v>
      </c>
      <c r="E8250" s="4" t="s">
        <v>223</v>
      </c>
      <c r="J8250" s="3" t="s">
        <v>8470</v>
      </c>
      <c r="K8250" s="3" t="s">
        <v>223</v>
      </c>
    </row>
    <row r="8251" ht="15.6" spans="4:11">
      <c r="D8251" s="4">
        <v>7445</v>
      </c>
      <c r="E8251" s="4" t="s">
        <v>223</v>
      </c>
      <c r="J8251" s="3" t="s">
        <v>8471</v>
      </c>
      <c r="K8251" s="3" t="s">
        <v>223</v>
      </c>
    </row>
    <row r="8252" ht="15.6" spans="4:11">
      <c r="D8252" s="4">
        <v>7446</v>
      </c>
      <c r="E8252" s="4" t="s">
        <v>223</v>
      </c>
      <c r="J8252" s="3" t="s">
        <v>8472</v>
      </c>
      <c r="K8252" s="3" t="s">
        <v>223</v>
      </c>
    </row>
    <row r="8253" ht="15.6" spans="4:11">
      <c r="D8253" s="4">
        <v>7447</v>
      </c>
      <c r="E8253" s="4" t="s">
        <v>223</v>
      </c>
      <c r="J8253" s="3" t="s">
        <v>8473</v>
      </c>
      <c r="K8253" s="3" t="s">
        <v>223</v>
      </c>
    </row>
    <row r="8254" ht="15.6" spans="4:11">
      <c r="D8254" s="4">
        <v>7448</v>
      </c>
      <c r="E8254" s="4" t="s">
        <v>223</v>
      </c>
      <c r="J8254" s="3" t="s">
        <v>8474</v>
      </c>
      <c r="K8254" s="3" t="s">
        <v>223</v>
      </c>
    </row>
    <row r="8255" ht="15.6" spans="4:11">
      <c r="D8255" s="4">
        <v>7449</v>
      </c>
      <c r="E8255" s="4" t="s">
        <v>223</v>
      </c>
      <c r="J8255" s="3" t="s">
        <v>8475</v>
      </c>
      <c r="K8255" s="3" t="s">
        <v>223</v>
      </c>
    </row>
    <row r="8256" ht="15.6" spans="4:11">
      <c r="D8256" s="4">
        <v>7450</v>
      </c>
      <c r="E8256" s="4" t="s">
        <v>223</v>
      </c>
      <c r="J8256" s="3" t="s">
        <v>8476</v>
      </c>
      <c r="K8256" s="3" t="s">
        <v>223</v>
      </c>
    </row>
    <row r="8257" ht="15.6" spans="4:11">
      <c r="D8257" s="4">
        <v>7451</v>
      </c>
      <c r="E8257" s="4" t="s">
        <v>223</v>
      </c>
      <c r="J8257" s="3" t="s">
        <v>8477</v>
      </c>
      <c r="K8257" s="3" t="s">
        <v>223</v>
      </c>
    </row>
    <row r="8258" ht="15.6" spans="4:11">
      <c r="D8258" s="4">
        <v>7452</v>
      </c>
      <c r="E8258" s="4" t="s">
        <v>223</v>
      </c>
      <c r="J8258" s="3" t="s">
        <v>8478</v>
      </c>
      <c r="K8258" s="3" t="s">
        <v>223</v>
      </c>
    </row>
    <row r="8259" ht="15.6" spans="4:11">
      <c r="D8259" s="4">
        <v>7453</v>
      </c>
      <c r="E8259" s="4" t="s">
        <v>223</v>
      </c>
      <c r="J8259" s="3" t="s">
        <v>8479</v>
      </c>
      <c r="K8259" s="3" t="s">
        <v>223</v>
      </c>
    </row>
    <row r="8260" ht="15.6" spans="4:11">
      <c r="D8260" s="4">
        <v>7454</v>
      </c>
      <c r="E8260" s="4" t="s">
        <v>223</v>
      </c>
      <c r="J8260" s="3" t="s">
        <v>8480</v>
      </c>
      <c r="K8260" s="3" t="s">
        <v>223</v>
      </c>
    </row>
    <row r="8261" ht="15.6" spans="4:11">
      <c r="D8261" s="4">
        <v>7455</v>
      </c>
      <c r="E8261" s="4" t="s">
        <v>223</v>
      </c>
      <c r="J8261" s="3" t="s">
        <v>8481</v>
      </c>
      <c r="K8261" s="3" t="s">
        <v>223</v>
      </c>
    </row>
    <row r="8262" ht="15.6" spans="4:11">
      <c r="D8262" s="4">
        <v>7456</v>
      </c>
      <c r="E8262" s="4" t="s">
        <v>223</v>
      </c>
      <c r="J8262" s="3" t="s">
        <v>8482</v>
      </c>
      <c r="K8262" s="3" t="s">
        <v>223</v>
      </c>
    </row>
    <row r="8263" ht="15.6" spans="4:11">
      <c r="D8263" s="4">
        <v>7457</v>
      </c>
      <c r="E8263" s="4" t="s">
        <v>223</v>
      </c>
      <c r="J8263" s="3" t="s">
        <v>8483</v>
      </c>
      <c r="K8263" s="3" t="s">
        <v>223</v>
      </c>
    </row>
    <row r="8264" ht="15.6" spans="4:11">
      <c r="D8264" s="4">
        <v>7458</v>
      </c>
      <c r="E8264" s="4" t="s">
        <v>223</v>
      </c>
      <c r="J8264" s="3" t="s">
        <v>8484</v>
      </c>
      <c r="K8264" s="3" t="s">
        <v>223</v>
      </c>
    </row>
    <row r="8265" ht="15.6" spans="4:11">
      <c r="D8265" s="4">
        <v>7459</v>
      </c>
      <c r="E8265" s="4" t="s">
        <v>223</v>
      </c>
      <c r="J8265" s="3" t="s">
        <v>8485</v>
      </c>
      <c r="K8265" s="3" t="s">
        <v>223</v>
      </c>
    </row>
    <row r="8266" ht="15.6" spans="4:11">
      <c r="D8266" s="4">
        <v>7460</v>
      </c>
      <c r="E8266" s="4" t="s">
        <v>223</v>
      </c>
      <c r="J8266" s="3" t="s">
        <v>8486</v>
      </c>
      <c r="K8266" s="3" t="s">
        <v>223</v>
      </c>
    </row>
    <row r="8267" ht="15.6" spans="4:11">
      <c r="D8267" s="4">
        <v>7461</v>
      </c>
      <c r="E8267" s="4" t="s">
        <v>223</v>
      </c>
      <c r="J8267" s="3" t="s">
        <v>8487</v>
      </c>
      <c r="K8267" s="3" t="s">
        <v>223</v>
      </c>
    </row>
    <row r="8268" ht="15.6" spans="4:11">
      <c r="D8268" s="4">
        <v>7462</v>
      </c>
      <c r="E8268" s="4" t="s">
        <v>223</v>
      </c>
      <c r="J8268" s="3" t="s">
        <v>8488</v>
      </c>
      <c r="K8268" s="3" t="s">
        <v>223</v>
      </c>
    </row>
    <row r="8269" ht="15.6" spans="4:11">
      <c r="D8269" s="4">
        <v>7463</v>
      </c>
      <c r="E8269" s="4" t="s">
        <v>223</v>
      </c>
      <c r="J8269" s="3" t="s">
        <v>8489</v>
      </c>
      <c r="K8269" s="3" t="s">
        <v>223</v>
      </c>
    </row>
    <row r="8270" ht="15.6" spans="4:11">
      <c r="D8270" s="4">
        <v>7464</v>
      </c>
      <c r="E8270" s="4" t="s">
        <v>223</v>
      </c>
      <c r="J8270" s="3" t="s">
        <v>8490</v>
      </c>
      <c r="K8270" s="3" t="s">
        <v>223</v>
      </c>
    </row>
    <row r="8271" ht="15.6" spans="4:11">
      <c r="D8271" s="4">
        <v>7465</v>
      </c>
      <c r="E8271" s="4" t="s">
        <v>223</v>
      </c>
      <c r="J8271" s="3" t="s">
        <v>8491</v>
      </c>
      <c r="K8271" s="3" t="s">
        <v>223</v>
      </c>
    </row>
    <row r="8272" ht="15.6" spans="4:11">
      <c r="D8272" s="4">
        <v>7466</v>
      </c>
      <c r="E8272" s="4" t="s">
        <v>223</v>
      </c>
      <c r="J8272" s="3" t="s">
        <v>8492</v>
      </c>
      <c r="K8272" s="3" t="s">
        <v>223</v>
      </c>
    </row>
    <row r="8273" ht="15.6" spans="4:11">
      <c r="D8273" s="4">
        <v>7467</v>
      </c>
      <c r="E8273" s="4" t="s">
        <v>223</v>
      </c>
      <c r="J8273" s="3" t="s">
        <v>8493</v>
      </c>
      <c r="K8273" s="3" t="s">
        <v>223</v>
      </c>
    </row>
    <row r="8274" ht="15.6" spans="4:11">
      <c r="D8274" s="4">
        <v>7468</v>
      </c>
      <c r="E8274" s="4" t="s">
        <v>223</v>
      </c>
      <c r="J8274" s="3" t="s">
        <v>8494</v>
      </c>
      <c r="K8274" s="3" t="s">
        <v>223</v>
      </c>
    </row>
    <row r="8275" ht="15.6" spans="4:11">
      <c r="D8275" s="4">
        <v>7469</v>
      </c>
      <c r="E8275" s="4" t="s">
        <v>223</v>
      </c>
      <c r="J8275" s="3" t="s">
        <v>8495</v>
      </c>
      <c r="K8275" s="3" t="s">
        <v>223</v>
      </c>
    </row>
    <row r="8276" ht="15.6" spans="4:11">
      <c r="D8276" s="4">
        <v>7470</v>
      </c>
      <c r="E8276" s="4" t="s">
        <v>223</v>
      </c>
      <c r="J8276" s="3" t="s">
        <v>8496</v>
      </c>
      <c r="K8276" s="3" t="s">
        <v>223</v>
      </c>
    </row>
    <row r="8277" ht="15.6" spans="4:11">
      <c r="D8277" s="4">
        <v>7471</v>
      </c>
      <c r="E8277" s="4" t="s">
        <v>223</v>
      </c>
      <c r="J8277" s="3" t="s">
        <v>8497</v>
      </c>
      <c r="K8277" s="3" t="s">
        <v>223</v>
      </c>
    </row>
    <row r="8278" ht="15.6" spans="4:11">
      <c r="D8278" s="4">
        <v>7472</v>
      </c>
      <c r="E8278" s="4" t="s">
        <v>223</v>
      </c>
      <c r="J8278" s="3" t="s">
        <v>8498</v>
      </c>
      <c r="K8278" s="3" t="s">
        <v>223</v>
      </c>
    </row>
    <row r="8279" ht="15.6" spans="4:11">
      <c r="D8279" s="4">
        <v>7473</v>
      </c>
      <c r="E8279" s="4" t="s">
        <v>223</v>
      </c>
      <c r="J8279" s="3" t="s">
        <v>8499</v>
      </c>
      <c r="K8279" s="3" t="s">
        <v>223</v>
      </c>
    </row>
    <row r="8280" ht="15.6" spans="4:11">
      <c r="D8280" s="4">
        <v>7474</v>
      </c>
      <c r="E8280" s="4" t="s">
        <v>223</v>
      </c>
      <c r="J8280" s="3" t="s">
        <v>8500</v>
      </c>
      <c r="K8280" s="3" t="s">
        <v>223</v>
      </c>
    </row>
    <row r="8281" ht="15.6" spans="4:11">
      <c r="D8281" s="4">
        <v>7475</v>
      </c>
      <c r="E8281" s="4" t="s">
        <v>223</v>
      </c>
      <c r="J8281" s="3" t="s">
        <v>8501</v>
      </c>
      <c r="K8281" s="3" t="s">
        <v>223</v>
      </c>
    </row>
    <row r="8282" ht="15.6" spans="4:11">
      <c r="D8282" s="4">
        <v>7476</v>
      </c>
      <c r="E8282" s="4" t="s">
        <v>223</v>
      </c>
      <c r="J8282" s="3" t="s">
        <v>8502</v>
      </c>
      <c r="K8282" s="3" t="s">
        <v>223</v>
      </c>
    </row>
    <row r="8283" ht="15.6" spans="4:11">
      <c r="D8283" s="4">
        <v>7477</v>
      </c>
      <c r="E8283" s="4" t="s">
        <v>223</v>
      </c>
      <c r="J8283" s="3" t="s">
        <v>8503</v>
      </c>
      <c r="K8283" s="3" t="s">
        <v>223</v>
      </c>
    </row>
    <row r="8284" ht="15.6" spans="4:11">
      <c r="D8284" s="4">
        <v>7478</v>
      </c>
      <c r="E8284" s="4" t="s">
        <v>223</v>
      </c>
      <c r="J8284" s="3" t="s">
        <v>8504</v>
      </c>
      <c r="K8284" s="3" t="s">
        <v>223</v>
      </c>
    </row>
    <row r="8285" ht="15.6" spans="4:11">
      <c r="D8285" s="4">
        <v>7479</v>
      </c>
      <c r="E8285" s="4" t="s">
        <v>223</v>
      </c>
      <c r="J8285" s="3" t="s">
        <v>8505</v>
      </c>
      <c r="K8285" s="3" t="s">
        <v>223</v>
      </c>
    </row>
    <row r="8286" ht="15.6" spans="4:11">
      <c r="D8286" s="4">
        <v>7480</v>
      </c>
      <c r="E8286" s="4" t="s">
        <v>223</v>
      </c>
      <c r="J8286" s="3" t="s">
        <v>8506</v>
      </c>
      <c r="K8286" s="3" t="s">
        <v>223</v>
      </c>
    </row>
    <row r="8287" ht="15.6" spans="4:11">
      <c r="D8287" s="4">
        <v>7481</v>
      </c>
      <c r="E8287" s="4" t="s">
        <v>223</v>
      </c>
      <c r="J8287" s="3" t="s">
        <v>8507</v>
      </c>
      <c r="K8287" s="3" t="s">
        <v>223</v>
      </c>
    </row>
    <row r="8288" ht="15.6" spans="4:11">
      <c r="D8288" s="4">
        <v>7482</v>
      </c>
      <c r="E8288" s="4" t="s">
        <v>223</v>
      </c>
      <c r="J8288" s="3" t="s">
        <v>8508</v>
      </c>
      <c r="K8288" s="3" t="s">
        <v>223</v>
      </c>
    </row>
    <row r="8289" ht="15.6" spans="4:11">
      <c r="D8289" s="4">
        <v>7483</v>
      </c>
      <c r="E8289" s="4" t="s">
        <v>223</v>
      </c>
      <c r="J8289" s="3" t="s">
        <v>8509</v>
      </c>
      <c r="K8289" s="3" t="s">
        <v>223</v>
      </c>
    </row>
    <row r="8290" ht="15.6" spans="4:11">
      <c r="D8290" s="4">
        <v>7484</v>
      </c>
      <c r="E8290" s="4" t="s">
        <v>223</v>
      </c>
      <c r="J8290" s="3" t="s">
        <v>8510</v>
      </c>
      <c r="K8290" s="3" t="s">
        <v>223</v>
      </c>
    </row>
    <row r="8291" ht="15.6" spans="4:11">
      <c r="D8291" s="4">
        <v>7485</v>
      </c>
      <c r="E8291" s="4" t="s">
        <v>223</v>
      </c>
      <c r="J8291" s="3" t="s">
        <v>8511</v>
      </c>
      <c r="K8291" s="3" t="s">
        <v>223</v>
      </c>
    </row>
    <row r="8292" ht="15.6" spans="4:11">
      <c r="D8292" s="4">
        <v>7486</v>
      </c>
      <c r="E8292" s="4" t="s">
        <v>223</v>
      </c>
      <c r="J8292" s="3" t="s">
        <v>8512</v>
      </c>
      <c r="K8292" s="3" t="s">
        <v>223</v>
      </c>
    </row>
    <row r="8293" ht="15.6" spans="4:11">
      <c r="D8293" s="4">
        <v>7487</v>
      </c>
      <c r="E8293" s="4" t="s">
        <v>223</v>
      </c>
      <c r="J8293" s="3" t="s">
        <v>8513</v>
      </c>
      <c r="K8293" s="3" t="s">
        <v>223</v>
      </c>
    </row>
    <row r="8294" ht="15.6" spans="4:11">
      <c r="D8294" s="4">
        <v>7488</v>
      </c>
      <c r="E8294" s="4" t="s">
        <v>223</v>
      </c>
      <c r="J8294" s="3" t="s">
        <v>8514</v>
      </c>
      <c r="K8294" s="3" t="s">
        <v>223</v>
      </c>
    </row>
    <row r="8295" ht="15.6" spans="4:11">
      <c r="D8295" s="4">
        <v>7489</v>
      </c>
      <c r="E8295" s="4" t="s">
        <v>223</v>
      </c>
      <c r="J8295" s="3" t="s">
        <v>8515</v>
      </c>
      <c r="K8295" s="3" t="s">
        <v>223</v>
      </c>
    </row>
    <row r="8296" ht="15.6" spans="4:11">
      <c r="D8296" s="4">
        <v>7490</v>
      </c>
      <c r="E8296" s="4" t="s">
        <v>223</v>
      </c>
      <c r="J8296" s="3" t="s">
        <v>8516</v>
      </c>
      <c r="K8296" s="3" t="s">
        <v>223</v>
      </c>
    </row>
    <row r="8297" ht="15.6" spans="4:11">
      <c r="D8297" s="4">
        <v>7491</v>
      </c>
      <c r="E8297" s="4" t="s">
        <v>223</v>
      </c>
      <c r="J8297" s="3" t="s">
        <v>8517</v>
      </c>
      <c r="K8297" s="3" t="s">
        <v>223</v>
      </c>
    </row>
    <row r="8298" ht="15.6" spans="4:11">
      <c r="D8298" s="4">
        <v>7492</v>
      </c>
      <c r="E8298" s="4" t="s">
        <v>223</v>
      </c>
      <c r="J8298" s="3" t="s">
        <v>8518</v>
      </c>
      <c r="K8298" s="3" t="s">
        <v>223</v>
      </c>
    </row>
    <row r="8299" ht="15.6" spans="4:11">
      <c r="D8299" s="4">
        <v>7493</v>
      </c>
      <c r="E8299" s="4" t="s">
        <v>223</v>
      </c>
      <c r="J8299" s="3" t="s">
        <v>8519</v>
      </c>
      <c r="K8299" s="3" t="s">
        <v>223</v>
      </c>
    </row>
    <row r="8300" ht="15.6" spans="4:11">
      <c r="D8300" s="4">
        <v>7494</v>
      </c>
      <c r="E8300" s="4" t="s">
        <v>223</v>
      </c>
      <c r="J8300" s="3" t="s">
        <v>8520</v>
      </c>
      <c r="K8300" s="3" t="s">
        <v>223</v>
      </c>
    </row>
    <row r="8301" ht="15.6" spans="4:11">
      <c r="D8301" s="4">
        <v>7495</v>
      </c>
      <c r="E8301" s="4" t="s">
        <v>223</v>
      </c>
      <c r="J8301" s="3" t="s">
        <v>8521</v>
      </c>
      <c r="K8301" s="3" t="s">
        <v>223</v>
      </c>
    </row>
    <row r="8302" ht="15.6" spans="4:11">
      <c r="D8302" s="4">
        <v>7496</v>
      </c>
      <c r="E8302" s="4" t="s">
        <v>223</v>
      </c>
      <c r="J8302" s="3" t="s">
        <v>8522</v>
      </c>
      <c r="K8302" s="3" t="s">
        <v>223</v>
      </c>
    </row>
    <row r="8303" ht="15.6" spans="4:11">
      <c r="D8303" s="4">
        <v>7497</v>
      </c>
      <c r="E8303" s="4" t="s">
        <v>223</v>
      </c>
      <c r="J8303" s="3" t="s">
        <v>8523</v>
      </c>
      <c r="K8303" s="3" t="s">
        <v>223</v>
      </c>
    </row>
    <row r="8304" ht="15.6" spans="4:11">
      <c r="D8304" s="4">
        <v>7498</v>
      </c>
      <c r="E8304" s="4" t="s">
        <v>223</v>
      </c>
      <c r="J8304" s="3" t="s">
        <v>8524</v>
      </c>
      <c r="K8304" s="3" t="s">
        <v>223</v>
      </c>
    </row>
    <row r="8305" ht="15.6" spans="4:11">
      <c r="D8305" s="4">
        <v>7499</v>
      </c>
      <c r="E8305" s="4" t="s">
        <v>223</v>
      </c>
      <c r="J8305" s="3" t="s">
        <v>8525</v>
      </c>
      <c r="K8305" s="3" t="s">
        <v>223</v>
      </c>
    </row>
    <row r="8306" ht="15.6" spans="4:11">
      <c r="D8306" s="4">
        <v>7500</v>
      </c>
      <c r="E8306" s="4" t="s">
        <v>223</v>
      </c>
      <c r="J8306" s="3" t="s">
        <v>8526</v>
      </c>
      <c r="K8306" s="3" t="s">
        <v>223</v>
      </c>
    </row>
    <row r="8307" ht="15.6" spans="4:11">
      <c r="D8307" s="4">
        <v>7501</v>
      </c>
      <c r="E8307" s="4" t="s">
        <v>223</v>
      </c>
      <c r="J8307" s="3" t="s">
        <v>8527</v>
      </c>
      <c r="K8307" s="3" t="s">
        <v>223</v>
      </c>
    </row>
    <row r="8308" ht="15.6" spans="4:11">
      <c r="D8308" s="4">
        <v>7502</v>
      </c>
      <c r="E8308" s="4" t="s">
        <v>223</v>
      </c>
      <c r="J8308" s="3" t="s">
        <v>8528</v>
      </c>
      <c r="K8308" s="3" t="s">
        <v>223</v>
      </c>
    </row>
    <row r="8309" ht="15.6" spans="4:11">
      <c r="D8309" s="4">
        <v>7503</v>
      </c>
      <c r="E8309" s="4" t="s">
        <v>223</v>
      </c>
      <c r="J8309" s="3" t="s">
        <v>8529</v>
      </c>
      <c r="K8309" s="3" t="s">
        <v>223</v>
      </c>
    </row>
    <row r="8310" ht="15.6" spans="4:11">
      <c r="D8310" s="4">
        <v>7504</v>
      </c>
      <c r="E8310" s="4" t="s">
        <v>223</v>
      </c>
      <c r="J8310" s="3" t="s">
        <v>8530</v>
      </c>
      <c r="K8310" s="3" t="s">
        <v>223</v>
      </c>
    </row>
    <row r="8311" ht="15.6" spans="4:11">
      <c r="D8311" s="4">
        <v>7505</v>
      </c>
      <c r="E8311" s="4" t="s">
        <v>223</v>
      </c>
      <c r="J8311" s="3" t="s">
        <v>8531</v>
      </c>
      <c r="K8311" s="3" t="s">
        <v>223</v>
      </c>
    </row>
    <row r="8312" ht="15.6" spans="4:11">
      <c r="D8312" s="4">
        <v>7506</v>
      </c>
      <c r="E8312" s="4" t="s">
        <v>223</v>
      </c>
      <c r="J8312" s="3" t="s">
        <v>8532</v>
      </c>
      <c r="K8312" s="3" t="s">
        <v>223</v>
      </c>
    </row>
    <row r="8313" ht="15.6" spans="4:11">
      <c r="D8313" s="4">
        <v>7507</v>
      </c>
      <c r="E8313" s="4" t="s">
        <v>223</v>
      </c>
      <c r="J8313" s="3" t="s">
        <v>8533</v>
      </c>
      <c r="K8313" s="3" t="s">
        <v>223</v>
      </c>
    </row>
    <row r="8314" ht="15.6" spans="4:11">
      <c r="D8314" s="4">
        <v>7508</v>
      </c>
      <c r="E8314" s="4" t="s">
        <v>223</v>
      </c>
      <c r="J8314" s="3" t="s">
        <v>8534</v>
      </c>
      <c r="K8314" s="3" t="s">
        <v>223</v>
      </c>
    </row>
    <row r="8315" ht="15.6" spans="4:11">
      <c r="D8315" s="4">
        <v>7509</v>
      </c>
      <c r="E8315" s="4" t="s">
        <v>223</v>
      </c>
      <c r="J8315" s="3" t="s">
        <v>8535</v>
      </c>
      <c r="K8315" s="3" t="s">
        <v>223</v>
      </c>
    </row>
    <row r="8316" ht="15.6" spans="4:11">
      <c r="D8316" s="4">
        <v>7510</v>
      </c>
      <c r="E8316" s="4" t="s">
        <v>223</v>
      </c>
      <c r="J8316" s="3" t="s">
        <v>8536</v>
      </c>
      <c r="K8316" s="3" t="s">
        <v>223</v>
      </c>
    </row>
    <row r="8317" ht="15.6" spans="4:11">
      <c r="D8317" s="4">
        <v>7511</v>
      </c>
      <c r="E8317" s="4" t="s">
        <v>223</v>
      </c>
      <c r="J8317" s="3" t="s">
        <v>8537</v>
      </c>
      <c r="K8317" s="3" t="s">
        <v>223</v>
      </c>
    </row>
    <row r="8318" ht="15.6" spans="4:11">
      <c r="D8318" s="4">
        <v>7512</v>
      </c>
      <c r="E8318" s="4" t="s">
        <v>223</v>
      </c>
      <c r="J8318" s="3" t="s">
        <v>8538</v>
      </c>
      <c r="K8318" s="3" t="s">
        <v>223</v>
      </c>
    </row>
    <row r="8319" ht="15.6" spans="4:11">
      <c r="D8319" s="4">
        <v>7513</v>
      </c>
      <c r="E8319" s="4" t="s">
        <v>223</v>
      </c>
      <c r="J8319" s="3" t="s">
        <v>8539</v>
      </c>
      <c r="K8319" s="3" t="s">
        <v>223</v>
      </c>
    </row>
    <row r="8320" ht="15.6" spans="4:11">
      <c r="D8320" s="4">
        <v>7514</v>
      </c>
      <c r="E8320" s="4" t="s">
        <v>223</v>
      </c>
      <c r="J8320" s="3" t="s">
        <v>8540</v>
      </c>
      <c r="K8320" s="3" t="s">
        <v>223</v>
      </c>
    </row>
    <row r="8321" ht="15.6" spans="4:11">
      <c r="D8321" s="4">
        <v>7515</v>
      </c>
      <c r="E8321" s="4" t="s">
        <v>223</v>
      </c>
      <c r="J8321" s="3" t="s">
        <v>8541</v>
      </c>
      <c r="K8321" s="3" t="s">
        <v>223</v>
      </c>
    </row>
    <row r="8322" ht="15.6" spans="4:11">
      <c r="D8322" s="4">
        <v>7516</v>
      </c>
      <c r="E8322" s="4" t="s">
        <v>223</v>
      </c>
      <c r="J8322" s="3" t="s">
        <v>8542</v>
      </c>
      <c r="K8322" s="3" t="s">
        <v>223</v>
      </c>
    </row>
    <row r="8323" ht="15.6" spans="4:11">
      <c r="D8323" s="4">
        <v>7517</v>
      </c>
      <c r="E8323" s="4" t="s">
        <v>223</v>
      </c>
      <c r="J8323" s="3" t="s">
        <v>8543</v>
      </c>
      <c r="K8323" s="3" t="s">
        <v>223</v>
      </c>
    </row>
    <row r="8324" ht="15.6" spans="4:11">
      <c r="D8324" s="4">
        <v>7518</v>
      </c>
      <c r="E8324" s="4" t="s">
        <v>223</v>
      </c>
      <c r="J8324" s="3" t="s">
        <v>8544</v>
      </c>
      <c r="K8324" s="3" t="s">
        <v>223</v>
      </c>
    </row>
    <row r="8325" ht="15.6" spans="4:11">
      <c r="D8325" s="4">
        <v>7519</v>
      </c>
      <c r="E8325" s="4" t="s">
        <v>223</v>
      </c>
      <c r="J8325" s="3" t="s">
        <v>8545</v>
      </c>
      <c r="K8325" s="3" t="s">
        <v>223</v>
      </c>
    </row>
    <row r="8326" ht="15.6" spans="4:11">
      <c r="D8326" s="4">
        <v>7520</v>
      </c>
      <c r="E8326" s="4" t="s">
        <v>223</v>
      </c>
      <c r="J8326" s="3" t="s">
        <v>8546</v>
      </c>
      <c r="K8326" s="3" t="s">
        <v>223</v>
      </c>
    </row>
    <row r="8327" ht="15.6" spans="4:11">
      <c r="D8327" s="4">
        <v>7521</v>
      </c>
      <c r="E8327" s="4" t="s">
        <v>223</v>
      </c>
      <c r="J8327" s="3" t="s">
        <v>8547</v>
      </c>
      <c r="K8327" s="3" t="s">
        <v>223</v>
      </c>
    </row>
    <row r="8328" ht="15.6" spans="4:11">
      <c r="D8328" s="4">
        <v>7522</v>
      </c>
      <c r="E8328" s="4" t="s">
        <v>223</v>
      </c>
      <c r="J8328" s="3" t="s">
        <v>8548</v>
      </c>
      <c r="K8328" s="3" t="s">
        <v>223</v>
      </c>
    </row>
    <row r="8329" ht="15.6" spans="4:11">
      <c r="D8329" s="4">
        <v>7523</v>
      </c>
      <c r="E8329" s="4" t="s">
        <v>223</v>
      </c>
      <c r="J8329" s="3" t="s">
        <v>8549</v>
      </c>
      <c r="K8329" s="3" t="s">
        <v>223</v>
      </c>
    </row>
    <row r="8330" ht="15.6" spans="4:11">
      <c r="D8330" s="4">
        <v>7524</v>
      </c>
      <c r="E8330" s="4" t="s">
        <v>223</v>
      </c>
      <c r="J8330" s="3" t="s">
        <v>8550</v>
      </c>
      <c r="K8330" s="3" t="s">
        <v>223</v>
      </c>
    </row>
    <row r="8331" ht="15.6" spans="4:11">
      <c r="D8331" s="4">
        <v>7525</v>
      </c>
      <c r="E8331" s="4" t="s">
        <v>223</v>
      </c>
      <c r="J8331" s="3" t="s">
        <v>8551</v>
      </c>
      <c r="K8331" s="3" t="s">
        <v>223</v>
      </c>
    </row>
    <row r="8332" ht="15.6" spans="4:11">
      <c r="D8332" s="4">
        <v>7526</v>
      </c>
      <c r="E8332" s="4" t="s">
        <v>223</v>
      </c>
      <c r="J8332" s="3" t="s">
        <v>8552</v>
      </c>
      <c r="K8332" s="3" t="s">
        <v>223</v>
      </c>
    </row>
    <row r="8333" ht="15.6" spans="4:11">
      <c r="D8333" s="4">
        <v>7527</v>
      </c>
      <c r="E8333" s="4" t="s">
        <v>223</v>
      </c>
      <c r="J8333" s="3" t="s">
        <v>8553</v>
      </c>
      <c r="K8333" s="3" t="s">
        <v>223</v>
      </c>
    </row>
    <row r="8334" ht="15.6" spans="4:11">
      <c r="D8334" s="4">
        <v>7528</v>
      </c>
      <c r="E8334" s="4" t="s">
        <v>223</v>
      </c>
      <c r="J8334" s="3" t="s">
        <v>8554</v>
      </c>
      <c r="K8334" s="3" t="s">
        <v>223</v>
      </c>
    </row>
    <row r="8335" ht="15.6" spans="4:11">
      <c r="D8335" s="4">
        <v>7529</v>
      </c>
      <c r="E8335" s="4" t="s">
        <v>223</v>
      </c>
      <c r="J8335" s="3" t="s">
        <v>8555</v>
      </c>
      <c r="K8335" s="3" t="s">
        <v>223</v>
      </c>
    </row>
    <row r="8336" ht="15.6" spans="4:11">
      <c r="D8336" s="4">
        <v>7530</v>
      </c>
      <c r="E8336" s="4" t="s">
        <v>223</v>
      </c>
      <c r="J8336" s="3" t="s">
        <v>8556</v>
      </c>
      <c r="K8336" s="3" t="s">
        <v>223</v>
      </c>
    </row>
    <row r="8337" ht="15.6" spans="4:11">
      <c r="D8337" s="4">
        <v>7531</v>
      </c>
      <c r="E8337" s="4" t="s">
        <v>223</v>
      </c>
      <c r="J8337" s="3" t="s">
        <v>8557</v>
      </c>
      <c r="K8337" s="3" t="s">
        <v>223</v>
      </c>
    </row>
    <row r="8338" ht="15.6" spans="4:11">
      <c r="D8338" s="4">
        <v>7532</v>
      </c>
      <c r="E8338" s="4" t="s">
        <v>223</v>
      </c>
      <c r="J8338" s="3" t="s">
        <v>8558</v>
      </c>
      <c r="K8338" s="3" t="s">
        <v>223</v>
      </c>
    </row>
    <row r="8339" ht="15.6" spans="4:11">
      <c r="D8339" s="4">
        <v>7533</v>
      </c>
      <c r="E8339" s="4" t="s">
        <v>223</v>
      </c>
      <c r="J8339" s="3" t="s">
        <v>8559</v>
      </c>
      <c r="K8339" s="3" t="s">
        <v>223</v>
      </c>
    </row>
    <row r="8340" ht="15.6" spans="4:11">
      <c r="D8340" s="4">
        <v>7534</v>
      </c>
      <c r="E8340" s="4" t="s">
        <v>223</v>
      </c>
      <c r="J8340" s="3" t="s">
        <v>8560</v>
      </c>
      <c r="K8340" s="3" t="s">
        <v>223</v>
      </c>
    </row>
    <row r="8341" ht="15.6" spans="4:11">
      <c r="D8341" s="4">
        <v>7535</v>
      </c>
      <c r="E8341" s="4" t="s">
        <v>223</v>
      </c>
      <c r="J8341" s="3" t="s">
        <v>8561</v>
      </c>
      <c r="K8341" s="3" t="s">
        <v>223</v>
      </c>
    </row>
    <row r="8342" ht="15.6" spans="4:11">
      <c r="D8342" s="4">
        <v>7536</v>
      </c>
      <c r="E8342" s="4" t="s">
        <v>223</v>
      </c>
      <c r="J8342" s="3" t="s">
        <v>8562</v>
      </c>
      <c r="K8342" s="3" t="s">
        <v>223</v>
      </c>
    </row>
    <row r="8343" ht="15.6" spans="4:11">
      <c r="D8343" s="4">
        <v>7537</v>
      </c>
      <c r="E8343" s="4" t="s">
        <v>223</v>
      </c>
      <c r="J8343" s="3" t="s">
        <v>8563</v>
      </c>
      <c r="K8343" s="3" t="s">
        <v>223</v>
      </c>
    </row>
    <row r="8344" ht="15.6" spans="4:11">
      <c r="D8344" s="4">
        <v>7538</v>
      </c>
      <c r="E8344" s="4" t="s">
        <v>223</v>
      </c>
      <c r="J8344" s="3" t="s">
        <v>8564</v>
      </c>
      <c r="K8344" s="3" t="s">
        <v>223</v>
      </c>
    </row>
    <row r="8345" ht="15.6" spans="4:11">
      <c r="D8345" s="4">
        <v>7539</v>
      </c>
      <c r="E8345" s="4" t="s">
        <v>223</v>
      </c>
      <c r="J8345" s="3" t="s">
        <v>8565</v>
      </c>
      <c r="K8345" s="3" t="s">
        <v>223</v>
      </c>
    </row>
    <row r="8346" ht="15.6" spans="4:11">
      <c r="D8346" s="4">
        <v>7540</v>
      </c>
      <c r="E8346" s="4" t="s">
        <v>223</v>
      </c>
      <c r="J8346" s="3" t="s">
        <v>8566</v>
      </c>
      <c r="K8346" s="3" t="s">
        <v>223</v>
      </c>
    </row>
    <row r="8347" ht="15.6" spans="4:11">
      <c r="D8347" s="4">
        <v>7541</v>
      </c>
      <c r="E8347" s="4" t="s">
        <v>223</v>
      </c>
      <c r="J8347" s="3" t="s">
        <v>8567</v>
      </c>
      <c r="K8347" s="3" t="s">
        <v>223</v>
      </c>
    </row>
    <row r="8348" ht="15.6" spans="4:11">
      <c r="D8348" s="4">
        <v>7542</v>
      </c>
      <c r="E8348" s="4" t="s">
        <v>223</v>
      </c>
      <c r="J8348" s="3" t="s">
        <v>8568</v>
      </c>
      <c r="K8348" s="3" t="s">
        <v>223</v>
      </c>
    </row>
    <row r="8349" ht="15.6" spans="4:11">
      <c r="D8349" s="4">
        <v>7543</v>
      </c>
      <c r="E8349" s="4" t="s">
        <v>223</v>
      </c>
      <c r="J8349" s="3" t="s">
        <v>8569</v>
      </c>
      <c r="K8349" s="3" t="s">
        <v>223</v>
      </c>
    </row>
    <row r="8350" ht="15.6" spans="4:11">
      <c r="D8350" s="4">
        <v>7544</v>
      </c>
      <c r="E8350" s="4" t="s">
        <v>223</v>
      </c>
      <c r="J8350" s="3" t="s">
        <v>8570</v>
      </c>
      <c r="K8350" s="3" t="s">
        <v>223</v>
      </c>
    </row>
    <row r="8351" ht="15.6" spans="4:11">
      <c r="D8351" s="4">
        <v>7545</v>
      </c>
      <c r="E8351" s="4" t="s">
        <v>223</v>
      </c>
      <c r="J8351" s="3" t="s">
        <v>8571</v>
      </c>
      <c r="K8351" s="3" t="s">
        <v>223</v>
      </c>
    </row>
    <row r="8352" ht="15.6" spans="4:11">
      <c r="D8352" s="4">
        <v>7546</v>
      </c>
      <c r="E8352" s="4" t="s">
        <v>223</v>
      </c>
      <c r="J8352" s="3" t="s">
        <v>8572</v>
      </c>
      <c r="K8352" s="3" t="s">
        <v>223</v>
      </c>
    </row>
    <row r="8353" ht="15.6" spans="4:11">
      <c r="D8353" s="4">
        <v>7547</v>
      </c>
      <c r="E8353" s="4" t="s">
        <v>223</v>
      </c>
      <c r="J8353" s="3" t="s">
        <v>8573</v>
      </c>
      <c r="K8353" s="3" t="s">
        <v>223</v>
      </c>
    </row>
    <row r="8354" ht="15.6" spans="4:11">
      <c r="D8354" s="4">
        <v>7548</v>
      </c>
      <c r="E8354" s="4" t="s">
        <v>223</v>
      </c>
      <c r="J8354" s="3" t="s">
        <v>8574</v>
      </c>
      <c r="K8354" s="3" t="s">
        <v>223</v>
      </c>
    </row>
    <row r="8355" ht="15.6" spans="4:11">
      <c r="D8355" s="4">
        <v>7549</v>
      </c>
      <c r="E8355" s="4" t="s">
        <v>223</v>
      </c>
      <c r="J8355" s="3" t="s">
        <v>8575</v>
      </c>
      <c r="K8355" s="3" t="s">
        <v>223</v>
      </c>
    </row>
    <row r="8356" ht="15.6" spans="4:11">
      <c r="D8356" s="4">
        <v>7550</v>
      </c>
      <c r="E8356" s="4" t="s">
        <v>223</v>
      </c>
      <c r="J8356" s="3" t="s">
        <v>8576</v>
      </c>
      <c r="K8356" s="3" t="s">
        <v>223</v>
      </c>
    </row>
    <row r="8357" ht="15.6" spans="4:11">
      <c r="D8357" s="4">
        <v>7551</v>
      </c>
      <c r="E8357" s="4" t="s">
        <v>223</v>
      </c>
      <c r="J8357" s="3" t="s">
        <v>8577</v>
      </c>
      <c r="K8357" s="3" t="s">
        <v>223</v>
      </c>
    </row>
    <row r="8358" ht="15.6" spans="4:11">
      <c r="D8358" s="4">
        <v>7552</v>
      </c>
      <c r="E8358" s="4" t="s">
        <v>223</v>
      </c>
      <c r="J8358" s="3" t="s">
        <v>8578</v>
      </c>
      <c r="K8358" s="3" t="s">
        <v>223</v>
      </c>
    </row>
    <row r="8359" ht="15.6" spans="4:11">
      <c r="D8359" s="4">
        <v>7553</v>
      </c>
      <c r="E8359" s="4" t="s">
        <v>223</v>
      </c>
      <c r="J8359" s="3" t="s">
        <v>8579</v>
      </c>
      <c r="K8359" s="3" t="s">
        <v>223</v>
      </c>
    </row>
    <row r="8360" ht="15.6" spans="4:11">
      <c r="D8360" s="4">
        <v>7554</v>
      </c>
      <c r="E8360" s="4" t="s">
        <v>223</v>
      </c>
      <c r="J8360" s="3" t="s">
        <v>8580</v>
      </c>
      <c r="K8360" s="3" t="s">
        <v>223</v>
      </c>
    </row>
    <row r="8361" ht="15.6" spans="4:11">
      <c r="D8361" s="4">
        <v>7555</v>
      </c>
      <c r="E8361" s="4" t="s">
        <v>223</v>
      </c>
      <c r="J8361" s="3" t="s">
        <v>8581</v>
      </c>
      <c r="K8361" s="3" t="s">
        <v>223</v>
      </c>
    </row>
    <row r="8362" ht="15.6" spans="4:11">
      <c r="D8362" s="4">
        <v>7556</v>
      </c>
      <c r="E8362" s="4" t="s">
        <v>223</v>
      </c>
      <c r="J8362" s="3" t="s">
        <v>8582</v>
      </c>
      <c r="K8362" s="3" t="s">
        <v>223</v>
      </c>
    </row>
    <row r="8363" ht="15.6" spans="4:11">
      <c r="D8363" s="4">
        <v>7557</v>
      </c>
      <c r="E8363" s="4" t="s">
        <v>223</v>
      </c>
      <c r="J8363" s="3" t="s">
        <v>8583</v>
      </c>
      <c r="K8363" s="3" t="s">
        <v>223</v>
      </c>
    </row>
    <row r="8364" ht="15.6" spans="4:11">
      <c r="D8364" s="4">
        <v>7558</v>
      </c>
      <c r="E8364" s="4" t="s">
        <v>223</v>
      </c>
      <c r="J8364" s="3" t="s">
        <v>8584</v>
      </c>
      <c r="K8364" s="3" t="s">
        <v>223</v>
      </c>
    </row>
    <row r="8365" ht="15.6" spans="4:11">
      <c r="D8365" s="4">
        <v>7559</v>
      </c>
      <c r="E8365" s="4" t="s">
        <v>223</v>
      </c>
      <c r="J8365" s="3" t="s">
        <v>8585</v>
      </c>
      <c r="K8365" s="3" t="s">
        <v>223</v>
      </c>
    </row>
    <row r="8366" ht="15.6" spans="4:11">
      <c r="D8366" s="4">
        <v>7560</v>
      </c>
      <c r="E8366" s="4" t="s">
        <v>223</v>
      </c>
      <c r="J8366" s="3" t="s">
        <v>8586</v>
      </c>
      <c r="K8366" s="3" t="s">
        <v>223</v>
      </c>
    </row>
    <row r="8367" ht="15.6" spans="4:11">
      <c r="D8367" s="4">
        <v>7561</v>
      </c>
      <c r="E8367" s="4" t="s">
        <v>223</v>
      </c>
      <c r="J8367" s="3" t="s">
        <v>8587</v>
      </c>
      <c r="K8367" s="3" t="s">
        <v>223</v>
      </c>
    </row>
    <row r="8368" ht="15.6" spans="4:11">
      <c r="D8368" s="4">
        <v>7562</v>
      </c>
      <c r="E8368" s="4" t="s">
        <v>223</v>
      </c>
      <c r="J8368" s="3" t="s">
        <v>8588</v>
      </c>
      <c r="K8368" s="3" t="s">
        <v>223</v>
      </c>
    </row>
    <row r="8369" ht="15.6" spans="4:11">
      <c r="D8369" s="4">
        <v>7563</v>
      </c>
      <c r="E8369" s="4" t="s">
        <v>223</v>
      </c>
      <c r="J8369" s="3" t="s">
        <v>8589</v>
      </c>
      <c r="K8369" s="3" t="s">
        <v>223</v>
      </c>
    </row>
    <row r="8370" ht="15.6" spans="4:11">
      <c r="D8370" s="4">
        <v>7564</v>
      </c>
      <c r="E8370" s="4" t="s">
        <v>223</v>
      </c>
      <c r="J8370" s="3" t="s">
        <v>8590</v>
      </c>
      <c r="K8370" s="3" t="s">
        <v>223</v>
      </c>
    </row>
    <row r="8371" ht="15.6" spans="4:11">
      <c r="D8371" s="4">
        <v>7565</v>
      </c>
      <c r="E8371" s="4" t="s">
        <v>223</v>
      </c>
      <c r="J8371" s="3" t="s">
        <v>8591</v>
      </c>
      <c r="K8371" s="3" t="s">
        <v>223</v>
      </c>
    </row>
    <row r="8372" ht="15.6" spans="4:11">
      <c r="D8372" s="4">
        <v>7566</v>
      </c>
      <c r="E8372" s="4" t="s">
        <v>223</v>
      </c>
      <c r="J8372" s="3" t="s">
        <v>8592</v>
      </c>
      <c r="K8372" s="3" t="s">
        <v>223</v>
      </c>
    </row>
    <row r="8373" ht="15.6" spans="4:11">
      <c r="D8373" s="4">
        <v>7567</v>
      </c>
      <c r="E8373" s="4" t="s">
        <v>223</v>
      </c>
      <c r="J8373" s="3" t="s">
        <v>8593</v>
      </c>
      <c r="K8373" s="3" t="s">
        <v>223</v>
      </c>
    </row>
    <row r="8374" ht="15.6" spans="4:11">
      <c r="D8374" s="4">
        <v>7568</v>
      </c>
      <c r="E8374" s="4" t="s">
        <v>223</v>
      </c>
      <c r="J8374" s="3" t="s">
        <v>8594</v>
      </c>
      <c r="K8374" s="3" t="s">
        <v>223</v>
      </c>
    </row>
    <row r="8375" ht="15.6" spans="4:11">
      <c r="D8375" s="4">
        <v>7569</v>
      </c>
      <c r="E8375" s="4" t="s">
        <v>223</v>
      </c>
      <c r="J8375" s="3" t="s">
        <v>8595</v>
      </c>
      <c r="K8375" s="3" t="s">
        <v>223</v>
      </c>
    </row>
    <row r="8376" ht="15.6" spans="4:11">
      <c r="D8376" s="4">
        <v>7570</v>
      </c>
      <c r="E8376" s="4" t="s">
        <v>223</v>
      </c>
      <c r="J8376" s="3" t="s">
        <v>8596</v>
      </c>
      <c r="K8376" s="3" t="s">
        <v>223</v>
      </c>
    </row>
    <row r="8377" ht="15.6" spans="4:11">
      <c r="D8377" s="4">
        <v>7571</v>
      </c>
      <c r="E8377" s="4" t="s">
        <v>223</v>
      </c>
      <c r="J8377" s="3" t="s">
        <v>8597</v>
      </c>
      <c r="K8377" s="3" t="s">
        <v>223</v>
      </c>
    </row>
    <row r="8378" ht="15.6" spans="4:11">
      <c r="D8378" s="4">
        <v>7572</v>
      </c>
      <c r="E8378" s="4" t="s">
        <v>223</v>
      </c>
      <c r="J8378" s="3" t="s">
        <v>8598</v>
      </c>
      <c r="K8378" s="3" t="s">
        <v>223</v>
      </c>
    </row>
    <row r="8379" ht="15.6" spans="4:11">
      <c r="D8379" s="4">
        <v>7573</v>
      </c>
      <c r="E8379" s="4" t="s">
        <v>223</v>
      </c>
      <c r="J8379" s="3" t="s">
        <v>8599</v>
      </c>
      <c r="K8379" s="3" t="s">
        <v>223</v>
      </c>
    </row>
    <row r="8380" ht="15.6" spans="4:11">
      <c r="D8380" s="4">
        <v>7574</v>
      </c>
      <c r="E8380" s="4" t="s">
        <v>223</v>
      </c>
      <c r="J8380" s="3" t="s">
        <v>8600</v>
      </c>
      <c r="K8380" s="3" t="s">
        <v>223</v>
      </c>
    </row>
    <row r="8381" ht="15.6" spans="4:11">
      <c r="D8381" s="4">
        <v>7575</v>
      </c>
      <c r="E8381" s="4" t="s">
        <v>223</v>
      </c>
      <c r="J8381" s="3" t="s">
        <v>8601</v>
      </c>
      <c r="K8381" s="3" t="s">
        <v>223</v>
      </c>
    </row>
    <row r="8382" ht="15.6" spans="4:11">
      <c r="D8382" s="4">
        <v>7576</v>
      </c>
      <c r="E8382" s="4" t="s">
        <v>223</v>
      </c>
      <c r="J8382" s="3" t="s">
        <v>8602</v>
      </c>
      <c r="K8382" s="3" t="s">
        <v>223</v>
      </c>
    </row>
    <row r="8383" ht="15.6" spans="4:11">
      <c r="D8383" s="4">
        <v>7577</v>
      </c>
      <c r="E8383" s="4" t="s">
        <v>223</v>
      </c>
      <c r="J8383" s="3" t="s">
        <v>8603</v>
      </c>
      <c r="K8383" s="3" t="s">
        <v>223</v>
      </c>
    </row>
    <row r="8384" ht="15.6" spans="4:11">
      <c r="D8384" s="4">
        <v>7578</v>
      </c>
      <c r="E8384" s="4" t="s">
        <v>223</v>
      </c>
      <c r="J8384" s="3" t="s">
        <v>8604</v>
      </c>
      <c r="K8384" s="3" t="s">
        <v>223</v>
      </c>
    </row>
    <row r="8385" ht="15.6" spans="4:11">
      <c r="D8385" s="4">
        <v>7579</v>
      </c>
      <c r="E8385" s="4" t="s">
        <v>223</v>
      </c>
      <c r="J8385" s="3" t="s">
        <v>8605</v>
      </c>
      <c r="K8385" s="3" t="s">
        <v>223</v>
      </c>
    </row>
    <row r="8386" ht="15.6" spans="4:11">
      <c r="D8386" s="4">
        <v>7580</v>
      </c>
      <c r="E8386" s="4" t="s">
        <v>223</v>
      </c>
      <c r="J8386" s="3" t="s">
        <v>8606</v>
      </c>
      <c r="K8386" s="3" t="s">
        <v>223</v>
      </c>
    </row>
    <row r="8387" ht="15.6" spans="4:11">
      <c r="D8387" s="4">
        <v>7581</v>
      </c>
      <c r="E8387" s="4" t="s">
        <v>223</v>
      </c>
      <c r="J8387" s="3" t="s">
        <v>8607</v>
      </c>
      <c r="K8387" s="3" t="s">
        <v>223</v>
      </c>
    </row>
    <row r="8388" ht="15.6" spans="4:11">
      <c r="D8388" s="4">
        <v>7582</v>
      </c>
      <c r="E8388" s="4" t="s">
        <v>223</v>
      </c>
      <c r="J8388" s="3" t="s">
        <v>8608</v>
      </c>
      <c r="K8388" s="3" t="s">
        <v>223</v>
      </c>
    </row>
    <row r="8389" ht="15.6" spans="4:11">
      <c r="D8389" s="4">
        <v>7583</v>
      </c>
      <c r="E8389" s="4" t="s">
        <v>223</v>
      </c>
      <c r="J8389" s="3" t="s">
        <v>8609</v>
      </c>
      <c r="K8389" s="3" t="s">
        <v>223</v>
      </c>
    </row>
    <row r="8390" ht="15.6" spans="4:11">
      <c r="D8390" s="4">
        <v>7584</v>
      </c>
      <c r="E8390" s="4" t="s">
        <v>223</v>
      </c>
      <c r="J8390" s="3" t="s">
        <v>8610</v>
      </c>
      <c r="K8390" s="3" t="s">
        <v>223</v>
      </c>
    </row>
    <row r="8391" ht="15.6" spans="4:11">
      <c r="D8391" s="4">
        <v>7585</v>
      </c>
      <c r="E8391" s="4" t="s">
        <v>223</v>
      </c>
      <c r="J8391" s="3" t="s">
        <v>8611</v>
      </c>
      <c r="K8391" s="3" t="s">
        <v>223</v>
      </c>
    </row>
    <row r="8392" ht="15.6" spans="4:11">
      <c r="D8392" s="4">
        <v>7586</v>
      </c>
      <c r="E8392" s="4" t="s">
        <v>223</v>
      </c>
      <c r="J8392" s="3" t="s">
        <v>8612</v>
      </c>
      <c r="K8392" s="3" t="s">
        <v>223</v>
      </c>
    </row>
    <row r="8393" ht="15.6" spans="4:11">
      <c r="D8393" s="4">
        <v>7587</v>
      </c>
      <c r="E8393" s="4" t="s">
        <v>223</v>
      </c>
      <c r="J8393" s="3" t="s">
        <v>8613</v>
      </c>
      <c r="K8393" s="3" t="s">
        <v>223</v>
      </c>
    </row>
    <row r="8394" ht="15.6" spans="4:11">
      <c r="D8394" s="4">
        <v>7588</v>
      </c>
      <c r="E8394" s="4" t="s">
        <v>223</v>
      </c>
      <c r="J8394" s="3" t="s">
        <v>8614</v>
      </c>
      <c r="K8394" s="3" t="s">
        <v>223</v>
      </c>
    </row>
    <row r="8395" ht="15.6" spans="4:11">
      <c r="D8395" s="4">
        <v>7589</v>
      </c>
      <c r="E8395" s="4" t="s">
        <v>223</v>
      </c>
      <c r="J8395" s="3" t="s">
        <v>8615</v>
      </c>
      <c r="K8395" s="3" t="s">
        <v>223</v>
      </c>
    </row>
    <row r="8396" ht="15.6" spans="4:11">
      <c r="D8396" s="4">
        <v>7590</v>
      </c>
      <c r="E8396" s="4" t="s">
        <v>223</v>
      </c>
      <c r="J8396" s="3" t="s">
        <v>8616</v>
      </c>
      <c r="K8396" s="3" t="s">
        <v>223</v>
      </c>
    </row>
    <row r="8397" ht="15.6" spans="4:11">
      <c r="D8397" s="4">
        <v>7591</v>
      </c>
      <c r="E8397" s="4" t="s">
        <v>223</v>
      </c>
      <c r="J8397" s="3" t="s">
        <v>8617</v>
      </c>
      <c r="K8397" s="3" t="s">
        <v>223</v>
      </c>
    </row>
    <row r="8398" ht="15.6" spans="4:11">
      <c r="D8398" s="4">
        <v>7592</v>
      </c>
      <c r="E8398" s="4" t="s">
        <v>223</v>
      </c>
      <c r="J8398" s="3" t="s">
        <v>8618</v>
      </c>
      <c r="K8398" s="3" t="s">
        <v>223</v>
      </c>
    </row>
    <row r="8399" ht="15.6" spans="4:11">
      <c r="D8399" s="4">
        <v>7593</v>
      </c>
      <c r="E8399" s="4" t="s">
        <v>223</v>
      </c>
      <c r="J8399" s="3" t="s">
        <v>8619</v>
      </c>
      <c r="K8399" s="3" t="s">
        <v>223</v>
      </c>
    </row>
    <row r="8400" ht="15.6" spans="4:11">
      <c r="D8400" s="4">
        <v>7594</v>
      </c>
      <c r="E8400" s="4" t="s">
        <v>223</v>
      </c>
      <c r="J8400" s="3" t="s">
        <v>8620</v>
      </c>
      <c r="K8400" s="3" t="s">
        <v>223</v>
      </c>
    </row>
    <row r="8401" ht="15.6" spans="4:11">
      <c r="D8401" s="4">
        <v>7595</v>
      </c>
      <c r="E8401" s="4" t="s">
        <v>223</v>
      </c>
      <c r="J8401" s="3" t="s">
        <v>8621</v>
      </c>
      <c r="K8401" s="3" t="s">
        <v>223</v>
      </c>
    </row>
    <row r="8402" ht="15.6" spans="4:11">
      <c r="D8402" s="4">
        <v>7596</v>
      </c>
      <c r="E8402" s="4" t="s">
        <v>223</v>
      </c>
      <c r="J8402" s="3" t="s">
        <v>8622</v>
      </c>
      <c r="K8402" s="3" t="s">
        <v>223</v>
      </c>
    </row>
    <row r="8403" ht="15.6" spans="4:11">
      <c r="D8403" s="4">
        <v>7597</v>
      </c>
      <c r="E8403" s="4" t="s">
        <v>223</v>
      </c>
      <c r="J8403" s="3" t="s">
        <v>8623</v>
      </c>
      <c r="K8403" s="3" t="s">
        <v>223</v>
      </c>
    </row>
    <row r="8404" ht="15.6" spans="4:11">
      <c r="D8404" s="4">
        <v>7598</v>
      </c>
      <c r="E8404" s="4" t="s">
        <v>223</v>
      </c>
      <c r="J8404" s="3" t="s">
        <v>8624</v>
      </c>
      <c r="K8404" s="3" t="s">
        <v>223</v>
      </c>
    </row>
    <row r="8405" ht="15.6" spans="4:11">
      <c r="D8405" s="4">
        <v>7599</v>
      </c>
      <c r="E8405" s="4" t="s">
        <v>223</v>
      </c>
      <c r="J8405" s="3" t="s">
        <v>8625</v>
      </c>
      <c r="K8405" s="3" t="s">
        <v>223</v>
      </c>
    </row>
    <row r="8406" ht="15.6" spans="4:11">
      <c r="D8406" s="4">
        <v>7600</v>
      </c>
      <c r="E8406" s="4" t="s">
        <v>223</v>
      </c>
      <c r="J8406" s="3" t="s">
        <v>8626</v>
      </c>
      <c r="K8406" s="3" t="s">
        <v>223</v>
      </c>
    </row>
    <row r="8407" ht="15.6" spans="4:11">
      <c r="D8407" s="4">
        <v>7601</v>
      </c>
      <c r="E8407" s="4" t="s">
        <v>223</v>
      </c>
      <c r="J8407" s="3" t="s">
        <v>8627</v>
      </c>
      <c r="K8407" s="3" t="s">
        <v>223</v>
      </c>
    </row>
    <row r="8408" ht="15.6" spans="4:11">
      <c r="D8408" s="4">
        <v>7602</v>
      </c>
      <c r="E8408" s="4" t="s">
        <v>223</v>
      </c>
      <c r="J8408" s="3" t="s">
        <v>8628</v>
      </c>
      <c r="K8408" s="3" t="s">
        <v>223</v>
      </c>
    </row>
    <row r="8409" ht="15.6" spans="4:11">
      <c r="D8409" s="4">
        <v>7603</v>
      </c>
      <c r="E8409" s="4" t="s">
        <v>223</v>
      </c>
      <c r="J8409" s="3" t="s">
        <v>8629</v>
      </c>
      <c r="K8409" s="3" t="s">
        <v>223</v>
      </c>
    </row>
    <row r="8410" ht="15.6" spans="4:11">
      <c r="D8410" s="4">
        <v>7604</v>
      </c>
      <c r="E8410" s="4" t="s">
        <v>223</v>
      </c>
      <c r="J8410" s="3" t="s">
        <v>8630</v>
      </c>
      <c r="K8410" s="3" t="s">
        <v>223</v>
      </c>
    </row>
    <row r="8411" ht="15.6" spans="4:11">
      <c r="D8411" s="4">
        <v>7605</v>
      </c>
      <c r="E8411" s="4" t="s">
        <v>223</v>
      </c>
      <c r="J8411" s="3" t="s">
        <v>8631</v>
      </c>
      <c r="K8411" s="3" t="s">
        <v>223</v>
      </c>
    </row>
    <row r="8412" ht="15.6" spans="4:11">
      <c r="D8412" s="4">
        <v>7606</v>
      </c>
      <c r="E8412" s="4" t="s">
        <v>223</v>
      </c>
      <c r="J8412" s="3" t="s">
        <v>8632</v>
      </c>
      <c r="K8412" s="3" t="s">
        <v>223</v>
      </c>
    </row>
    <row r="8413" ht="15.6" spans="4:11">
      <c r="D8413" s="4">
        <v>7607</v>
      </c>
      <c r="E8413" s="4" t="s">
        <v>223</v>
      </c>
      <c r="J8413" s="3" t="s">
        <v>8633</v>
      </c>
      <c r="K8413" s="3" t="s">
        <v>223</v>
      </c>
    </row>
    <row r="8414" ht="15.6" spans="4:11">
      <c r="D8414" s="4">
        <v>7608</v>
      </c>
      <c r="E8414" s="4" t="s">
        <v>223</v>
      </c>
      <c r="J8414" s="3" t="s">
        <v>8634</v>
      </c>
      <c r="K8414" s="3" t="s">
        <v>223</v>
      </c>
    </row>
    <row r="8415" ht="15.6" spans="4:11">
      <c r="D8415" s="4">
        <v>7609</v>
      </c>
      <c r="E8415" s="4" t="s">
        <v>223</v>
      </c>
      <c r="J8415" s="3" t="s">
        <v>8635</v>
      </c>
      <c r="K8415" s="3" t="s">
        <v>223</v>
      </c>
    </row>
    <row r="8416" ht="15.6" spans="4:11">
      <c r="D8416" s="4">
        <v>7610</v>
      </c>
      <c r="E8416" s="4" t="s">
        <v>223</v>
      </c>
      <c r="J8416" s="3" t="s">
        <v>8636</v>
      </c>
      <c r="K8416" s="3" t="s">
        <v>223</v>
      </c>
    </row>
    <row r="8417" ht="15.6" spans="4:11">
      <c r="D8417" s="4">
        <v>7611</v>
      </c>
      <c r="E8417" s="4" t="s">
        <v>223</v>
      </c>
      <c r="J8417" s="3" t="s">
        <v>8637</v>
      </c>
      <c r="K8417" s="3" t="s">
        <v>223</v>
      </c>
    </row>
    <row r="8418" ht="15.6" spans="4:11">
      <c r="D8418" s="4">
        <v>7612</v>
      </c>
      <c r="E8418" s="4" t="s">
        <v>223</v>
      </c>
      <c r="J8418" s="3" t="s">
        <v>8638</v>
      </c>
      <c r="K8418" s="3" t="s">
        <v>223</v>
      </c>
    </row>
    <row r="8419" ht="15.6" spans="4:11">
      <c r="D8419" s="4">
        <v>7613</v>
      </c>
      <c r="E8419" s="4" t="s">
        <v>223</v>
      </c>
      <c r="J8419" s="3" t="s">
        <v>8639</v>
      </c>
      <c r="K8419" s="3" t="s">
        <v>223</v>
      </c>
    </row>
    <row r="8420" ht="15.6" spans="4:11">
      <c r="D8420" s="4">
        <v>7614</v>
      </c>
      <c r="E8420" s="4" t="s">
        <v>223</v>
      </c>
      <c r="J8420" s="3" t="s">
        <v>8640</v>
      </c>
      <c r="K8420" s="3" t="s">
        <v>223</v>
      </c>
    </row>
    <row r="8421" ht="15.6" spans="4:11">
      <c r="D8421" s="4">
        <v>7615</v>
      </c>
      <c r="E8421" s="4" t="s">
        <v>223</v>
      </c>
      <c r="J8421" s="3" t="s">
        <v>8641</v>
      </c>
      <c r="K8421" s="3" t="s">
        <v>223</v>
      </c>
    </row>
    <row r="8422" ht="15.6" spans="4:11">
      <c r="D8422" s="4">
        <v>7616</v>
      </c>
      <c r="E8422" s="4" t="s">
        <v>223</v>
      </c>
      <c r="J8422" s="3" t="s">
        <v>8642</v>
      </c>
      <c r="K8422" s="3" t="s">
        <v>223</v>
      </c>
    </row>
    <row r="8423" ht="15.6" spans="4:11">
      <c r="D8423" s="4">
        <v>7617</v>
      </c>
      <c r="E8423" s="4" t="s">
        <v>223</v>
      </c>
      <c r="J8423" s="3" t="s">
        <v>8643</v>
      </c>
      <c r="K8423" s="3" t="s">
        <v>223</v>
      </c>
    </row>
    <row r="8424" ht="15.6" spans="4:11">
      <c r="D8424" s="4">
        <v>7618</v>
      </c>
      <c r="E8424" s="4" t="s">
        <v>223</v>
      </c>
      <c r="J8424" s="3" t="s">
        <v>8644</v>
      </c>
      <c r="K8424" s="3" t="s">
        <v>223</v>
      </c>
    </row>
    <row r="8425" ht="15.6" spans="4:11">
      <c r="D8425" s="4">
        <v>7619</v>
      </c>
      <c r="E8425" s="4" t="s">
        <v>223</v>
      </c>
      <c r="J8425" s="3" t="s">
        <v>8645</v>
      </c>
      <c r="K8425" s="3" t="s">
        <v>223</v>
      </c>
    </row>
    <row r="8426" ht="15.6" spans="4:11">
      <c r="D8426" s="4">
        <v>7620</v>
      </c>
      <c r="E8426" s="4" t="s">
        <v>223</v>
      </c>
      <c r="J8426" s="3" t="s">
        <v>8646</v>
      </c>
      <c r="K8426" s="3" t="s">
        <v>223</v>
      </c>
    </row>
    <row r="8427" ht="15.6" spans="4:11">
      <c r="D8427" s="4">
        <v>7621</v>
      </c>
      <c r="E8427" s="4" t="s">
        <v>223</v>
      </c>
      <c r="J8427" s="3" t="s">
        <v>8647</v>
      </c>
      <c r="K8427" s="3" t="s">
        <v>223</v>
      </c>
    </row>
    <row r="8428" ht="15.6" spans="4:11">
      <c r="D8428" s="4">
        <v>7622</v>
      </c>
      <c r="E8428" s="4" t="s">
        <v>223</v>
      </c>
      <c r="J8428" s="3" t="s">
        <v>8648</v>
      </c>
      <c r="K8428" s="3" t="s">
        <v>223</v>
      </c>
    </row>
    <row r="8429" ht="15.6" spans="4:11">
      <c r="D8429" s="4">
        <v>7623</v>
      </c>
      <c r="E8429" s="4" t="s">
        <v>223</v>
      </c>
      <c r="J8429" s="3" t="s">
        <v>8649</v>
      </c>
      <c r="K8429" s="3" t="s">
        <v>223</v>
      </c>
    </row>
    <row r="8430" ht="15.6" spans="4:11">
      <c r="D8430" s="4">
        <v>7624</v>
      </c>
      <c r="E8430" s="4" t="s">
        <v>223</v>
      </c>
      <c r="J8430" s="3" t="s">
        <v>8650</v>
      </c>
      <c r="K8430" s="3" t="s">
        <v>223</v>
      </c>
    </row>
    <row r="8431" ht="15.6" spans="4:11">
      <c r="D8431" s="4">
        <v>7625</v>
      </c>
      <c r="E8431" s="4" t="s">
        <v>223</v>
      </c>
      <c r="J8431" s="3" t="s">
        <v>8651</v>
      </c>
      <c r="K8431" s="3" t="s">
        <v>223</v>
      </c>
    </row>
    <row r="8432" ht="15.6" spans="4:11">
      <c r="D8432" s="4">
        <v>7626</v>
      </c>
      <c r="E8432" s="4" t="s">
        <v>223</v>
      </c>
      <c r="J8432" s="3" t="s">
        <v>8652</v>
      </c>
      <c r="K8432" s="3" t="s">
        <v>223</v>
      </c>
    </row>
    <row r="8433" ht="15.6" spans="4:11">
      <c r="D8433" s="4">
        <v>7627</v>
      </c>
      <c r="E8433" s="4" t="s">
        <v>223</v>
      </c>
      <c r="J8433" s="3" t="s">
        <v>8653</v>
      </c>
      <c r="K8433" s="3" t="s">
        <v>223</v>
      </c>
    </row>
    <row r="8434" ht="15.6" spans="4:11">
      <c r="D8434" s="4">
        <v>7628</v>
      </c>
      <c r="E8434" s="4" t="s">
        <v>223</v>
      </c>
      <c r="J8434" s="3" t="s">
        <v>8654</v>
      </c>
      <c r="K8434" s="3" t="s">
        <v>223</v>
      </c>
    </row>
    <row r="8435" ht="15.6" spans="4:11">
      <c r="D8435" s="4">
        <v>7629</v>
      </c>
      <c r="E8435" s="4" t="s">
        <v>223</v>
      </c>
      <c r="J8435" s="3" t="s">
        <v>8655</v>
      </c>
      <c r="K8435" s="3" t="s">
        <v>223</v>
      </c>
    </row>
    <row r="8436" ht="15.6" spans="4:11">
      <c r="D8436" s="4">
        <v>7630</v>
      </c>
      <c r="E8436" s="4" t="s">
        <v>223</v>
      </c>
      <c r="J8436" s="3" t="s">
        <v>8656</v>
      </c>
      <c r="K8436" s="3" t="s">
        <v>223</v>
      </c>
    </row>
    <row r="8437" ht="15.6" spans="4:11">
      <c r="D8437" s="4">
        <v>7631</v>
      </c>
      <c r="E8437" s="4" t="s">
        <v>223</v>
      </c>
      <c r="J8437" s="3" t="s">
        <v>8657</v>
      </c>
      <c r="K8437" s="3" t="s">
        <v>223</v>
      </c>
    </row>
    <row r="8438" ht="15.6" spans="4:11">
      <c r="D8438" s="4">
        <v>7632</v>
      </c>
      <c r="E8438" s="4" t="s">
        <v>223</v>
      </c>
      <c r="J8438" s="3" t="s">
        <v>8658</v>
      </c>
      <c r="K8438" s="3" t="s">
        <v>223</v>
      </c>
    </row>
    <row r="8439" ht="15.6" spans="4:11">
      <c r="D8439" s="4">
        <v>7633</v>
      </c>
      <c r="E8439" s="4" t="s">
        <v>223</v>
      </c>
      <c r="J8439" s="3" t="s">
        <v>8659</v>
      </c>
      <c r="K8439" s="3" t="s">
        <v>223</v>
      </c>
    </row>
    <row r="8440" ht="15.6" spans="4:11">
      <c r="D8440" s="4">
        <v>7634</v>
      </c>
      <c r="E8440" s="4" t="s">
        <v>223</v>
      </c>
      <c r="J8440" s="3" t="s">
        <v>8660</v>
      </c>
      <c r="K8440" s="3" t="s">
        <v>223</v>
      </c>
    </row>
    <row r="8441" ht="15.6" spans="4:11">
      <c r="D8441" s="4">
        <v>7635</v>
      </c>
      <c r="E8441" s="4" t="s">
        <v>223</v>
      </c>
      <c r="J8441" s="3" t="s">
        <v>8661</v>
      </c>
      <c r="K8441" s="3" t="s">
        <v>223</v>
      </c>
    </row>
    <row r="8442" ht="15.6" spans="4:11">
      <c r="D8442" s="4">
        <v>7636</v>
      </c>
      <c r="E8442" s="4" t="s">
        <v>223</v>
      </c>
      <c r="J8442" s="3" t="s">
        <v>8662</v>
      </c>
      <c r="K8442" s="3" t="s">
        <v>223</v>
      </c>
    </row>
    <row r="8443" ht="15.6" spans="4:11">
      <c r="D8443" s="4">
        <v>7637</v>
      </c>
      <c r="E8443" s="4" t="s">
        <v>223</v>
      </c>
      <c r="J8443" s="3" t="s">
        <v>8663</v>
      </c>
      <c r="K8443" s="3" t="s">
        <v>223</v>
      </c>
    </row>
    <row r="8444" ht="15.6" spans="4:11">
      <c r="D8444" s="4">
        <v>7638</v>
      </c>
      <c r="E8444" s="4" t="s">
        <v>223</v>
      </c>
      <c r="J8444" s="3" t="s">
        <v>8664</v>
      </c>
      <c r="K8444" s="3" t="s">
        <v>223</v>
      </c>
    </row>
    <row r="8445" ht="15.6" spans="4:11">
      <c r="D8445" s="4">
        <v>7639</v>
      </c>
      <c r="E8445" s="4" t="s">
        <v>223</v>
      </c>
      <c r="J8445" s="3" t="s">
        <v>8665</v>
      </c>
      <c r="K8445" s="3" t="s">
        <v>223</v>
      </c>
    </row>
    <row r="8446" ht="15.6" spans="4:11">
      <c r="D8446" s="4">
        <v>7640</v>
      </c>
      <c r="E8446" s="4" t="s">
        <v>223</v>
      </c>
      <c r="J8446" s="3" t="s">
        <v>8666</v>
      </c>
      <c r="K8446" s="3" t="s">
        <v>223</v>
      </c>
    </row>
    <row r="8447" ht="15.6" spans="4:11">
      <c r="D8447" s="4">
        <v>7641</v>
      </c>
      <c r="E8447" s="4" t="s">
        <v>223</v>
      </c>
      <c r="J8447" s="3" t="s">
        <v>8667</v>
      </c>
      <c r="K8447" s="3" t="s">
        <v>223</v>
      </c>
    </row>
    <row r="8448" ht="15.6" spans="4:11">
      <c r="D8448" s="4">
        <v>7642</v>
      </c>
      <c r="E8448" s="4" t="s">
        <v>223</v>
      </c>
      <c r="J8448" s="3" t="s">
        <v>8668</v>
      </c>
      <c r="K8448" s="3" t="s">
        <v>223</v>
      </c>
    </row>
    <row r="8449" ht="15.6" spans="4:11">
      <c r="D8449" s="4">
        <v>7643</v>
      </c>
      <c r="E8449" s="4" t="s">
        <v>223</v>
      </c>
      <c r="J8449" s="3" t="s">
        <v>8669</v>
      </c>
      <c r="K8449" s="3" t="s">
        <v>223</v>
      </c>
    </row>
    <row r="8450" ht="15.6" spans="4:11">
      <c r="D8450" s="4">
        <v>7644</v>
      </c>
      <c r="E8450" s="4" t="s">
        <v>223</v>
      </c>
      <c r="J8450" s="3" t="s">
        <v>8670</v>
      </c>
      <c r="K8450" s="3" t="s">
        <v>223</v>
      </c>
    </row>
    <row r="8451" ht="15.6" spans="4:11">
      <c r="D8451" s="4">
        <v>7645</v>
      </c>
      <c r="E8451" s="4" t="s">
        <v>223</v>
      </c>
      <c r="J8451" s="3" t="s">
        <v>8671</v>
      </c>
      <c r="K8451" s="3" t="s">
        <v>223</v>
      </c>
    </row>
    <row r="8452" ht="15.6" spans="4:11">
      <c r="D8452" s="4">
        <v>7646</v>
      </c>
      <c r="E8452" s="4" t="s">
        <v>223</v>
      </c>
      <c r="J8452" s="3" t="s">
        <v>8672</v>
      </c>
      <c r="K8452" s="3" t="s">
        <v>223</v>
      </c>
    </row>
    <row r="8453" ht="15.6" spans="4:11">
      <c r="D8453" s="4">
        <v>7647</v>
      </c>
      <c r="E8453" s="4" t="s">
        <v>223</v>
      </c>
      <c r="J8453" s="3" t="s">
        <v>8673</v>
      </c>
      <c r="K8453" s="3" t="s">
        <v>223</v>
      </c>
    </row>
    <row r="8454" ht="15.6" spans="4:11">
      <c r="D8454" s="4">
        <v>7648</v>
      </c>
      <c r="E8454" s="4" t="s">
        <v>223</v>
      </c>
      <c r="J8454" s="3" t="s">
        <v>8674</v>
      </c>
      <c r="K8454" s="3" t="s">
        <v>223</v>
      </c>
    </row>
    <row r="8455" ht="15.6" spans="4:11">
      <c r="D8455" s="4">
        <v>7649</v>
      </c>
      <c r="E8455" s="4" t="s">
        <v>223</v>
      </c>
      <c r="J8455" s="3" t="s">
        <v>8675</v>
      </c>
      <c r="K8455" s="3" t="s">
        <v>223</v>
      </c>
    </row>
    <row r="8456" ht="15.6" spans="4:11">
      <c r="D8456" s="4">
        <v>7650</v>
      </c>
      <c r="E8456" s="4" t="s">
        <v>223</v>
      </c>
      <c r="J8456" s="3" t="s">
        <v>8676</v>
      </c>
      <c r="K8456" s="3" t="s">
        <v>223</v>
      </c>
    </row>
    <row r="8457" ht="15.6" spans="4:11">
      <c r="D8457" s="4">
        <v>7651</v>
      </c>
      <c r="E8457" s="4" t="s">
        <v>223</v>
      </c>
      <c r="J8457" s="3" t="s">
        <v>8677</v>
      </c>
      <c r="K8457" s="3" t="s">
        <v>223</v>
      </c>
    </row>
    <row r="8458" ht="15.6" spans="4:11">
      <c r="D8458" s="4">
        <v>7652</v>
      </c>
      <c r="E8458" s="4" t="s">
        <v>223</v>
      </c>
      <c r="J8458" s="3" t="s">
        <v>8678</v>
      </c>
      <c r="K8458" s="3" t="s">
        <v>223</v>
      </c>
    </row>
    <row r="8459" ht="15.6" spans="4:11">
      <c r="D8459" s="4">
        <v>7653</v>
      </c>
      <c r="E8459" s="4" t="s">
        <v>223</v>
      </c>
      <c r="J8459" s="3" t="s">
        <v>8679</v>
      </c>
      <c r="K8459" s="3" t="s">
        <v>223</v>
      </c>
    </row>
    <row r="8460" ht="15.6" spans="4:11">
      <c r="D8460" s="4">
        <v>7654</v>
      </c>
      <c r="E8460" s="4" t="s">
        <v>223</v>
      </c>
      <c r="J8460" s="3" t="s">
        <v>8680</v>
      </c>
      <c r="K8460" s="3" t="s">
        <v>223</v>
      </c>
    </row>
    <row r="8461" ht="15.6" spans="4:11">
      <c r="D8461" s="4">
        <v>7655</v>
      </c>
      <c r="E8461" s="4" t="s">
        <v>223</v>
      </c>
      <c r="J8461" s="3" t="s">
        <v>8681</v>
      </c>
      <c r="K8461" s="3" t="s">
        <v>223</v>
      </c>
    </row>
    <row r="8462" ht="15.6" spans="4:11">
      <c r="D8462" s="4">
        <v>7656</v>
      </c>
      <c r="E8462" s="4" t="s">
        <v>223</v>
      </c>
      <c r="J8462" s="3" t="s">
        <v>8682</v>
      </c>
      <c r="K8462" s="3" t="s">
        <v>223</v>
      </c>
    </row>
    <row r="8463" ht="15.6" spans="4:11">
      <c r="D8463" s="4">
        <v>7657</v>
      </c>
      <c r="E8463" s="4" t="s">
        <v>223</v>
      </c>
      <c r="J8463" s="3" t="s">
        <v>8683</v>
      </c>
      <c r="K8463" s="3" t="s">
        <v>223</v>
      </c>
    </row>
    <row r="8464" ht="15.6" spans="4:11">
      <c r="D8464" s="4">
        <v>7658</v>
      </c>
      <c r="E8464" s="4" t="s">
        <v>223</v>
      </c>
      <c r="J8464" s="3" t="s">
        <v>8684</v>
      </c>
      <c r="K8464" s="3" t="s">
        <v>223</v>
      </c>
    </row>
    <row r="8465" ht="15.6" spans="4:11">
      <c r="D8465" s="4">
        <v>7659</v>
      </c>
      <c r="E8465" s="4" t="s">
        <v>223</v>
      </c>
      <c r="J8465" s="3" t="s">
        <v>8685</v>
      </c>
      <c r="K8465" s="3" t="s">
        <v>223</v>
      </c>
    </row>
    <row r="8466" ht="15.6" spans="4:11">
      <c r="D8466" s="4">
        <v>7660</v>
      </c>
      <c r="E8466" s="4" t="s">
        <v>223</v>
      </c>
      <c r="J8466" s="3" t="s">
        <v>8686</v>
      </c>
      <c r="K8466" s="3" t="s">
        <v>223</v>
      </c>
    </row>
    <row r="8467" ht="15.6" spans="4:11">
      <c r="D8467" s="4">
        <v>7661</v>
      </c>
      <c r="E8467" s="4" t="s">
        <v>223</v>
      </c>
      <c r="J8467" s="3" t="s">
        <v>8687</v>
      </c>
      <c r="K8467" s="3" t="s">
        <v>223</v>
      </c>
    </row>
    <row r="8468" ht="15.6" spans="4:11">
      <c r="D8468" s="4">
        <v>7662</v>
      </c>
      <c r="E8468" s="4" t="s">
        <v>223</v>
      </c>
      <c r="J8468" s="3" t="s">
        <v>8688</v>
      </c>
      <c r="K8468" s="3" t="s">
        <v>223</v>
      </c>
    </row>
    <row r="8469" ht="15.6" spans="4:11">
      <c r="D8469" s="4">
        <v>7663</v>
      </c>
      <c r="E8469" s="4" t="s">
        <v>223</v>
      </c>
      <c r="J8469" s="3" t="s">
        <v>8689</v>
      </c>
      <c r="K8469" s="3" t="s">
        <v>223</v>
      </c>
    </row>
    <row r="8470" ht="15.6" spans="4:11">
      <c r="D8470" s="4">
        <v>7664</v>
      </c>
      <c r="E8470" s="4" t="s">
        <v>223</v>
      </c>
      <c r="J8470" s="3" t="s">
        <v>8690</v>
      </c>
      <c r="K8470" s="3" t="s">
        <v>223</v>
      </c>
    </row>
    <row r="8471" ht="15.6" spans="4:11">
      <c r="D8471" s="4">
        <v>7665</v>
      </c>
      <c r="E8471" s="4" t="s">
        <v>223</v>
      </c>
      <c r="J8471" s="3" t="s">
        <v>8691</v>
      </c>
      <c r="K8471" s="3" t="s">
        <v>223</v>
      </c>
    </row>
    <row r="8472" ht="15.6" spans="4:11">
      <c r="D8472" s="4">
        <v>7666</v>
      </c>
      <c r="E8472" s="4" t="s">
        <v>223</v>
      </c>
      <c r="J8472" s="3" t="s">
        <v>8692</v>
      </c>
      <c r="K8472" s="3" t="s">
        <v>223</v>
      </c>
    </row>
    <row r="8473" ht="15.6" spans="4:11">
      <c r="D8473" s="4">
        <v>7667</v>
      </c>
      <c r="E8473" s="4" t="s">
        <v>223</v>
      </c>
      <c r="J8473" s="3" t="s">
        <v>8693</v>
      </c>
      <c r="K8473" s="3" t="s">
        <v>223</v>
      </c>
    </row>
    <row r="8474" ht="15.6" spans="4:11">
      <c r="D8474" s="4">
        <v>7668</v>
      </c>
      <c r="E8474" s="4" t="s">
        <v>223</v>
      </c>
      <c r="J8474" s="3" t="s">
        <v>8694</v>
      </c>
      <c r="K8474" s="3" t="s">
        <v>223</v>
      </c>
    </row>
    <row r="8475" ht="15.6" spans="4:11">
      <c r="D8475" s="4">
        <v>7669</v>
      </c>
      <c r="E8475" s="4" t="s">
        <v>223</v>
      </c>
      <c r="J8475" s="3" t="s">
        <v>8695</v>
      </c>
      <c r="K8475" s="3" t="s">
        <v>223</v>
      </c>
    </row>
    <row r="8476" ht="15.6" spans="4:11">
      <c r="D8476" s="4">
        <v>7670</v>
      </c>
      <c r="E8476" s="4" t="s">
        <v>223</v>
      </c>
      <c r="J8476" s="3" t="s">
        <v>8696</v>
      </c>
      <c r="K8476" s="3" t="s">
        <v>223</v>
      </c>
    </row>
    <row r="8477" ht="15.6" spans="4:11">
      <c r="D8477" s="4">
        <v>7671</v>
      </c>
      <c r="E8477" s="4" t="s">
        <v>223</v>
      </c>
      <c r="J8477" s="3" t="s">
        <v>8697</v>
      </c>
      <c r="K8477" s="3" t="s">
        <v>223</v>
      </c>
    </row>
    <row r="8478" ht="15.6" spans="4:11">
      <c r="D8478" s="4">
        <v>7672</v>
      </c>
      <c r="E8478" s="4" t="s">
        <v>223</v>
      </c>
      <c r="J8478" s="3" t="s">
        <v>8698</v>
      </c>
      <c r="K8478" s="3" t="s">
        <v>223</v>
      </c>
    </row>
    <row r="8479" ht="15.6" spans="4:11">
      <c r="D8479" s="4">
        <v>7673</v>
      </c>
      <c r="E8479" s="4" t="s">
        <v>223</v>
      </c>
      <c r="J8479" s="3" t="s">
        <v>8699</v>
      </c>
      <c r="K8479" s="3" t="s">
        <v>223</v>
      </c>
    </row>
    <row r="8480" ht="15.6" spans="4:11">
      <c r="D8480" s="4">
        <v>7674</v>
      </c>
      <c r="E8480" s="4" t="s">
        <v>223</v>
      </c>
      <c r="J8480" s="3" t="s">
        <v>8700</v>
      </c>
      <c r="K8480" s="3" t="s">
        <v>223</v>
      </c>
    </row>
    <row r="8481" ht="15.6" spans="4:11">
      <c r="D8481" s="4">
        <v>7675</v>
      </c>
      <c r="E8481" s="4" t="s">
        <v>223</v>
      </c>
      <c r="J8481" s="3" t="s">
        <v>8701</v>
      </c>
      <c r="K8481" s="3" t="s">
        <v>223</v>
      </c>
    </row>
    <row r="8482" ht="15.6" spans="4:11">
      <c r="D8482" s="4">
        <v>7676</v>
      </c>
      <c r="E8482" s="4" t="s">
        <v>223</v>
      </c>
      <c r="J8482" s="3" t="s">
        <v>8702</v>
      </c>
      <c r="K8482" s="3" t="s">
        <v>223</v>
      </c>
    </row>
    <row r="8483" ht="15.6" spans="4:11">
      <c r="D8483" s="4">
        <v>7677</v>
      </c>
      <c r="E8483" s="4" t="s">
        <v>223</v>
      </c>
      <c r="J8483" s="3" t="s">
        <v>8703</v>
      </c>
      <c r="K8483" s="3" t="s">
        <v>223</v>
      </c>
    </row>
    <row r="8484" ht="15.6" spans="4:11">
      <c r="D8484" s="4">
        <v>7678</v>
      </c>
      <c r="E8484" s="4" t="s">
        <v>223</v>
      </c>
      <c r="J8484" s="3" t="s">
        <v>8704</v>
      </c>
      <c r="K8484" s="3" t="s">
        <v>223</v>
      </c>
    </row>
    <row r="8485" ht="15.6" spans="4:11">
      <c r="D8485" s="4">
        <v>7679</v>
      </c>
      <c r="E8485" s="4" t="s">
        <v>223</v>
      </c>
      <c r="J8485" s="3" t="s">
        <v>8705</v>
      </c>
      <c r="K8485" s="3" t="s">
        <v>223</v>
      </c>
    </row>
    <row r="8486" ht="15.6" spans="4:11">
      <c r="D8486" s="4">
        <v>7680</v>
      </c>
      <c r="E8486" s="4" t="s">
        <v>223</v>
      </c>
      <c r="J8486" s="3" t="s">
        <v>8706</v>
      </c>
      <c r="K8486" s="3" t="s">
        <v>223</v>
      </c>
    </row>
    <row r="8487" ht="15.6" spans="4:11">
      <c r="D8487" s="4">
        <v>7681</v>
      </c>
      <c r="E8487" s="4" t="s">
        <v>223</v>
      </c>
      <c r="J8487" s="3" t="s">
        <v>8707</v>
      </c>
      <c r="K8487" s="3" t="s">
        <v>223</v>
      </c>
    </row>
    <row r="8488" ht="15.6" spans="4:11">
      <c r="D8488" s="4">
        <v>7682</v>
      </c>
      <c r="E8488" s="4" t="s">
        <v>223</v>
      </c>
      <c r="J8488" s="3" t="s">
        <v>8708</v>
      </c>
      <c r="K8488" s="3" t="s">
        <v>223</v>
      </c>
    </row>
    <row r="8489" ht="15.6" spans="4:11">
      <c r="D8489" s="4">
        <v>7683</v>
      </c>
      <c r="E8489" s="4" t="s">
        <v>223</v>
      </c>
      <c r="J8489" s="3" t="s">
        <v>8709</v>
      </c>
      <c r="K8489" s="3" t="s">
        <v>223</v>
      </c>
    </row>
    <row r="8490" ht="15.6" spans="4:11">
      <c r="D8490" s="4">
        <v>7684</v>
      </c>
      <c r="E8490" s="4" t="s">
        <v>223</v>
      </c>
      <c r="J8490" s="3" t="s">
        <v>8710</v>
      </c>
      <c r="K8490" s="3" t="s">
        <v>223</v>
      </c>
    </row>
    <row r="8491" ht="15.6" spans="4:11">
      <c r="D8491" s="4">
        <v>7685</v>
      </c>
      <c r="E8491" s="4" t="s">
        <v>223</v>
      </c>
      <c r="J8491" s="3" t="s">
        <v>8711</v>
      </c>
      <c r="K8491" s="3" t="s">
        <v>223</v>
      </c>
    </row>
    <row r="8492" ht="15.6" spans="4:11">
      <c r="D8492" s="4">
        <v>7686</v>
      </c>
      <c r="E8492" s="4" t="s">
        <v>223</v>
      </c>
      <c r="J8492" s="3" t="s">
        <v>8712</v>
      </c>
      <c r="K8492" s="3" t="s">
        <v>223</v>
      </c>
    </row>
    <row r="8493" ht="15.6" spans="4:11">
      <c r="D8493" s="4">
        <v>7687</v>
      </c>
      <c r="E8493" s="4" t="s">
        <v>223</v>
      </c>
      <c r="J8493" s="3" t="s">
        <v>8713</v>
      </c>
      <c r="K8493" s="3" t="s">
        <v>223</v>
      </c>
    </row>
    <row r="8494" ht="15.6" spans="4:11">
      <c r="D8494" s="4">
        <v>7688</v>
      </c>
      <c r="E8494" s="4" t="s">
        <v>223</v>
      </c>
      <c r="J8494" s="3" t="s">
        <v>8714</v>
      </c>
      <c r="K8494" s="3" t="s">
        <v>223</v>
      </c>
    </row>
    <row r="8495" ht="15.6" spans="4:11">
      <c r="D8495" s="4">
        <v>7689</v>
      </c>
      <c r="E8495" s="4" t="s">
        <v>223</v>
      </c>
      <c r="J8495" s="3" t="s">
        <v>8715</v>
      </c>
      <c r="K8495" s="3" t="s">
        <v>223</v>
      </c>
    </row>
    <row r="8496" ht="15.6" spans="4:11">
      <c r="D8496" s="4">
        <v>7690</v>
      </c>
      <c r="E8496" s="4" t="s">
        <v>223</v>
      </c>
      <c r="J8496" s="3" t="s">
        <v>8716</v>
      </c>
      <c r="K8496" s="3" t="s">
        <v>223</v>
      </c>
    </row>
    <row r="8497" ht="15.6" spans="4:11">
      <c r="D8497" s="4">
        <v>7691</v>
      </c>
      <c r="E8497" s="4" t="s">
        <v>223</v>
      </c>
      <c r="J8497" s="3" t="s">
        <v>8717</v>
      </c>
      <c r="K8497" s="3" t="s">
        <v>223</v>
      </c>
    </row>
    <row r="8498" ht="15.6" spans="4:11">
      <c r="D8498" s="4">
        <v>7692</v>
      </c>
      <c r="E8498" s="4" t="s">
        <v>223</v>
      </c>
      <c r="J8498" s="3" t="s">
        <v>8718</v>
      </c>
      <c r="K8498" s="3" t="s">
        <v>223</v>
      </c>
    </row>
    <row r="8499" ht="15.6" spans="4:11">
      <c r="D8499" s="4">
        <v>7693</v>
      </c>
      <c r="E8499" s="4" t="s">
        <v>223</v>
      </c>
      <c r="J8499" s="3" t="s">
        <v>8719</v>
      </c>
      <c r="K8499" s="3" t="s">
        <v>223</v>
      </c>
    </row>
    <row r="8500" ht="15.6" spans="4:11">
      <c r="D8500" s="4">
        <v>7694</v>
      </c>
      <c r="E8500" s="4" t="s">
        <v>223</v>
      </c>
      <c r="J8500" s="3" t="s">
        <v>8720</v>
      </c>
      <c r="K8500" s="3" t="s">
        <v>223</v>
      </c>
    </row>
    <row r="8501" ht="15.6" spans="4:11">
      <c r="D8501" s="4">
        <v>7695</v>
      </c>
      <c r="E8501" s="4" t="s">
        <v>223</v>
      </c>
      <c r="J8501" s="3" t="s">
        <v>8721</v>
      </c>
      <c r="K8501" s="3" t="s">
        <v>223</v>
      </c>
    </row>
    <row r="8502" ht="15.6" spans="4:11">
      <c r="D8502" s="4">
        <v>7696</v>
      </c>
      <c r="E8502" s="4" t="s">
        <v>223</v>
      </c>
      <c r="J8502" s="3" t="s">
        <v>8722</v>
      </c>
      <c r="K8502" s="3" t="s">
        <v>223</v>
      </c>
    </row>
    <row r="8503" ht="15.6" spans="4:11">
      <c r="D8503" s="4">
        <v>7697</v>
      </c>
      <c r="E8503" s="4" t="s">
        <v>223</v>
      </c>
      <c r="J8503" s="3" t="s">
        <v>8723</v>
      </c>
      <c r="K8503" s="3" t="s">
        <v>223</v>
      </c>
    </row>
    <row r="8504" ht="15.6" spans="4:11">
      <c r="D8504" s="4">
        <v>7698</v>
      </c>
      <c r="E8504" s="4" t="s">
        <v>223</v>
      </c>
      <c r="J8504" s="3" t="s">
        <v>8724</v>
      </c>
      <c r="K8504" s="3" t="s">
        <v>223</v>
      </c>
    </row>
    <row r="8505" ht="15.6" spans="4:11">
      <c r="D8505" s="4">
        <v>7699</v>
      </c>
      <c r="E8505" s="4" t="s">
        <v>223</v>
      </c>
      <c r="J8505" s="3" t="s">
        <v>8725</v>
      </c>
      <c r="K8505" s="3" t="s">
        <v>223</v>
      </c>
    </row>
    <row r="8506" ht="15.6" spans="4:11">
      <c r="D8506" s="4">
        <v>7700</v>
      </c>
      <c r="E8506" s="4" t="s">
        <v>223</v>
      </c>
      <c r="J8506" s="3" t="s">
        <v>8726</v>
      </c>
      <c r="K8506" s="3" t="s">
        <v>223</v>
      </c>
    </row>
    <row r="8507" ht="15.6" spans="4:11">
      <c r="D8507" s="4">
        <v>7701</v>
      </c>
      <c r="E8507" s="4" t="s">
        <v>223</v>
      </c>
      <c r="J8507" s="3" t="s">
        <v>8727</v>
      </c>
      <c r="K8507" s="3" t="s">
        <v>223</v>
      </c>
    </row>
    <row r="8508" ht="15.6" spans="4:11">
      <c r="D8508" s="4">
        <v>7702</v>
      </c>
      <c r="E8508" s="4" t="s">
        <v>223</v>
      </c>
      <c r="J8508" s="3" t="s">
        <v>8728</v>
      </c>
      <c r="K8508" s="3" t="s">
        <v>223</v>
      </c>
    </row>
    <row r="8509" ht="15.6" spans="4:11">
      <c r="D8509" s="4">
        <v>7703</v>
      </c>
      <c r="E8509" s="4" t="s">
        <v>223</v>
      </c>
      <c r="J8509" s="3" t="s">
        <v>8729</v>
      </c>
      <c r="K8509" s="3" t="s">
        <v>223</v>
      </c>
    </row>
    <row r="8510" ht="15.6" spans="4:11">
      <c r="D8510" s="4">
        <v>7704</v>
      </c>
      <c r="E8510" s="4" t="s">
        <v>223</v>
      </c>
      <c r="J8510" s="3" t="s">
        <v>8730</v>
      </c>
      <c r="K8510" s="3" t="s">
        <v>223</v>
      </c>
    </row>
    <row r="8511" ht="15.6" spans="4:11">
      <c r="D8511" s="4">
        <v>7705</v>
      </c>
      <c r="E8511" s="4" t="s">
        <v>223</v>
      </c>
      <c r="J8511" s="3" t="s">
        <v>8731</v>
      </c>
      <c r="K8511" s="3" t="s">
        <v>223</v>
      </c>
    </row>
    <row r="8512" ht="15.6" spans="4:11">
      <c r="D8512" s="4">
        <v>7706</v>
      </c>
      <c r="E8512" s="4" t="s">
        <v>223</v>
      </c>
      <c r="J8512" s="3" t="s">
        <v>8732</v>
      </c>
      <c r="K8512" s="3" t="s">
        <v>223</v>
      </c>
    </row>
    <row r="8513" ht="15.6" spans="4:11">
      <c r="D8513" s="4">
        <v>7707</v>
      </c>
      <c r="E8513" s="4" t="s">
        <v>223</v>
      </c>
      <c r="J8513" s="3" t="s">
        <v>8733</v>
      </c>
      <c r="K8513" s="3" t="s">
        <v>223</v>
      </c>
    </row>
    <row r="8514" ht="15.6" spans="4:11">
      <c r="D8514" s="4">
        <v>7708</v>
      </c>
      <c r="E8514" s="4" t="s">
        <v>223</v>
      </c>
      <c r="J8514" s="3" t="s">
        <v>8734</v>
      </c>
      <c r="K8514" s="3" t="s">
        <v>223</v>
      </c>
    </row>
    <row r="8515" ht="15.6" spans="4:11">
      <c r="D8515" s="4">
        <v>7709</v>
      </c>
      <c r="E8515" s="4" t="s">
        <v>223</v>
      </c>
      <c r="J8515" s="3" t="s">
        <v>8735</v>
      </c>
      <c r="K8515" s="3" t="s">
        <v>223</v>
      </c>
    </row>
    <row r="8516" ht="15.6" spans="4:11">
      <c r="D8516" s="4">
        <v>7710</v>
      </c>
      <c r="E8516" s="4" t="s">
        <v>223</v>
      </c>
      <c r="J8516" s="3" t="s">
        <v>8736</v>
      </c>
      <c r="K8516" s="3" t="s">
        <v>223</v>
      </c>
    </row>
    <row r="8517" ht="15.6" spans="4:11">
      <c r="D8517" s="4">
        <v>7711</v>
      </c>
      <c r="E8517" s="4" t="s">
        <v>223</v>
      </c>
      <c r="J8517" s="3" t="s">
        <v>8737</v>
      </c>
      <c r="K8517" s="3" t="s">
        <v>223</v>
      </c>
    </row>
    <row r="8518" ht="15.6" spans="4:11">
      <c r="D8518" s="4">
        <v>7712</v>
      </c>
      <c r="E8518" s="4" t="s">
        <v>223</v>
      </c>
      <c r="J8518" s="3" t="s">
        <v>8738</v>
      </c>
      <c r="K8518" s="3" t="s">
        <v>223</v>
      </c>
    </row>
    <row r="8519" ht="15.6" spans="4:11">
      <c r="D8519" s="4">
        <v>7713</v>
      </c>
      <c r="E8519" s="4" t="s">
        <v>223</v>
      </c>
      <c r="J8519" s="3" t="s">
        <v>8739</v>
      </c>
      <c r="K8519" s="3" t="s">
        <v>223</v>
      </c>
    </row>
    <row r="8520" ht="15.6" spans="4:11">
      <c r="D8520" s="4">
        <v>7714</v>
      </c>
      <c r="E8520" s="4" t="s">
        <v>223</v>
      </c>
      <c r="J8520" s="3" t="s">
        <v>8740</v>
      </c>
      <c r="K8520" s="3" t="s">
        <v>223</v>
      </c>
    </row>
    <row r="8521" ht="15.6" spans="4:11">
      <c r="D8521" s="4">
        <v>7715</v>
      </c>
      <c r="E8521" s="4" t="s">
        <v>223</v>
      </c>
      <c r="J8521" s="3" t="s">
        <v>8741</v>
      </c>
      <c r="K8521" s="3" t="s">
        <v>223</v>
      </c>
    </row>
    <row r="8522" ht="15.6" spans="4:11">
      <c r="D8522" s="4">
        <v>7716</v>
      </c>
      <c r="E8522" s="4" t="s">
        <v>223</v>
      </c>
      <c r="J8522" s="3" t="s">
        <v>8742</v>
      </c>
      <c r="K8522" s="3" t="s">
        <v>223</v>
      </c>
    </row>
    <row r="8523" ht="15.6" spans="4:11">
      <c r="D8523" s="4">
        <v>7717</v>
      </c>
      <c r="E8523" s="4" t="s">
        <v>223</v>
      </c>
      <c r="J8523" s="3" t="s">
        <v>8743</v>
      </c>
      <c r="K8523" s="3" t="s">
        <v>223</v>
      </c>
    </row>
    <row r="8524" ht="15.6" spans="4:11">
      <c r="D8524" s="4">
        <v>7718</v>
      </c>
      <c r="E8524" s="4" t="s">
        <v>223</v>
      </c>
      <c r="J8524" s="3" t="s">
        <v>8744</v>
      </c>
      <c r="K8524" s="3" t="s">
        <v>223</v>
      </c>
    </row>
    <row r="8525" ht="15.6" spans="4:11">
      <c r="D8525" s="4">
        <v>7719</v>
      </c>
      <c r="E8525" s="4" t="s">
        <v>223</v>
      </c>
      <c r="J8525" s="3" t="s">
        <v>8745</v>
      </c>
      <c r="K8525" s="3" t="s">
        <v>223</v>
      </c>
    </row>
    <row r="8526" ht="15.6" spans="4:11">
      <c r="D8526" s="4">
        <v>7720</v>
      </c>
      <c r="E8526" s="4" t="s">
        <v>223</v>
      </c>
      <c r="J8526" s="3" t="s">
        <v>8746</v>
      </c>
      <c r="K8526" s="3" t="s">
        <v>223</v>
      </c>
    </row>
    <row r="8527" ht="15.6" spans="4:11">
      <c r="D8527" s="4">
        <v>7721</v>
      </c>
      <c r="E8527" s="4" t="s">
        <v>223</v>
      </c>
      <c r="J8527" s="3" t="s">
        <v>8747</v>
      </c>
      <c r="K8527" s="3" t="s">
        <v>223</v>
      </c>
    </row>
    <row r="8528" ht="15.6" spans="4:11">
      <c r="D8528" s="4">
        <v>7722</v>
      </c>
      <c r="E8528" s="4" t="s">
        <v>223</v>
      </c>
      <c r="J8528" s="3" t="s">
        <v>8748</v>
      </c>
      <c r="K8528" s="3" t="s">
        <v>223</v>
      </c>
    </row>
    <row r="8529" ht="15.6" spans="4:11">
      <c r="D8529" s="4">
        <v>7723</v>
      </c>
      <c r="E8529" s="4" t="s">
        <v>223</v>
      </c>
      <c r="J8529" s="3" t="s">
        <v>8749</v>
      </c>
      <c r="K8529" s="3" t="s">
        <v>223</v>
      </c>
    </row>
    <row r="8530" ht="15.6" spans="4:11">
      <c r="D8530" s="4">
        <v>7724</v>
      </c>
      <c r="E8530" s="4" t="s">
        <v>223</v>
      </c>
      <c r="J8530" s="3" t="s">
        <v>8750</v>
      </c>
      <c r="K8530" s="3" t="s">
        <v>223</v>
      </c>
    </row>
    <row r="8531" ht="15.6" spans="4:11">
      <c r="D8531" s="4">
        <v>7725</v>
      </c>
      <c r="E8531" s="4" t="s">
        <v>223</v>
      </c>
      <c r="J8531" s="3" t="s">
        <v>8751</v>
      </c>
      <c r="K8531" s="3" t="s">
        <v>223</v>
      </c>
    </row>
    <row r="8532" ht="15.6" spans="4:11">
      <c r="D8532" s="4">
        <v>7726</v>
      </c>
      <c r="E8532" s="4" t="s">
        <v>223</v>
      </c>
      <c r="J8532" s="3" t="s">
        <v>8752</v>
      </c>
      <c r="K8532" s="3" t="s">
        <v>223</v>
      </c>
    </row>
    <row r="8533" ht="15.6" spans="4:11">
      <c r="D8533" s="4">
        <v>7727</v>
      </c>
      <c r="E8533" s="4" t="s">
        <v>223</v>
      </c>
      <c r="J8533" s="3" t="s">
        <v>8753</v>
      </c>
      <c r="K8533" s="3" t="s">
        <v>223</v>
      </c>
    </row>
    <row r="8534" ht="15.6" spans="4:11">
      <c r="D8534" s="4">
        <v>7728</v>
      </c>
      <c r="E8534" s="4" t="s">
        <v>223</v>
      </c>
      <c r="J8534" s="3" t="s">
        <v>8754</v>
      </c>
      <c r="K8534" s="3" t="s">
        <v>223</v>
      </c>
    </row>
    <row r="8535" ht="15.6" spans="4:11">
      <c r="D8535" s="4">
        <v>7729</v>
      </c>
      <c r="E8535" s="4" t="s">
        <v>223</v>
      </c>
      <c r="J8535" s="3" t="s">
        <v>8755</v>
      </c>
      <c r="K8535" s="3" t="s">
        <v>223</v>
      </c>
    </row>
    <row r="8536" ht="15.6" spans="4:11">
      <c r="D8536" s="4">
        <v>7730</v>
      </c>
      <c r="E8536" s="4" t="s">
        <v>223</v>
      </c>
      <c r="J8536" s="3" t="s">
        <v>8756</v>
      </c>
      <c r="K8536" s="3" t="s">
        <v>223</v>
      </c>
    </row>
    <row r="8537" ht="15.6" spans="4:11">
      <c r="D8537" s="4">
        <v>7731</v>
      </c>
      <c r="E8537" s="4" t="s">
        <v>223</v>
      </c>
      <c r="J8537" s="3" t="s">
        <v>8757</v>
      </c>
      <c r="K8537" s="3" t="s">
        <v>223</v>
      </c>
    </row>
    <row r="8538" ht="15.6" spans="4:11">
      <c r="D8538" s="4">
        <v>7732</v>
      </c>
      <c r="E8538" s="4" t="s">
        <v>223</v>
      </c>
      <c r="J8538" s="3" t="s">
        <v>8758</v>
      </c>
      <c r="K8538" s="3" t="s">
        <v>223</v>
      </c>
    </row>
    <row r="8539" ht="15.6" spans="4:11">
      <c r="D8539" s="4">
        <v>7733</v>
      </c>
      <c r="E8539" s="4" t="s">
        <v>223</v>
      </c>
      <c r="J8539" s="3" t="s">
        <v>8759</v>
      </c>
      <c r="K8539" s="3" t="s">
        <v>223</v>
      </c>
    </row>
    <row r="8540" ht="15.6" spans="4:11">
      <c r="D8540" s="4">
        <v>7734</v>
      </c>
      <c r="E8540" s="4" t="s">
        <v>223</v>
      </c>
      <c r="J8540" s="3" t="s">
        <v>8760</v>
      </c>
      <c r="K8540" s="3" t="s">
        <v>223</v>
      </c>
    </row>
    <row r="8541" ht="15.6" spans="4:11">
      <c r="D8541" s="4">
        <v>7735</v>
      </c>
      <c r="E8541" s="4" t="s">
        <v>223</v>
      </c>
      <c r="J8541" s="3" t="s">
        <v>8761</v>
      </c>
      <c r="K8541" s="3" t="s">
        <v>223</v>
      </c>
    </row>
    <row r="8542" ht="15.6" spans="4:11">
      <c r="D8542" s="4">
        <v>7736</v>
      </c>
      <c r="E8542" s="4" t="s">
        <v>223</v>
      </c>
      <c r="J8542" s="3" t="s">
        <v>8762</v>
      </c>
      <c r="K8542" s="3" t="s">
        <v>223</v>
      </c>
    </row>
    <row r="8543" ht="15.6" spans="4:11">
      <c r="D8543" s="4">
        <v>7737</v>
      </c>
      <c r="E8543" s="4" t="s">
        <v>223</v>
      </c>
      <c r="J8543" s="3" t="s">
        <v>8763</v>
      </c>
      <c r="K8543" s="3" t="s">
        <v>223</v>
      </c>
    </row>
    <row r="8544" ht="15.6" spans="4:11">
      <c r="D8544" s="4">
        <v>7738</v>
      </c>
      <c r="E8544" s="4" t="s">
        <v>223</v>
      </c>
      <c r="J8544" s="3" t="s">
        <v>8764</v>
      </c>
      <c r="K8544" s="3" t="s">
        <v>223</v>
      </c>
    </row>
    <row r="8545" ht="15.6" spans="4:11">
      <c r="D8545" s="4">
        <v>7739</v>
      </c>
      <c r="E8545" s="4" t="s">
        <v>223</v>
      </c>
      <c r="J8545" s="3" t="s">
        <v>8765</v>
      </c>
      <c r="K8545" s="3" t="s">
        <v>223</v>
      </c>
    </row>
    <row r="8546" ht="15.6" spans="4:11">
      <c r="D8546" s="4">
        <v>7740</v>
      </c>
      <c r="E8546" s="4" t="s">
        <v>223</v>
      </c>
      <c r="J8546" s="3" t="s">
        <v>8766</v>
      </c>
      <c r="K8546" s="3" t="s">
        <v>223</v>
      </c>
    </row>
    <row r="8547" ht="15.6" spans="4:11">
      <c r="D8547" s="4">
        <v>7741</v>
      </c>
      <c r="E8547" s="4" t="s">
        <v>223</v>
      </c>
      <c r="J8547" s="3" t="s">
        <v>8767</v>
      </c>
      <c r="K8547" s="3" t="s">
        <v>223</v>
      </c>
    </row>
    <row r="8548" ht="15.6" spans="4:11">
      <c r="D8548" s="4">
        <v>7742</v>
      </c>
      <c r="E8548" s="4" t="s">
        <v>223</v>
      </c>
      <c r="J8548" s="3" t="s">
        <v>8768</v>
      </c>
      <c r="K8548" s="3" t="s">
        <v>223</v>
      </c>
    </row>
    <row r="8549" ht="15.6" spans="4:11">
      <c r="D8549" s="4">
        <v>7743</v>
      </c>
      <c r="E8549" s="4" t="s">
        <v>223</v>
      </c>
      <c r="J8549" s="3" t="s">
        <v>8769</v>
      </c>
      <c r="K8549" s="3" t="s">
        <v>223</v>
      </c>
    </row>
    <row r="8550" ht="15.6" spans="4:11">
      <c r="D8550" s="4">
        <v>7744</v>
      </c>
      <c r="E8550" s="4" t="s">
        <v>223</v>
      </c>
      <c r="J8550" s="3" t="s">
        <v>8770</v>
      </c>
      <c r="K8550" s="3" t="s">
        <v>223</v>
      </c>
    </row>
    <row r="8551" ht="15.6" spans="4:11">
      <c r="D8551" s="4">
        <v>7745</v>
      </c>
      <c r="E8551" s="4" t="s">
        <v>223</v>
      </c>
      <c r="J8551" s="3" t="s">
        <v>8771</v>
      </c>
      <c r="K8551" s="3" t="s">
        <v>223</v>
      </c>
    </row>
    <row r="8552" ht="15.6" spans="4:11">
      <c r="D8552" s="4">
        <v>7746</v>
      </c>
      <c r="E8552" s="4" t="s">
        <v>223</v>
      </c>
      <c r="J8552" s="3" t="s">
        <v>8772</v>
      </c>
      <c r="K8552" s="3" t="s">
        <v>223</v>
      </c>
    </row>
    <row r="8553" ht="15.6" spans="4:11">
      <c r="D8553" s="4">
        <v>7747</v>
      </c>
      <c r="E8553" s="4" t="s">
        <v>223</v>
      </c>
      <c r="J8553" s="3" t="s">
        <v>8773</v>
      </c>
      <c r="K8553" s="3" t="s">
        <v>223</v>
      </c>
    </row>
    <row r="8554" ht="15.6" spans="4:11">
      <c r="D8554" s="4">
        <v>7748</v>
      </c>
      <c r="E8554" s="4" t="s">
        <v>223</v>
      </c>
      <c r="J8554" s="3" t="s">
        <v>8774</v>
      </c>
      <c r="K8554" s="3" t="s">
        <v>223</v>
      </c>
    </row>
    <row r="8555" ht="15.6" spans="4:11">
      <c r="D8555" s="4">
        <v>7749</v>
      </c>
      <c r="E8555" s="4" t="s">
        <v>223</v>
      </c>
      <c r="J8555" s="3" t="s">
        <v>8775</v>
      </c>
      <c r="K8555" s="3" t="s">
        <v>223</v>
      </c>
    </row>
    <row r="8556" ht="15.6" spans="4:11">
      <c r="D8556" s="4">
        <v>7750</v>
      </c>
      <c r="E8556" s="4" t="s">
        <v>223</v>
      </c>
      <c r="J8556" s="3" t="s">
        <v>8776</v>
      </c>
      <c r="K8556" s="3" t="s">
        <v>223</v>
      </c>
    </row>
    <row r="8557" ht="15.6" spans="4:11">
      <c r="D8557" s="4">
        <v>7751</v>
      </c>
      <c r="E8557" s="4" t="s">
        <v>223</v>
      </c>
      <c r="J8557" s="3" t="s">
        <v>8777</v>
      </c>
      <c r="K8557" s="3" t="s">
        <v>223</v>
      </c>
    </row>
    <row r="8558" ht="15.6" spans="4:11">
      <c r="D8558" s="4">
        <v>7752</v>
      </c>
      <c r="E8558" s="4" t="s">
        <v>223</v>
      </c>
      <c r="J8558" s="3" t="s">
        <v>8778</v>
      </c>
      <c r="K8558" s="3" t="s">
        <v>223</v>
      </c>
    </row>
    <row r="8559" ht="15.6" spans="4:11">
      <c r="D8559" s="4">
        <v>7753</v>
      </c>
      <c r="E8559" s="4" t="s">
        <v>223</v>
      </c>
      <c r="J8559" s="3" t="s">
        <v>8779</v>
      </c>
      <c r="K8559" s="3" t="s">
        <v>223</v>
      </c>
    </row>
    <row r="8560" ht="15.6" spans="4:11">
      <c r="D8560" s="4">
        <v>7754</v>
      </c>
      <c r="E8560" s="4" t="s">
        <v>223</v>
      </c>
      <c r="J8560" s="3" t="s">
        <v>8780</v>
      </c>
      <c r="K8560" s="3" t="s">
        <v>223</v>
      </c>
    </row>
    <row r="8561" ht="15.6" spans="4:11">
      <c r="D8561" s="4">
        <v>7755</v>
      </c>
      <c r="E8561" s="4" t="s">
        <v>223</v>
      </c>
      <c r="J8561" s="3" t="s">
        <v>8781</v>
      </c>
      <c r="K8561" s="3" t="s">
        <v>223</v>
      </c>
    </row>
    <row r="8562" ht="15.6" spans="4:11">
      <c r="D8562" s="4">
        <v>7756</v>
      </c>
      <c r="E8562" s="4" t="s">
        <v>223</v>
      </c>
      <c r="J8562" s="3" t="s">
        <v>8782</v>
      </c>
      <c r="K8562" s="3" t="s">
        <v>223</v>
      </c>
    </row>
    <row r="8563" ht="15.6" spans="4:11">
      <c r="D8563" s="4">
        <v>7757</v>
      </c>
      <c r="E8563" s="4" t="s">
        <v>223</v>
      </c>
      <c r="J8563" s="3" t="s">
        <v>8783</v>
      </c>
      <c r="K8563" s="3" t="s">
        <v>223</v>
      </c>
    </row>
    <row r="8564" ht="15.6" spans="4:11">
      <c r="D8564" s="4">
        <v>7758</v>
      </c>
      <c r="E8564" s="4" t="s">
        <v>223</v>
      </c>
      <c r="J8564" s="3" t="s">
        <v>8784</v>
      </c>
      <c r="K8564" s="3" t="s">
        <v>223</v>
      </c>
    </row>
    <row r="8565" ht="15.6" spans="4:11">
      <c r="D8565" s="4">
        <v>7759</v>
      </c>
      <c r="E8565" s="4" t="s">
        <v>223</v>
      </c>
      <c r="J8565" s="3" t="s">
        <v>8785</v>
      </c>
      <c r="K8565" s="3" t="s">
        <v>223</v>
      </c>
    </row>
    <row r="8566" ht="15.6" spans="4:11">
      <c r="D8566" s="4">
        <v>7760</v>
      </c>
      <c r="E8566" s="4" t="s">
        <v>223</v>
      </c>
      <c r="J8566" s="3" t="s">
        <v>8786</v>
      </c>
      <c r="K8566" s="3" t="s">
        <v>223</v>
      </c>
    </row>
    <row r="8567" ht="15.6" spans="4:11">
      <c r="D8567" s="4">
        <v>7761</v>
      </c>
      <c r="E8567" s="4" t="s">
        <v>223</v>
      </c>
      <c r="J8567" s="3" t="s">
        <v>8787</v>
      </c>
      <c r="K8567" s="3" t="s">
        <v>223</v>
      </c>
    </row>
    <row r="8568" ht="15.6" spans="4:11">
      <c r="D8568" s="4">
        <v>7762</v>
      </c>
      <c r="E8568" s="4" t="s">
        <v>223</v>
      </c>
      <c r="J8568" s="3" t="s">
        <v>8788</v>
      </c>
      <c r="K8568" s="3" t="s">
        <v>223</v>
      </c>
    </row>
    <row r="8569" ht="15.6" spans="4:11">
      <c r="D8569" s="4">
        <v>7763</v>
      </c>
      <c r="E8569" s="4" t="s">
        <v>223</v>
      </c>
      <c r="J8569" s="3" t="s">
        <v>8789</v>
      </c>
      <c r="K8569" s="3" t="s">
        <v>223</v>
      </c>
    </row>
    <row r="8570" ht="15.6" spans="4:11">
      <c r="D8570" s="4">
        <v>7764</v>
      </c>
      <c r="E8570" s="4" t="s">
        <v>223</v>
      </c>
      <c r="J8570" s="3" t="s">
        <v>8790</v>
      </c>
      <c r="K8570" s="3" t="s">
        <v>223</v>
      </c>
    </row>
    <row r="8571" ht="15.6" spans="4:11">
      <c r="D8571" s="4">
        <v>7765</v>
      </c>
      <c r="E8571" s="4" t="s">
        <v>223</v>
      </c>
      <c r="J8571" s="3" t="s">
        <v>8791</v>
      </c>
      <c r="K8571" s="3" t="s">
        <v>223</v>
      </c>
    </row>
    <row r="8572" ht="15.6" spans="4:11">
      <c r="D8572" s="4">
        <v>7766</v>
      </c>
      <c r="E8572" s="4" t="s">
        <v>223</v>
      </c>
      <c r="J8572" s="3" t="s">
        <v>8792</v>
      </c>
      <c r="K8572" s="3" t="s">
        <v>223</v>
      </c>
    </row>
    <row r="8573" ht="15.6" spans="4:11">
      <c r="D8573" s="4">
        <v>7767</v>
      </c>
      <c r="E8573" s="4" t="s">
        <v>223</v>
      </c>
      <c r="J8573" s="3" t="s">
        <v>8793</v>
      </c>
      <c r="K8573" s="3" t="s">
        <v>223</v>
      </c>
    </row>
    <row r="8574" ht="15.6" spans="4:11">
      <c r="D8574" s="4">
        <v>7768</v>
      </c>
      <c r="E8574" s="4" t="s">
        <v>223</v>
      </c>
      <c r="J8574" s="3" t="s">
        <v>8794</v>
      </c>
      <c r="K8574" s="3" t="s">
        <v>223</v>
      </c>
    </row>
    <row r="8575" ht="15.6" spans="4:11">
      <c r="D8575" s="4">
        <v>7769</v>
      </c>
      <c r="E8575" s="4" t="s">
        <v>223</v>
      </c>
      <c r="J8575" s="3" t="s">
        <v>8795</v>
      </c>
      <c r="K8575" s="3" t="s">
        <v>223</v>
      </c>
    </row>
    <row r="8576" ht="15.6" spans="4:11">
      <c r="D8576" s="4">
        <v>7770</v>
      </c>
      <c r="E8576" s="4" t="s">
        <v>223</v>
      </c>
      <c r="J8576" s="3" t="s">
        <v>8796</v>
      </c>
      <c r="K8576" s="3" t="s">
        <v>223</v>
      </c>
    </row>
    <row r="8577" ht="15.6" spans="4:11">
      <c r="D8577" s="4">
        <v>7771</v>
      </c>
      <c r="E8577" s="4" t="s">
        <v>223</v>
      </c>
      <c r="J8577" s="3" t="s">
        <v>8797</v>
      </c>
      <c r="K8577" s="3" t="s">
        <v>223</v>
      </c>
    </row>
    <row r="8578" ht="15.6" spans="4:11">
      <c r="D8578" s="4">
        <v>7772</v>
      </c>
      <c r="E8578" s="4" t="s">
        <v>223</v>
      </c>
      <c r="J8578" s="3" t="s">
        <v>8798</v>
      </c>
      <c r="K8578" s="3" t="s">
        <v>223</v>
      </c>
    </row>
    <row r="8579" ht="15.6" spans="4:11">
      <c r="D8579" s="4">
        <v>7773</v>
      </c>
      <c r="E8579" s="4" t="s">
        <v>223</v>
      </c>
      <c r="J8579" s="3" t="s">
        <v>8799</v>
      </c>
      <c r="K8579" s="3" t="s">
        <v>223</v>
      </c>
    </row>
    <row r="8580" ht="15.6" spans="4:11">
      <c r="D8580" s="4">
        <v>7774</v>
      </c>
      <c r="E8580" s="4" t="s">
        <v>223</v>
      </c>
      <c r="J8580" s="3" t="s">
        <v>8800</v>
      </c>
      <c r="K8580" s="3" t="s">
        <v>223</v>
      </c>
    </row>
    <row r="8581" ht="15.6" spans="4:11">
      <c r="D8581" s="4">
        <v>7775</v>
      </c>
      <c r="E8581" s="4" t="s">
        <v>223</v>
      </c>
      <c r="J8581" s="3" t="s">
        <v>8801</v>
      </c>
      <c r="K8581" s="3" t="s">
        <v>223</v>
      </c>
    </row>
    <row r="8582" ht="15.6" spans="4:11">
      <c r="D8582" s="4">
        <v>7776</v>
      </c>
      <c r="E8582" s="4" t="s">
        <v>223</v>
      </c>
      <c r="J8582" s="3" t="s">
        <v>8802</v>
      </c>
      <c r="K8582" s="3" t="s">
        <v>223</v>
      </c>
    </row>
    <row r="8583" ht="15.6" spans="4:11">
      <c r="D8583" s="4">
        <v>7777</v>
      </c>
      <c r="E8583" s="4" t="s">
        <v>223</v>
      </c>
      <c r="J8583" s="3" t="s">
        <v>8803</v>
      </c>
      <c r="K8583" s="3" t="s">
        <v>223</v>
      </c>
    </row>
    <row r="8584" ht="15.6" spans="4:11">
      <c r="D8584" s="4">
        <v>7778</v>
      </c>
      <c r="E8584" s="4" t="s">
        <v>223</v>
      </c>
      <c r="J8584" s="3" t="s">
        <v>8804</v>
      </c>
      <c r="K8584" s="3" t="s">
        <v>223</v>
      </c>
    </row>
    <row r="8585" ht="15.6" spans="4:11">
      <c r="D8585" s="4">
        <v>7779</v>
      </c>
      <c r="E8585" s="4" t="s">
        <v>223</v>
      </c>
      <c r="J8585" s="3" t="s">
        <v>8805</v>
      </c>
      <c r="K8585" s="3" t="s">
        <v>223</v>
      </c>
    </row>
    <row r="8586" ht="15.6" spans="4:11">
      <c r="D8586" s="4">
        <v>7780</v>
      </c>
      <c r="E8586" s="4" t="s">
        <v>223</v>
      </c>
      <c r="J8586" s="3" t="s">
        <v>8806</v>
      </c>
      <c r="K8586" s="3" t="s">
        <v>223</v>
      </c>
    </row>
    <row r="8587" ht="15.6" spans="4:11">
      <c r="D8587" s="4">
        <v>7781</v>
      </c>
      <c r="E8587" s="4" t="s">
        <v>223</v>
      </c>
      <c r="J8587" s="3" t="s">
        <v>8807</v>
      </c>
      <c r="K8587" s="3" t="s">
        <v>223</v>
      </c>
    </row>
    <row r="8588" ht="15.6" spans="4:11">
      <c r="D8588" s="4">
        <v>7782</v>
      </c>
      <c r="E8588" s="4" t="s">
        <v>223</v>
      </c>
      <c r="J8588" s="3" t="s">
        <v>8808</v>
      </c>
      <c r="K8588" s="3" t="s">
        <v>223</v>
      </c>
    </row>
    <row r="8589" ht="15.6" spans="4:11">
      <c r="D8589" s="4">
        <v>7783</v>
      </c>
      <c r="E8589" s="4" t="s">
        <v>223</v>
      </c>
      <c r="J8589" s="3" t="s">
        <v>8809</v>
      </c>
      <c r="K8589" s="3" t="s">
        <v>223</v>
      </c>
    </row>
    <row r="8590" ht="15.6" spans="4:11">
      <c r="D8590" s="4">
        <v>7784</v>
      </c>
      <c r="E8590" s="4" t="s">
        <v>223</v>
      </c>
      <c r="J8590" s="3" t="s">
        <v>8810</v>
      </c>
      <c r="K8590" s="3" t="s">
        <v>223</v>
      </c>
    </row>
    <row r="8591" ht="15.6" spans="4:11">
      <c r="D8591" s="4">
        <v>7785</v>
      </c>
      <c r="E8591" s="4" t="s">
        <v>223</v>
      </c>
      <c r="J8591" s="3" t="s">
        <v>8811</v>
      </c>
      <c r="K8591" s="3" t="s">
        <v>223</v>
      </c>
    </row>
    <row r="8592" ht="15.6" spans="4:11">
      <c r="D8592" s="4">
        <v>7786</v>
      </c>
      <c r="E8592" s="4" t="s">
        <v>223</v>
      </c>
      <c r="J8592" s="3" t="s">
        <v>8812</v>
      </c>
      <c r="K8592" s="3" t="s">
        <v>223</v>
      </c>
    </row>
    <row r="8593" ht="15.6" spans="4:11">
      <c r="D8593" s="4">
        <v>7787</v>
      </c>
      <c r="E8593" s="4" t="s">
        <v>223</v>
      </c>
      <c r="J8593" s="3" t="s">
        <v>8813</v>
      </c>
      <c r="K8593" s="3" t="s">
        <v>223</v>
      </c>
    </row>
    <row r="8594" ht="15.6" spans="4:11">
      <c r="D8594" s="4">
        <v>7788</v>
      </c>
      <c r="E8594" s="4" t="s">
        <v>223</v>
      </c>
      <c r="J8594" s="3" t="s">
        <v>8814</v>
      </c>
      <c r="K8594" s="3" t="s">
        <v>223</v>
      </c>
    </row>
    <row r="8595" ht="15.6" spans="4:11">
      <c r="D8595" s="4">
        <v>7789</v>
      </c>
      <c r="E8595" s="4" t="s">
        <v>223</v>
      </c>
      <c r="J8595" s="3" t="s">
        <v>8815</v>
      </c>
      <c r="K8595" s="3" t="s">
        <v>223</v>
      </c>
    </row>
    <row r="8596" ht="15.6" spans="4:11">
      <c r="D8596" s="4">
        <v>7790</v>
      </c>
      <c r="E8596" s="4" t="s">
        <v>223</v>
      </c>
      <c r="J8596" s="3" t="s">
        <v>8816</v>
      </c>
      <c r="K8596" s="3" t="s">
        <v>223</v>
      </c>
    </row>
    <row r="8597" ht="15.6" spans="4:11">
      <c r="D8597" s="4">
        <v>7791</v>
      </c>
      <c r="E8597" s="4" t="s">
        <v>223</v>
      </c>
      <c r="J8597" s="3" t="s">
        <v>8817</v>
      </c>
      <c r="K8597" s="3" t="s">
        <v>223</v>
      </c>
    </row>
    <row r="8598" ht="15.6" spans="4:11">
      <c r="D8598" s="4">
        <v>7792</v>
      </c>
      <c r="E8598" s="4" t="s">
        <v>223</v>
      </c>
      <c r="J8598" s="3" t="s">
        <v>8818</v>
      </c>
      <c r="K8598" s="3" t="s">
        <v>223</v>
      </c>
    </row>
    <row r="8599" ht="15.6" spans="4:11">
      <c r="D8599" s="4">
        <v>7793</v>
      </c>
      <c r="E8599" s="4" t="s">
        <v>223</v>
      </c>
      <c r="J8599" s="3" t="s">
        <v>8819</v>
      </c>
      <c r="K8599" s="3" t="s">
        <v>223</v>
      </c>
    </row>
    <row r="8600" ht="15.6" spans="4:11">
      <c r="D8600" s="4">
        <v>7794</v>
      </c>
      <c r="E8600" s="4" t="s">
        <v>223</v>
      </c>
      <c r="J8600" s="3" t="s">
        <v>8820</v>
      </c>
      <c r="K8600" s="3" t="s">
        <v>223</v>
      </c>
    </row>
    <row r="8601" ht="15.6" spans="4:11">
      <c r="D8601" s="4">
        <v>7795</v>
      </c>
      <c r="E8601" s="4" t="s">
        <v>223</v>
      </c>
      <c r="J8601" s="3" t="s">
        <v>8821</v>
      </c>
      <c r="K8601" s="3" t="s">
        <v>223</v>
      </c>
    </row>
    <row r="8602" ht="15.6" spans="4:11">
      <c r="D8602" s="4">
        <v>7796</v>
      </c>
      <c r="E8602" s="4" t="s">
        <v>223</v>
      </c>
      <c r="J8602" s="3" t="s">
        <v>8822</v>
      </c>
      <c r="K8602" s="3" t="s">
        <v>223</v>
      </c>
    </row>
    <row r="8603" ht="15.6" spans="4:11">
      <c r="D8603" s="4">
        <v>7797</v>
      </c>
      <c r="E8603" s="4" t="s">
        <v>223</v>
      </c>
      <c r="J8603" s="3" t="s">
        <v>8823</v>
      </c>
      <c r="K8603" s="3" t="s">
        <v>223</v>
      </c>
    </row>
    <row r="8604" ht="15.6" spans="4:11">
      <c r="D8604" s="4">
        <v>7798</v>
      </c>
      <c r="E8604" s="4" t="s">
        <v>223</v>
      </c>
      <c r="J8604" s="3" t="s">
        <v>8824</v>
      </c>
      <c r="K8604" s="3" t="s">
        <v>223</v>
      </c>
    </row>
    <row r="8605" ht="15.6" spans="4:11">
      <c r="D8605" s="4">
        <v>7799</v>
      </c>
      <c r="E8605" s="4" t="s">
        <v>223</v>
      </c>
      <c r="J8605" s="3" t="s">
        <v>8825</v>
      </c>
      <c r="K8605" s="3" t="s">
        <v>223</v>
      </c>
    </row>
    <row r="8606" ht="15.6" spans="4:11">
      <c r="D8606" s="4">
        <v>7800</v>
      </c>
      <c r="E8606" s="4" t="s">
        <v>223</v>
      </c>
      <c r="J8606" s="3" t="s">
        <v>8826</v>
      </c>
      <c r="K8606" s="3" t="s">
        <v>223</v>
      </c>
    </row>
    <row r="8607" ht="15.6" spans="4:11">
      <c r="D8607" s="4">
        <v>7801</v>
      </c>
      <c r="E8607" s="4" t="s">
        <v>223</v>
      </c>
      <c r="J8607" s="3" t="s">
        <v>8827</v>
      </c>
      <c r="K8607" s="3" t="s">
        <v>223</v>
      </c>
    </row>
    <row r="8608" ht="15.6" spans="4:11">
      <c r="D8608" s="4">
        <v>7802</v>
      </c>
      <c r="E8608" s="4" t="s">
        <v>223</v>
      </c>
      <c r="J8608" s="3" t="s">
        <v>8828</v>
      </c>
      <c r="K8608" s="3" t="s">
        <v>223</v>
      </c>
    </row>
    <row r="8609" ht="15.6" spans="4:11">
      <c r="D8609" s="4">
        <v>7803</v>
      </c>
      <c r="E8609" s="4" t="s">
        <v>223</v>
      </c>
      <c r="J8609" s="3" t="s">
        <v>8829</v>
      </c>
      <c r="K8609" s="3" t="s">
        <v>223</v>
      </c>
    </row>
    <row r="8610" ht="15.6" spans="4:11">
      <c r="D8610" s="4">
        <v>7804</v>
      </c>
      <c r="E8610" s="4" t="s">
        <v>223</v>
      </c>
      <c r="J8610" s="3" t="s">
        <v>8830</v>
      </c>
      <c r="K8610" s="3" t="s">
        <v>223</v>
      </c>
    </row>
    <row r="8611" ht="15.6" spans="4:11">
      <c r="D8611" s="4">
        <v>7805</v>
      </c>
      <c r="E8611" s="4" t="s">
        <v>223</v>
      </c>
      <c r="J8611" s="3" t="s">
        <v>8831</v>
      </c>
      <c r="K8611" s="3" t="s">
        <v>223</v>
      </c>
    </row>
    <row r="8612" ht="15.6" spans="4:11">
      <c r="D8612" s="4">
        <v>7806</v>
      </c>
      <c r="E8612" s="4" t="s">
        <v>223</v>
      </c>
      <c r="J8612" s="3" t="s">
        <v>8832</v>
      </c>
      <c r="K8612" s="3" t="s">
        <v>223</v>
      </c>
    </row>
    <row r="8613" ht="15.6" spans="4:11">
      <c r="D8613" s="4">
        <v>7807</v>
      </c>
      <c r="E8613" s="4" t="s">
        <v>223</v>
      </c>
      <c r="J8613" s="3" t="s">
        <v>8833</v>
      </c>
      <c r="K8613" s="3" t="s">
        <v>223</v>
      </c>
    </row>
    <row r="8614" ht="15.6" spans="4:11">
      <c r="D8614" s="4">
        <v>7808</v>
      </c>
      <c r="E8614" s="4" t="s">
        <v>223</v>
      </c>
      <c r="J8614" s="3" t="s">
        <v>8834</v>
      </c>
      <c r="K8614" s="3" t="s">
        <v>223</v>
      </c>
    </row>
    <row r="8615" ht="15.6" spans="4:11">
      <c r="D8615" s="4">
        <v>7809</v>
      </c>
      <c r="E8615" s="4" t="s">
        <v>223</v>
      </c>
      <c r="J8615" s="3" t="s">
        <v>8835</v>
      </c>
      <c r="K8615" s="3" t="s">
        <v>223</v>
      </c>
    </row>
    <row r="8616" ht="15.6" spans="4:11">
      <c r="D8616" s="4">
        <v>7810</v>
      </c>
      <c r="E8616" s="4" t="s">
        <v>223</v>
      </c>
      <c r="J8616" s="3" t="s">
        <v>8836</v>
      </c>
      <c r="K8616" s="3" t="s">
        <v>223</v>
      </c>
    </row>
    <row r="8617" ht="15.6" spans="4:11">
      <c r="D8617" s="4">
        <v>7811</v>
      </c>
      <c r="E8617" s="4" t="s">
        <v>223</v>
      </c>
      <c r="J8617" s="3" t="s">
        <v>8837</v>
      </c>
      <c r="K8617" s="3" t="s">
        <v>223</v>
      </c>
    </row>
    <row r="8618" ht="15.6" spans="4:11">
      <c r="D8618" s="4">
        <v>7812</v>
      </c>
      <c r="E8618" s="4" t="s">
        <v>223</v>
      </c>
      <c r="J8618" s="3" t="s">
        <v>8838</v>
      </c>
      <c r="K8618" s="3" t="s">
        <v>223</v>
      </c>
    </row>
    <row r="8619" ht="15.6" spans="4:11">
      <c r="D8619" s="4">
        <v>7813</v>
      </c>
      <c r="E8619" s="4" t="s">
        <v>223</v>
      </c>
      <c r="J8619" s="3" t="s">
        <v>8839</v>
      </c>
      <c r="K8619" s="3" t="s">
        <v>223</v>
      </c>
    </row>
    <row r="8620" ht="15.6" spans="4:11">
      <c r="D8620" s="4">
        <v>7814</v>
      </c>
      <c r="E8620" s="4" t="s">
        <v>223</v>
      </c>
      <c r="J8620" s="3" t="s">
        <v>8840</v>
      </c>
      <c r="K8620" s="3" t="s">
        <v>223</v>
      </c>
    </row>
    <row r="8621" ht="15.6" spans="4:11">
      <c r="D8621" s="4">
        <v>7815</v>
      </c>
      <c r="E8621" s="4" t="s">
        <v>223</v>
      </c>
      <c r="J8621" s="3" t="s">
        <v>8841</v>
      </c>
      <c r="K8621" s="3" t="s">
        <v>223</v>
      </c>
    </row>
    <row r="8622" ht="15.6" spans="4:11">
      <c r="D8622" s="4">
        <v>7816</v>
      </c>
      <c r="E8622" s="4" t="s">
        <v>223</v>
      </c>
      <c r="J8622" s="3" t="s">
        <v>8842</v>
      </c>
      <c r="K8622" s="3" t="s">
        <v>223</v>
      </c>
    </row>
    <row r="8623" ht="15.6" spans="4:11">
      <c r="D8623" s="4">
        <v>7817</v>
      </c>
      <c r="E8623" s="4" t="s">
        <v>223</v>
      </c>
      <c r="J8623" s="3" t="s">
        <v>8843</v>
      </c>
      <c r="K8623" s="3" t="s">
        <v>223</v>
      </c>
    </row>
    <row r="8624" ht="15.6" spans="4:11">
      <c r="D8624" s="4">
        <v>7818</v>
      </c>
      <c r="E8624" s="4" t="s">
        <v>223</v>
      </c>
      <c r="J8624" s="3" t="s">
        <v>8844</v>
      </c>
      <c r="K8624" s="3" t="s">
        <v>223</v>
      </c>
    </row>
    <row r="8625" ht="15.6" spans="4:11">
      <c r="D8625" s="4">
        <v>7819</v>
      </c>
      <c r="E8625" s="4" t="s">
        <v>223</v>
      </c>
      <c r="J8625" s="3" t="s">
        <v>8845</v>
      </c>
      <c r="K8625" s="3" t="s">
        <v>223</v>
      </c>
    </row>
    <row r="8626" ht="15.6" spans="4:11">
      <c r="D8626" s="4">
        <v>7820</v>
      </c>
      <c r="E8626" s="4" t="s">
        <v>223</v>
      </c>
      <c r="J8626" s="3" t="s">
        <v>8846</v>
      </c>
      <c r="K8626" s="3" t="s">
        <v>223</v>
      </c>
    </row>
    <row r="8627" ht="15.6" spans="4:11">
      <c r="D8627" s="4">
        <v>7821</v>
      </c>
      <c r="E8627" s="4" t="s">
        <v>223</v>
      </c>
      <c r="J8627" s="3" t="s">
        <v>8847</v>
      </c>
      <c r="K8627" s="3" t="s">
        <v>223</v>
      </c>
    </row>
    <row r="8628" ht="15.6" spans="4:11">
      <c r="D8628" s="4">
        <v>7822</v>
      </c>
      <c r="E8628" s="4" t="s">
        <v>223</v>
      </c>
      <c r="J8628" s="3" t="s">
        <v>8848</v>
      </c>
      <c r="K8628" s="3" t="s">
        <v>223</v>
      </c>
    </row>
    <row r="8629" ht="15.6" spans="4:11">
      <c r="D8629" s="4">
        <v>7823</v>
      </c>
      <c r="E8629" s="4" t="s">
        <v>223</v>
      </c>
      <c r="J8629" s="3" t="s">
        <v>8849</v>
      </c>
      <c r="K8629" s="3" t="s">
        <v>223</v>
      </c>
    </row>
    <row r="8630" ht="15.6" spans="4:11">
      <c r="D8630" s="4">
        <v>7824</v>
      </c>
      <c r="E8630" s="4" t="s">
        <v>223</v>
      </c>
      <c r="J8630" s="3" t="s">
        <v>8850</v>
      </c>
      <c r="K8630" s="3" t="s">
        <v>223</v>
      </c>
    </row>
    <row r="8631" ht="15.6" spans="4:11">
      <c r="D8631" s="4">
        <v>7825</v>
      </c>
      <c r="E8631" s="4" t="s">
        <v>223</v>
      </c>
      <c r="J8631" s="3" t="s">
        <v>8851</v>
      </c>
      <c r="K8631" s="3" t="s">
        <v>223</v>
      </c>
    </row>
    <row r="8632" ht="15.6" spans="4:11">
      <c r="D8632" s="4">
        <v>7826</v>
      </c>
      <c r="E8632" s="4" t="s">
        <v>223</v>
      </c>
      <c r="J8632" s="3" t="s">
        <v>8852</v>
      </c>
      <c r="K8632" s="3" t="s">
        <v>223</v>
      </c>
    </row>
    <row r="8633" ht="15.6" spans="4:11">
      <c r="D8633" s="4">
        <v>7827</v>
      </c>
      <c r="E8633" s="4" t="s">
        <v>223</v>
      </c>
      <c r="J8633" s="3" t="s">
        <v>8853</v>
      </c>
      <c r="K8633" s="3" t="s">
        <v>223</v>
      </c>
    </row>
    <row r="8634" ht="15.6" spans="4:11">
      <c r="D8634" s="4">
        <v>7828</v>
      </c>
      <c r="E8634" s="4" t="s">
        <v>223</v>
      </c>
      <c r="J8634" s="3" t="s">
        <v>8854</v>
      </c>
      <c r="K8634" s="3" t="s">
        <v>223</v>
      </c>
    </row>
    <row r="8635" ht="15.6" spans="4:11">
      <c r="D8635" s="4">
        <v>7829</v>
      </c>
      <c r="E8635" s="4" t="s">
        <v>223</v>
      </c>
      <c r="J8635" s="3" t="s">
        <v>8855</v>
      </c>
      <c r="K8635" s="3" t="s">
        <v>223</v>
      </c>
    </row>
    <row r="8636" ht="15.6" spans="4:11">
      <c r="D8636" s="4">
        <v>7830</v>
      </c>
      <c r="E8636" s="4" t="s">
        <v>223</v>
      </c>
      <c r="J8636" s="3" t="s">
        <v>8856</v>
      </c>
      <c r="K8636" s="3" t="s">
        <v>223</v>
      </c>
    </row>
    <row r="8637" ht="15.6" spans="4:11">
      <c r="D8637" s="4">
        <v>7831</v>
      </c>
      <c r="E8637" s="4" t="s">
        <v>223</v>
      </c>
      <c r="J8637" s="3" t="s">
        <v>8857</v>
      </c>
      <c r="K8637" s="3" t="s">
        <v>223</v>
      </c>
    </row>
    <row r="8638" ht="15.6" spans="4:11">
      <c r="D8638" s="4">
        <v>7832</v>
      </c>
      <c r="E8638" s="4" t="s">
        <v>223</v>
      </c>
      <c r="J8638" s="3" t="s">
        <v>8858</v>
      </c>
      <c r="K8638" s="3" t="s">
        <v>223</v>
      </c>
    </row>
    <row r="8639" ht="15.6" spans="4:11">
      <c r="D8639" s="4">
        <v>7833</v>
      </c>
      <c r="E8639" s="4" t="s">
        <v>223</v>
      </c>
      <c r="J8639" s="3" t="s">
        <v>8859</v>
      </c>
      <c r="K8639" s="3" t="s">
        <v>223</v>
      </c>
    </row>
    <row r="8640" ht="15.6" spans="4:11">
      <c r="D8640" s="4">
        <v>7834</v>
      </c>
      <c r="E8640" s="4" t="s">
        <v>223</v>
      </c>
      <c r="J8640" s="3" t="s">
        <v>8860</v>
      </c>
      <c r="K8640" s="3" t="s">
        <v>223</v>
      </c>
    </row>
    <row r="8641" ht="15.6" spans="4:11">
      <c r="D8641" s="4">
        <v>7835</v>
      </c>
      <c r="E8641" s="4" t="s">
        <v>223</v>
      </c>
      <c r="J8641" s="3" t="s">
        <v>8861</v>
      </c>
      <c r="K8641" s="3" t="s">
        <v>223</v>
      </c>
    </row>
    <row r="8642" ht="15.6" spans="4:11">
      <c r="D8642" s="4">
        <v>7836</v>
      </c>
      <c r="E8642" s="4" t="s">
        <v>223</v>
      </c>
      <c r="J8642" s="3" t="s">
        <v>8862</v>
      </c>
      <c r="K8642" s="3" t="s">
        <v>223</v>
      </c>
    </row>
    <row r="8643" ht="15.6" spans="4:11">
      <c r="D8643" s="4">
        <v>7837</v>
      </c>
      <c r="E8643" s="4" t="s">
        <v>223</v>
      </c>
      <c r="J8643" s="3" t="s">
        <v>8863</v>
      </c>
      <c r="K8643" s="3" t="s">
        <v>223</v>
      </c>
    </row>
    <row r="8644" ht="15.6" spans="4:11">
      <c r="D8644" s="4">
        <v>7838</v>
      </c>
      <c r="E8644" s="4" t="s">
        <v>223</v>
      </c>
      <c r="J8644" s="3" t="s">
        <v>8864</v>
      </c>
      <c r="K8644" s="3" t="s">
        <v>223</v>
      </c>
    </row>
    <row r="8645" ht="15.6" spans="4:11">
      <c r="D8645" s="4">
        <v>7839</v>
      </c>
      <c r="E8645" s="4" t="s">
        <v>223</v>
      </c>
      <c r="J8645" s="3" t="s">
        <v>8865</v>
      </c>
      <c r="K8645" s="3" t="s">
        <v>223</v>
      </c>
    </row>
    <row r="8646" ht="15.6" spans="4:11">
      <c r="D8646" s="4">
        <v>7840</v>
      </c>
      <c r="E8646" s="4" t="s">
        <v>223</v>
      </c>
      <c r="J8646" s="3" t="s">
        <v>8866</v>
      </c>
      <c r="K8646" s="3" t="s">
        <v>223</v>
      </c>
    </row>
    <row r="8647" ht="15.6" spans="4:11">
      <c r="D8647" s="4">
        <v>7841</v>
      </c>
      <c r="E8647" s="4" t="s">
        <v>223</v>
      </c>
      <c r="J8647" s="3" t="s">
        <v>8867</v>
      </c>
      <c r="K8647" s="3" t="s">
        <v>223</v>
      </c>
    </row>
    <row r="8648" ht="15.6" spans="4:11">
      <c r="D8648" s="4">
        <v>7842</v>
      </c>
      <c r="E8648" s="4" t="s">
        <v>223</v>
      </c>
      <c r="J8648" s="3" t="s">
        <v>8868</v>
      </c>
      <c r="K8648" s="3" t="s">
        <v>223</v>
      </c>
    </row>
    <row r="8649" ht="15.6" spans="4:11">
      <c r="D8649" s="4">
        <v>7843</v>
      </c>
      <c r="E8649" s="4" t="s">
        <v>223</v>
      </c>
      <c r="J8649" s="3" t="s">
        <v>8869</v>
      </c>
      <c r="K8649" s="3" t="s">
        <v>223</v>
      </c>
    </row>
    <row r="8650" ht="15.6" spans="4:11">
      <c r="D8650" s="4">
        <v>7844</v>
      </c>
      <c r="E8650" s="4" t="s">
        <v>223</v>
      </c>
      <c r="J8650" s="3" t="s">
        <v>8870</v>
      </c>
      <c r="K8650" s="3" t="s">
        <v>223</v>
      </c>
    </row>
    <row r="8651" ht="15.6" spans="4:11">
      <c r="D8651" s="4">
        <v>7845</v>
      </c>
      <c r="E8651" s="4" t="s">
        <v>223</v>
      </c>
      <c r="J8651" s="3" t="s">
        <v>8871</v>
      </c>
      <c r="K8651" s="3" t="s">
        <v>223</v>
      </c>
    </row>
    <row r="8652" ht="15.6" spans="4:11">
      <c r="D8652" s="4">
        <v>7846</v>
      </c>
      <c r="E8652" s="4" t="s">
        <v>223</v>
      </c>
      <c r="J8652" s="3" t="s">
        <v>8872</v>
      </c>
      <c r="K8652" s="3" t="s">
        <v>223</v>
      </c>
    </row>
    <row r="8653" ht="15.6" spans="4:11">
      <c r="D8653" s="4">
        <v>7847</v>
      </c>
      <c r="E8653" s="4" t="s">
        <v>223</v>
      </c>
      <c r="J8653" s="3" t="s">
        <v>8873</v>
      </c>
      <c r="K8653" s="3" t="s">
        <v>223</v>
      </c>
    </row>
    <row r="8654" ht="15.6" spans="4:11">
      <c r="D8654" s="4">
        <v>7848</v>
      </c>
      <c r="E8654" s="4" t="s">
        <v>223</v>
      </c>
      <c r="J8654" s="3" t="s">
        <v>8874</v>
      </c>
      <c r="K8654" s="3" t="s">
        <v>223</v>
      </c>
    </row>
    <row r="8655" ht="15.6" spans="4:11">
      <c r="D8655" s="4">
        <v>7849</v>
      </c>
      <c r="E8655" s="4" t="s">
        <v>223</v>
      </c>
      <c r="J8655" s="3" t="s">
        <v>8875</v>
      </c>
      <c r="K8655" s="3" t="s">
        <v>223</v>
      </c>
    </row>
    <row r="8656" ht="15.6" spans="4:11">
      <c r="D8656" s="4">
        <v>7850</v>
      </c>
      <c r="E8656" s="4" t="s">
        <v>223</v>
      </c>
      <c r="J8656" s="3" t="s">
        <v>8876</v>
      </c>
      <c r="K8656" s="3" t="s">
        <v>223</v>
      </c>
    </row>
    <row r="8657" ht="15.6" spans="4:11">
      <c r="D8657" s="4">
        <v>7851</v>
      </c>
      <c r="E8657" s="4" t="s">
        <v>223</v>
      </c>
      <c r="J8657" s="3" t="s">
        <v>8877</v>
      </c>
      <c r="K8657" s="3" t="s">
        <v>223</v>
      </c>
    </row>
    <row r="8658" ht="15.6" spans="4:11">
      <c r="D8658" s="4">
        <v>7852</v>
      </c>
      <c r="E8658" s="4" t="s">
        <v>223</v>
      </c>
      <c r="J8658" s="3" t="s">
        <v>8878</v>
      </c>
      <c r="K8658" s="3" t="s">
        <v>223</v>
      </c>
    </row>
    <row r="8659" ht="15.6" spans="4:11">
      <c r="D8659" s="4">
        <v>7853</v>
      </c>
      <c r="E8659" s="4" t="s">
        <v>223</v>
      </c>
      <c r="J8659" s="3" t="s">
        <v>8879</v>
      </c>
      <c r="K8659" s="3" t="s">
        <v>223</v>
      </c>
    </row>
    <row r="8660" ht="15.6" spans="4:11">
      <c r="D8660" s="4">
        <v>7854</v>
      </c>
      <c r="E8660" s="4" t="s">
        <v>223</v>
      </c>
      <c r="J8660" s="3" t="s">
        <v>8880</v>
      </c>
      <c r="K8660" s="3" t="s">
        <v>223</v>
      </c>
    </row>
    <row r="8661" ht="15.6" spans="4:11">
      <c r="D8661" s="4">
        <v>7855</v>
      </c>
      <c r="E8661" s="4" t="s">
        <v>223</v>
      </c>
      <c r="J8661" s="3" t="s">
        <v>8881</v>
      </c>
      <c r="K8661" s="3" t="s">
        <v>223</v>
      </c>
    </row>
    <row r="8662" ht="15.6" spans="4:11">
      <c r="D8662" s="4">
        <v>7856</v>
      </c>
      <c r="E8662" s="4" t="s">
        <v>223</v>
      </c>
      <c r="J8662" s="3" t="s">
        <v>8882</v>
      </c>
      <c r="K8662" s="3" t="s">
        <v>223</v>
      </c>
    </row>
    <row r="8663" ht="15.6" spans="4:11">
      <c r="D8663" s="4">
        <v>7857</v>
      </c>
      <c r="E8663" s="4" t="s">
        <v>223</v>
      </c>
      <c r="J8663" s="3" t="s">
        <v>8883</v>
      </c>
      <c r="K8663" s="3" t="s">
        <v>223</v>
      </c>
    </row>
    <row r="8664" ht="15.6" spans="4:11">
      <c r="D8664" s="4">
        <v>7858</v>
      </c>
      <c r="E8664" s="4" t="s">
        <v>223</v>
      </c>
      <c r="J8664" s="3" t="s">
        <v>8884</v>
      </c>
      <c r="K8664" s="3" t="s">
        <v>223</v>
      </c>
    </row>
    <row r="8665" ht="15.6" spans="4:11">
      <c r="D8665" s="4">
        <v>7859</v>
      </c>
      <c r="E8665" s="4" t="s">
        <v>223</v>
      </c>
      <c r="J8665" s="3" t="s">
        <v>8885</v>
      </c>
      <c r="K8665" s="3" t="s">
        <v>223</v>
      </c>
    </row>
    <row r="8666" ht="15.6" spans="4:11">
      <c r="D8666" s="4">
        <v>7860</v>
      </c>
      <c r="E8666" s="4" t="s">
        <v>223</v>
      </c>
      <c r="J8666" s="3" t="s">
        <v>8886</v>
      </c>
      <c r="K8666" s="3" t="s">
        <v>223</v>
      </c>
    </row>
    <row r="8667" ht="15.6" spans="4:11">
      <c r="D8667" s="4">
        <v>7861</v>
      </c>
      <c r="E8667" s="4" t="s">
        <v>223</v>
      </c>
      <c r="J8667" s="3" t="s">
        <v>8887</v>
      </c>
      <c r="K8667" s="3" t="s">
        <v>223</v>
      </c>
    </row>
    <row r="8668" ht="15.6" spans="4:11">
      <c r="D8668" s="4">
        <v>7862</v>
      </c>
      <c r="E8668" s="4" t="s">
        <v>223</v>
      </c>
      <c r="J8668" s="3" t="s">
        <v>8888</v>
      </c>
      <c r="K8668" s="3" t="s">
        <v>223</v>
      </c>
    </row>
    <row r="8669" ht="15.6" spans="4:11">
      <c r="D8669" s="4">
        <v>7863</v>
      </c>
      <c r="E8669" s="4" t="s">
        <v>223</v>
      </c>
      <c r="J8669" s="3" t="s">
        <v>8889</v>
      </c>
      <c r="K8669" s="3" t="s">
        <v>223</v>
      </c>
    </row>
    <row r="8670" ht="15.6" spans="4:11">
      <c r="D8670" s="4">
        <v>7864</v>
      </c>
      <c r="E8670" s="4" t="s">
        <v>223</v>
      </c>
      <c r="J8670" s="3" t="s">
        <v>8890</v>
      </c>
      <c r="K8670" s="3" t="s">
        <v>223</v>
      </c>
    </row>
    <row r="8671" ht="15.6" spans="4:11">
      <c r="D8671" s="4">
        <v>7865</v>
      </c>
      <c r="E8671" s="4" t="s">
        <v>223</v>
      </c>
      <c r="J8671" s="3" t="s">
        <v>8891</v>
      </c>
      <c r="K8671" s="3" t="s">
        <v>223</v>
      </c>
    </row>
    <row r="8672" ht="15.6" spans="4:11">
      <c r="D8672" s="4">
        <v>7866</v>
      </c>
      <c r="E8672" s="4" t="s">
        <v>223</v>
      </c>
      <c r="J8672" s="3" t="s">
        <v>8892</v>
      </c>
      <c r="K8672" s="3" t="s">
        <v>223</v>
      </c>
    </row>
    <row r="8673" ht="15.6" spans="4:11">
      <c r="D8673" s="4">
        <v>7867</v>
      </c>
      <c r="E8673" s="4" t="s">
        <v>223</v>
      </c>
      <c r="J8673" s="3" t="s">
        <v>8893</v>
      </c>
      <c r="K8673" s="3" t="s">
        <v>223</v>
      </c>
    </row>
    <row r="8674" ht="15.6" spans="4:11">
      <c r="D8674" s="4">
        <v>7868</v>
      </c>
      <c r="E8674" s="4" t="s">
        <v>223</v>
      </c>
      <c r="J8674" s="3" t="s">
        <v>8894</v>
      </c>
      <c r="K8674" s="3" t="s">
        <v>223</v>
      </c>
    </row>
    <row r="8675" ht="15.6" spans="4:11">
      <c r="D8675" s="4">
        <v>7869</v>
      </c>
      <c r="E8675" s="4" t="s">
        <v>223</v>
      </c>
      <c r="J8675" s="3" t="s">
        <v>8895</v>
      </c>
      <c r="K8675" s="3" t="s">
        <v>223</v>
      </c>
    </row>
    <row r="8676" ht="15.6" spans="4:11">
      <c r="D8676" s="4">
        <v>7870</v>
      </c>
      <c r="E8676" s="4" t="s">
        <v>223</v>
      </c>
      <c r="J8676" s="3" t="s">
        <v>8896</v>
      </c>
      <c r="K8676" s="3" t="s">
        <v>223</v>
      </c>
    </row>
    <row r="8677" ht="15.6" spans="4:11">
      <c r="D8677" s="4">
        <v>7871</v>
      </c>
      <c r="E8677" s="4" t="s">
        <v>223</v>
      </c>
      <c r="J8677" s="3" t="s">
        <v>8897</v>
      </c>
      <c r="K8677" s="3" t="s">
        <v>223</v>
      </c>
    </row>
    <row r="8678" ht="15.6" spans="4:11">
      <c r="D8678" s="4">
        <v>7872</v>
      </c>
      <c r="E8678" s="4" t="s">
        <v>223</v>
      </c>
      <c r="J8678" s="3" t="s">
        <v>8898</v>
      </c>
      <c r="K8678" s="3" t="s">
        <v>223</v>
      </c>
    </row>
    <row r="8679" ht="15.6" spans="4:11">
      <c r="D8679" s="4">
        <v>7873</v>
      </c>
      <c r="E8679" s="4" t="s">
        <v>223</v>
      </c>
      <c r="J8679" s="3" t="s">
        <v>8899</v>
      </c>
      <c r="K8679" s="3" t="s">
        <v>223</v>
      </c>
    </row>
    <row r="8680" ht="15.6" spans="4:11">
      <c r="D8680" s="4">
        <v>7874</v>
      </c>
      <c r="E8680" s="4" t="s">
        <v>223</v>
      </c>
      <c r="J8680" s="3" t="s">
        <v>8900</v>
      </c>
      <c r="K8680" s="3" t="s">
        <v>223</v>
      </c>
    </row>
    <row r="8681" ht="15.6" spans="4:11">
      <c r="D8681" s="4">
        <v>7875</v>
      </c>
      <c r="E8681" s="4" t="s">
        <v>223</v>
      </c>
      <c r="J8681" s="3" t="s">
        <v>8901</v>
      </c>
      <c r="K8681" s="3" t="s">
        <v>223</v>
      </c>
    </row>
    <row r="8682" ht="15.6" spans="4:11">
      <c r="D8682" s="4">
        <v>7876</v>
      </c>
      <c r="E8682" s="4" t="s">
        <v>223</v>
      </c>
      <c r="J8682" s="3" t="s">
        <v>8902</v>
      </c>
      <c r="K8682" s="3" t="s">
        <v>223</v>
      </c>
    </row>
    <row r="8683" ht="15.6" spans="4:11">
      <c r="D8683" s="4">
        <v>7877</v>
      </c>
      <c r="E8683" s="4" t="s">
        <v>223</v>
      </c>
      <c r="J8683" s="3" t="s">
        <v>8903</v>
      </c>
      <c r="K8683" s="3" t="s">
        <v>223</v>
      </c>
    </row>
    <row r="8684" ht="15.6" spans="4:11">
      <c r="D8684" s="4">
        <v>7878</v>
      </c>
      <c r="E8684" s="4" t="s">
        <v>223</v>
      </c>
      <c r="J8684" s="3" t="s">
        <v>8904</v>
      </c>
      <c r="K8684" s="3" t="s">
        <v>223</v>
      </c>
    </row>
    <row r="8685" ht="15.6" spans="4:11">
      <c r="D8685" s="4">
        <v>7879</v>
      </c>
      <c r="E8685" s="4" t="s">
        <v>223</v>
      </c>
      <c r="J8685" s="3" t="s">
        <v>8905</v>
      </c>
      <c r="K8685" s="3" t="s">
        <v>223</v>
      </c>
    </row>
    <row r="8686" ht="15.6" spans="4:11">
      <c r="D8686" s="4">
        <v>7880</v>
      </c>
      <c r="E8686" s="4" t="s">
        <v>223</v>
      </c>
      <c r="J8686" s="3" t="s">
        <v>8906</v>
      </c>
      <c r="K8686" s="3" t="s">
        <v>223</v>
      </c>
    </row>
    <row r="8687" ht="15.6" spans="4:11">
      <c r="D8687" s="4">
        <v>7881</v>
      </c>
      <c r="E8687" s="4" t="s">
        <v>223</v>
      </c>
      <c r="J8687" s="3" t="s">
        <v>8907</v>
      </c>
      <c r="K8687" s="3" t="s">
        <v>223</v>
      </c>
    </row>
    <row r="8688" ht="15.6" spans="4:11">
      <c r="D8688" s="4">
        <v>7882</v>
      </c>
      <c r="E8688" s="4" t="s">
        <v>223</v>
      </c>
      <c r="J8688" s="3" t="s">
        <v>8908</v>
      </c>
      <c r="K8688" s="3" t="s">
        <v>223</v>
      </c>
    </row>
    <row r="8689" ht="15.6" spans="4:11">
      <c r="D8689" s="4">
        <v>7883</v>
      </c>
      <c r="E8689" s="4" t="s">
        <v>223</v>
      </c>
      <c r="J8689" s="3" t="s">
        <v>8909</v>
      </c>
      <c r="K8689" s="3" t="s">
        <v>223</v>
      </c>
    </row>
    <row r="8690" ht="15.6" spans="4:11">
      <c r="D8690" s="4">
        <v>7884</v>
      </c>
      <c r="E8690" s="4" t="s">
        <v>223</v>
      </c>
      <c r="J8690" s="3" t="s">
        <v>8910</v>
      </c>
      <c r="K8690" s="3" t="s">
        <v>223</v>
      </c>
    </row>
    <row r="8691" ht="15.6" spans="4:11">
      <c r="D8691" s="4">
        <v>7885</v>
      </c>
      <c r="E8691" s="4" t="s">
        <v>223</v>
      </c>
      <c r="J8691" s="3" t="s">
        <v>8911</v>
      </c>
      <c r="K8691" s="3" t="s">
        <v>223</v>
      </c>
    </row>
    <row r="8692" ht="15.6" spans="4:11">
      <c r="D8692" s="4">
        <v>7886</v>
      </c>
      <c r="E8692" s="4" t="s">
        <v>223</v>
      </c>
      <c r="J8692" s="3" t="s">
        <v>8912</v>
      </c>
      <c r="K8692" s="3" t="s">
        <v>223</v>
      </c>
    </row>
    <row r="8693" ht="15.6" spans="4:11">
      <c r="D8693" s="4">
        <v>7887</v>
      </c>
      <c r="E8693" s="4" t="s">
        <v>223</v>
      </c>
      <c r="J8693" s="3" t="s">
        <v>8913</v>
      </c>
      <c r="K8693" s="3" t="s">
        <v>223</v>
      </c>
    </row>
    <row r="8694" ht="15.6" spans="4:11">
      <c r="D8694" s="4">
        <v>7888</v>
      </c>
      <c r="E8694" s="4" t="s">
        <v>223</v>
      </c>
      <c r="J8694" s="3" t="s">
        <v>8914</v>
      </c>
      <c r="K8694" s="3" t="s">
        <v>223</v>
      </c>
    </row>
    <row r="8695" ht="15.6" spans="4:11">
      <c r="D8695" s="4">
        <v>7889</v>
      </c>
      <c r="E8695" s="4" t="s">
        <v>223</v>
      </c>
      <c r="J8695" s="3" t="s">
        <v>8915</v>
      </c>
      <c r="K8695" s="3" t="s">
        <v>223</v>
      </c>
    </row>
    <row r="8696" ht="15.6" spans="4:11">
      <c r="D8696" s="4">
        <v>7890</v>
      </c>
      <c r="E8696" s="4" t="s">
        <v>223</v>
      </c>
      <c r="J8696" s="3" t="s">
        <v>8916</v>
      </c>
      <c r="K8696" s="3" t="s">
        <v>223</v>
      </c>
    </row>
    <row r="8697" ht="15.6" spans="4:11">
      <c r="D8697" s="4">
        <v>7891</v>
      </c>
      <c r="E8697" s="4" t="s">
        <v>223</v>
      </c>
      <c r="J8697" s="3" t="s">
        <v>8917</v>
      </c>
      <c r="K8697" s="3" t="s">
        <v>223</v>
      </c>
    </row>
    <row r="8698" ht="15.6" spans="4:11">
      <c r="D8698" s="4">
        <v>7892</v>
      </c>
      <c r="E8698" s="4" t="s">
        <v>223</v>
      </c>
      <c r="J8698" s="3" t="s">
        <v>8918</v>
      </c>
      <c r="K8698" s="3" t="s">
        <v>223</v>
      </c>
    </row>
    <row r="8699" ht="15.6" spans="4:11">
      <c r="D8699" s="4">
        <v>7893</v>
      </c>
      <c r="E8699" s="4" t="s">
        <v>223</v>
      </c>
      <c r="J8699" s="3" t="s">
        <v>8919</v>
      </c>
      <c r="K8699" s="3" t="s">
        <v>223</v>
      </c>
    </row>
    <row r="8700" ht="15.6" spans="4:11">
      <c r="D8700" s="4">
        <v>7894</v>
      </c>
      <c r="E8700" s="4" t="s">
        <v>223</v>
      </c>
      <c r="J8700" s="3" t="s">
        <v>8920</v>
      </c>
      <c r="K8700" s="3" t="s">
        <v>223</v>
      </c>
    </row>
    <row r="8701" ht="15.6" spans="4:11">
      <c r="D8701" s="4">
        <v>7895</v>
      </c>
      <c r="E8701" s="4" t="s">
        <v>223</v>
      </c>
      <c r="J8701" s="3" t="s">
        <v>8921</v>
      </c>
      <c r="K8701" s="3" t="s">
        <v>223</v>
      </c>
    </row>
    <row r="8702" ht="15.6" spans="4:11">
      <c r="D8702" s="4">
        <v>7896</v>
      </c>
      <c r="E8702" s="4" t="s">
        <v>223</v>
      </c>
      <c r="J8702" s="3" t="s">
        <v>8922</v>
      </c>
      <c r="K8702" s="3" t="s">
        <v>223</v>
      </c>
    </row>
    <row r="8703" ht="15.6" spans="4:11">
      <c r="D8703" s="4">
        <v>7897</v>
      </c>
      <c r="E8703" s="4" t="s">
        <v>223</v>
      </c>
      <c r="J8703" s="3" t="s">
        <v>8923</v>
      </c>
      <c r="K8703" s="3" t="s">
        <v>223</v>
      </c>
    </row>
    <row r="8704" ht="15.6" spans="4:11">
      <c r="D8704" s="4">
        <v>7898</v>
      </c>
      <c r="E8704" s="4" t="s">
        <v>223</v>
      </c>
      <c r="J8704" s="3" t="s">
        <v>8924</v>
      </c>
      <c r="K8704" s="3" t="s">
        <v>223</v>
      </c>
    </row>
    <row r="8705" ht="15.6" spans="4:11">
      <c r="D8705" s="4">
        <v>7899</v>
      </c>
      <c r="E8705" s="4" t="s">
        <v>223</v>
      </c>
      <c r="J8705" s="3" t="s">
        <v>8925</v>
      </c>
      <c r="K8705" s="3" t="s">
        <v>223</v>
      </c>
    </row>
    <row r="8706" ht="15.6" spans="4:11">
      <c r="D8706" s="4">
        <v>7900</v>
      </c>
      <c r="E8706" s="4" t="s">
        <v>223</v>
      </c>
      <c r="J8706" s="3" t="s">
        <v>8926</v>
      </c>
      <c r="K8706" s="3" t="s">
        <v>223</v>
      </c>
    </row>
    <row r="8707" ht="15.6" spans="4:11">
      <c r="D8707" s="4">
        <v>7901</v>
      </c>
      <c r="E8707" s="4" t="s">
        <v>223</v>
      </c>
      <c r="J8707" s="3" t="s">
        <v>8927</v>
      </c>
      <c r="K8707" s="3" t="s">
        <v>223</v>
      </c>
    </row>
    <row r="8708" ht="15.6" spans="4:11">
      <c r="D8708" s="4">
        <v>7902</v>
      </c>
      <c r="E8708" s="4" t="s">
        <v>223</v>
      </c>
      <c r="J8708" s="3" t="s">
        <v>8928</v>
      </c>
      <c r="K8708" s="3" t="s">
        <v>223</v>
      </c>
    </row>
    <row r="8709" ht="15.6" spans="4:11">
      <c r="D8709" s="4">
        <v>7903</v>
      </c>
      <c r="E8709" s="4" t="s">
        <v>223</v>
      </c>
      <c r="J8709" s="3" t="s">
        <v>8929</v>
      </c>
      <c r="K8709" s="3" t="s">
        <v>223</v>
      </c>
    </row>
    <row r="8710" ht="15.6" spans="4:11">
      <c r="D8710" s="4">
        <v>7904</v>
      </c>
      <c r="E8710" s="4" t="s">
        <v>223</v>
      </c>
      <c r="J8710" s="3" t="s">
        <v>8930</v>
      </c>
      <c r="K8710" s="3" t="s">
        <v>223</v>
      </c>
    </row>
    <row r="8711" ht="15.6" spans="4:11">
      <c r="D8711" s="4">
        <v>7905</v>
      </c>
      <c r="E8711" s="4" t="s">
        <v>223</v>
      </c>
      <c r="J8711" s="3" t="s">
        <v>8931</v>
      </c>
      <c r="K8711" s="3" t="s">
        <v>223</v>
      </c>
    </row>
    <row r="8712" ht="15.6" spans="4:11">
      <c r="D8712" s="4">
        <v>7906</v>
      </c>
      <c r="E8712" s="4" t="s">
        <v>223</v>
      </c>
      <c r="J8712" s="3" t="s">
        <v>8932</v>
      </c>
      <c r="K8712" s="3" t="s">
        <v>223</v>
      </c>
    </row>
    <row r="8713" ht="15.6" spans="4:11">
      <c r="D8713" s="4">
        <v>7907</v>
      </c>
      <c r="E8713" s="4" t="s">
        <v>223</v>
      </c>
      <c r="J8713" s="3" t="s">
        <v>8933</v>
      </c>
      <c r="K8713" s="3" t="s">
        <v>223</v>
      </c>
    </row>
    <row r="8714" ht="15.6" spans="4:11">
      <c r="D8714" s="4">
        <v>7908</v>
      </c>
      <c r="E8714" s="4" t="s">
        <v>223</v>
      </c>
      <c r="J8714" s="3" t="s">
        <v>8934</v>
      </c>
      <c r="K8714" s="3" t="s">
        <v>223</v>
      </c>
    </row>
    <row r="8715" ht="15.6" spans="4:11">
      <c r="D8715" s="4">
        <v>7909</v>
      </c>
      <c r="E8715" s="4" t="s">
        <v>223</v>
      </c>
      <c r="J8715" s="3" t="s">
        <v>8935</v>
      </c>
      <c r="K8715" s="3" t="s">
        <v>223</v>
      </c>
    </row>
    <row r="8716" ht="15.6" spans="4:11">
      <c r="D8716" s="4">
        <v>7910</v>
      </c>
      <c r="E8716" s="4" t="s">
        <v>223</v>
      </c>
      <c r="J8716" s="3" t="s">
        <v>8936</v>
      </c>
      <c r="K8716" s="3" t="s">
        <v>223</v>
      </c>
    </row>
    <row r="8717" ht="15.6" spans="4:11">
      <c r="D8717" s="4">
        <v>7911</v>
      </c>
      <c r="E8717" s="4" t="s">
        <v>223</v>
      </c>
      <c r="J8717" s="3" t="s">
        <v>8937</v>
      </c>
      <c r="K8717" s="3" t="s">
        <v>223</v>
      </c>
    </row>
    <row r="8718" ht="15.6" spans="4:11">
      <c r="D8718" s="4">
        <v>7912</v>
      </c>
      <c r="E8718" s="4" t="s">
        <v>223</v>
      </c>
      <c r="J8718" s="3" t="s">
        <v>8938</v>
      </c>
      <c r="K8718" s="3" t="s">
        <v>223</v>
      </c>
    </row>
    <row r="8719" ht="15.6" spans="4:11">
      <c r="D8719" s="4">
        <v>7913</v>
      </c>
      <c r="E8719" s="4" t="s">
        <v>223</v>
      </c>
      <c r="J8719" s="3" t="s">
        <v>8939</v>
      </c>
      <c r="K8719" s="3" t="s">
        <v>223</v>
      </c>
    </row>
    <row r="8720" ht="15.6" spans="4:11">
      <c r="D8720" s="4">
        <v>7914</v>
      </c>
      <c r="E8720" s="4" t="s">
        <v>223</v>
      </c>
      <c r="J8720" s="3" t="s">
        <v>8940</v>
      </c>
      <c r="K8720" s="3" t="s">
        <v>223</v>
      </c>
    </row>
    <row r="8721" ht="15.6" spans="4:11">
      <c r="D8721" s="4">
        <v>7915</v>
      </c>
      <c r="E8721" s="4" t="s">
        <v>223</v>
      </c>
      <c r="J8721" s="3" t="s">
        <v>8941</v>
      </c>
      <c r="K8721" s="3" t="s">
        <v>223</v>
      </c>
    </row>
    <row r="8722" ht="15.6" spans="4:11">
      <c r="D8722" s="4">
        <v>7916</v>
      </c>
      <c r="E8722" s="4" t="s">
        <v>223</v>
      </c>
      <c r="J8722" s="3" t="s">
        <v>8942</v>
      </c>
      <c r="K8722" s="3" t="s">
        <v>223</v>
      </c>
    </row>
    <row r="8723" ht="15.6" spans="4:11">
      <c r="D8723" s="4">
        <v>7917</v>
      </c>
      <c r="E8723" s="4" t="s">
        <v>223</v>
      </c>
      <c r="J8723" s="3" t="s">
        <v>8943</v>
      </c>
      <c r="K8723" s="3" t="s">
        <v>223</v>
      </c>
    </row>
    <row r="8724" ht="15.6" spans="4:11">
      <c r="D8724" s="4">
        <v>7918</v>
      </c>
      <c r="E8724" s="4" t="s">
        <v>223</v>
      </c>
      <c r="J8724" s="3" t="s">
        <v>8944</v>
      </c>
      <c r="K8724" s="3" t="s">
        <v>223</v>
      </c>
    </row>
    <row r="8725" ht="15.6" spans="4:11">
      <c r="D8725" s="4">
        <v>7919</v>
      </c>
      <c r="E8725" s="4" t="s">
        <v>223</v>
      </c>
      <c r="J8725" s="3" t="s">
        <v>8945</v>
      </c>
      <c r="K8725" s="3" t="s">
        <v>223</v>
      </c>
    </row>
    <row r="8726" ht="15.6" spans="4:11">
      <c r="D8726" s="4">
        <v>7920</v>
      </c>
      <c r="E8726" s="4" t="s">
        <v>223</v>
      </c>
      <c r="J8726" s="3" t="s">
        <v>8946</v>
      </c>
      <c r="K8726" s="3" t="s">
        <v>223</v>
      </c>
    </row>
    <row r="8727" ht="15.6" spans="4:11">
      <c r="D8727" s="4">
        <v>7921</v>
      </c>
      <c r="E8727" s="4" t="s">
        <v>223</v>
      </c>
      <c r="J8727" s="3" t="s">
        <v>8947</v>
      </c>
      <c r="K8727" s="3" t="s">
        <v>223</v>
      </c>
    </row>
    <row r="8728" ht="15.6" spans="4:11">
      <c r="D8728" s="4">
        <v>7922</v>
      </c>
      <c r="E8728" s="4" t="s">
        <v>223</v>
      </c>
      <c r="J8728" s="3" t="s">
        <v>8948</v>
      </c>
      <c r="K8728" s="3" t="s">
        <v>223</v>
      </c>
    </row>
    <row r="8729" ht="15.6" spans="4:11">
      <c r="D8729" s="4">
        <v>7923</v>
      </c>
      <c r="E8729" s="4" t="s">
        <v>223</v>
      </c>
      <c r="J8729" s="3" t="s">
        <v>8949</v>
      </c>
      <c r="K8729" s="3" t="s">
        <v>223</v>
      </c>
    </row>
    <row r="8730" ht="15.6" spans="4:11">
      <c r="D8730" s="4">
        <v>7924</v>
      </c>
      <c r="E8730" s="4" t="s">
        <v>223</v>
      </c>
      <c r="J8730" s="3" t="s">
        <v>8950</v>
      </c>
      <c r="K8730" s="3" t="s">
        <v>223</v>
      </c>
    </row>
    <row r="8731" ht="15.6" spans="4:11">
      <c r="D8731" s="4">
        <v>7925</v>
      </c>
      <c r="E8731" s="4" t="s">
        <v>223</v>
      </c>
      <c r="J8731" s="3" t="s">
        <v>8951</v>
      </c>
      <c r="K8731" s="3" t="s">
        <v>223</v>
      </c>
    </row>
    <row r="8732" ht="15.6" spans="4:11">
      <c r="D8732" s="4">
        <v>7926</v>
      </c>
      <c r="E8732" s="4" t="s">
        <v>223</v>
      </c>
      <c r="J8732" s="3" t="s">
        <v>8952</v>
      </c>
      <c r="K8732" s="3" t="s">
        <v>223</v>
      </c>
    </row>
    <row r="8733" ht="15.6" spans="4:11">
      <c r="D8733" s="4">
        <v>7927</v>
      </c>
      <c r="E8733" s="4" t="s">
        <v>223</v>
      </c>
      <c r="J8733" s="3" t="s">
        <v>8953</v>
      </c>
      <c r="K8733" s="3" t="s">
        <v>223</v>
      </c>
    </row>
    <row r="8734" ht="15.6" spans="4:11">
      <c r="D8734" s="4">
        <v>7928</v>
      </c>
      <c r="E8734" s="4" t="s">
        <v>223</v>
      </c>
      <c r="J8734" s="3" t="s">
        <v>8954</v>
      </c>
      <c r="K8734" s="3" t="s">
        <v>223</v>
      </c>
    </row>
    <row r="8735" ht="15.6" spans="4:11">
      <c r="D8735" s="4">
        <v>7929</v>
      </c>
      <c r="E8735" s="4" t="s">
        <v>223</v>
      </c>
      <c r="J8735" s="3" t="s">
        <v>8955</v>
      </c>
      <c r="K8735" s="3" t="s">
        <v>223</v>
      </c>
    </row>
    <row r="8736" ht="15.6" spans="4:11">
      <c r="D8736" s="4">
        <v>7930</v>
      </c>
      <c r="E8736" s="4" t="s">
        <v>223</v>
      </c>
      <c r="J8736" s="3" t="s">
        <v>8956</v>
      </c>
      <c r="K8736" s="3" t="s">
        <v>223</v>
      </c>
    </row>
    <row r="8737" ht="15.6" spans="4:11">
      <c r="D8737" s="4">
        <v>7931</v>
      </c>
      <c r="E8737" s="4" t="s">
        <v>223</v>
      </c>
      <c r="J8737" s="3" t="s">
        <v>8957</v>
      </c>
      <c r="K8737" s="3" t="s">
        <v>223</v>
      </c>
    </row>
    <row r="8738" ht="15.6" spans="4:11">
      <c r="D8738" s="4">
        <v>7932</v>
      </c>
      <c r="E8738" s="4" t="s">
        <v>223</v>
      </c>
      <c r="J8738" s="3" t="s">
        <v>8958</v>
      </c>
      <c r="K8738" s="3" t="s">
        <v>223</v>
      </c>
    </row>
    <row r="8739" ht="15.6" spans="4:11">
      <c r="D8739" s="4">
        <v>7933</v>
      </c>
      <c r="E8739" s="4" t="s">
        <v>223</v>
      </c>
      <c r="J8739" s="3" t="s">
        <v>8959</v>
      </c>
      <c r="K8739" s="3" t="s">
        <v>223</v>
      </c>
    </row>
    <row r="8740" ht="15.6" spans="4:11">
      <c r="D8740" s="4">
        <v>7934</v>
      </c>
      <c r="E8740" s="4" t="s">
        <v>223</v>
      </c>
      <c r="J8740" s="3" t="s">
        <v>8960</v>
      </c>
      <c r="K8740" s="3" t="s">
        <v>223</v>
      </c>
    </row>
    <row r="8741" ht="15.6" spans="4:11">
      <c r="D8741" s="4">
        <v>7935</v>
      </c>
      <c r="E8741" s="4" t="s">
        <v>223</v>
      </c>
      <c r="J8741" s="3" t="s">
        <v>8961</v>
      </c>
      <c r="K8741" s="3" t="s">
        <v>223</v>
      </c>
    </row>
    <row r="8742" ht="15.6" spans="4:11">
      <c r="D8742" s="4">
        <v>7936</v>
      </c>
      <c r="E8742" s="4" t="s">
        <v>223</v>
      </c>
      <c r="J8742" s="3" t="s">
        <v>8962</v>
      </c>
      <c r="K8742" s="3" t="s">
        <v>223</v>
      </c>
    </row>
    <row r="8743" ht="15.6" spans="4:11">
      <c r="D8743" s="4">
        <v>7937</v>
      </c>
      <c r="E8743" s="4" t="s">
        <v>223</v>
      </c>
      <c r="J8743" s="3" t="s">
        <v>8963</v>
      </c>
      <c r="K8743" s="3" t="s">
        <v>223</v>
      </c>
    </row>
    <row r="8744" ht="15.6" spans="4:11">
      <c r="D8744" s="4">
        <v>7938</v>
      </c>
      <c r="E8744" s="4" t="s">
        <v>223</v>
      </c>
      <c r="J8744" s="3" t="s">
        <v>8964</v>
      </c>
      <c r="K8744" s="3" t="s">
        <v>223</v>
      </c>
    </row>
    <row r="8745" ht="15.6" spans="4:11">
      <c r="D8745" s="4">
        <v>7939</v>
      </c>
      <c r="E8745" s="4" t="s">
        <v>223</v>
      </c>
      <c r="J8745" s="3" t="s">
        <v>8965</v>
      </c>
      <c r="K8745" s="3" t="s">
        <v>223</v>
      </c>
    </row>
    <row r="8746" ht="15.6" spans="4:11">
      <c r="D8746" s="4">
        <v>7940</v>
      </c>
      <c r="E8746" s="4" t="s">
        <v>223</v>
      </c>
      <c r="J8746" s="3" t="s">
        <v>8966</v>
      </c>
      <c r="K8746" s="3" t="s">
        <v>223</v>
      </c>
    </row>
    <row r="8747" ht="15.6" spans="4:11">
      <c r="D8747" s="4">
        <v>7941</v>
      </c>
      <c r="E8747" s="4" t="s">
        <v>223</v>
      </c>
      <c r="J8747" s="3" t="s">
        <v>8967</v>
      </c>
      <c r="K8747" s="3" t="s">
        <v>223</v>
      </c>
    </row>
    <row r="8748" ht="15.6" spans="4:11">
      <c r="D8748" s="4">
        <v>7942</v>
      </c>
      <c r="E8748" s="4" t="s">
        <v>223</v>
      </c>
      <c r="J8748" s="3" t="s">
        <v>8968</v>
      </c>
      <c r="K8748" s="3" t="s">
        <v>223</v>
      </c>
    </row>
    <row r="8749" ht="15.6" spans="4:11">
      <c r="D8749" s="4">
        <v>7943</v>
      </c>
      <c r="E8749" s="4" t="s">
        <v>223</v>
      </c>
      <c r="J8749" s="3" t="s">
        <v>8969</v>
      </c>
      <c r="K8749" s="3" t="s">
        <v>223</v>
      </c>
    </row>
    <row r="8750" ht="15.6" spans="4:11">
      <c r="D8750" s="4">
        <v>7944</v>
      </c>
      <c r="E8750" s="4" t="s">
        <v>223</v>
      </c>
      <c r="J8750" s="3" t="s">
        <v>8970</v>
      </c>
      <c r="K8750" s="3" t="s">
        <v>223</v>
      </c>
    </row>
    <row r="8751" ht="15.6" spans="4:11">
      <c r="D8751" s="4">
        <v>7945</v>
      </c>
      <c r="E8751" s="4" t="s">
        <v>223</v>
      </c>
      <c r="J8751" s="3" t="s">
        <v>8971</v>
      </c>
      <c r="K8751" s="3" t="s">
        <v>223</v>
      </c>
    </row>
    <row r="8752" ht="15.6" spans="4:11">
      <c r="D8752" s="4">
        <v>7946</v>
      </c>
      <c r="E8752" s="4" t="s">
        <v>223</v>
      </c>
      <c r="J8752" s="3" t="s">
        <v>8972</v>
      </c>
      <c r="K8752" s="3" t="s">
        <v>223</v>
      </c>
    </row>
    <row r="8753" ht="15.6" spans="4:11">
      <c r="D8753" s="4">
        <v>7947</v>
      </c>
      <c r="E8753" s="4" t="s">
        <v>223</v>
      </c>
      <c r="J8753" s="3" t="s">
        <v>8973</v>
      </c>
      <c r="K8753" s="3" t="s">
        <v>223</v>
      </c>
    </row>
    <row r="8754" ht="15.6" spans="4:11">
      <c r="D8754" s="4">
        <v>7948</v>
      </c>
      <c r="E8754" s="4" t="s">
        <v>223</v>
      </c>
      <c r="J8754" s="3" t="s">
        <v>8974</v>
      </c>
      <c r="K8754" s="3" t="s">
        <v>223</v>
      </c>
    </row>
    <row r="8755" ht="15.6" spans="4:11">
      <c r="D8755" s="4">
        <v>7949</v>
      </c>
      <c r="E8755" s="4" t="s">
        <v>223</v>
      </c>
      <c r="J8755" s="3" t="s">
        <v>8975</v>
      </c>
      <c r="K8755" s="3" t="s">
        <v>223</v>
      </c>
    </row>
    <row r="8756" ht="15.6" spans="4:11">
      <c r="D8756" s="4">
        <v>7950</v>
      </c>
      <c r="E8756" s="4" t="s">
        <v>223</v>
      </c>
      <c r="J8756" s="3" t="s">
        <v>8976</v>
      </c>
      <c r="K8756" s="3" t="s">
        <v>223</v>
      </c>
    </row>
    <row r="8757" ht="15.6" spans="4:11">
      <c r="D8757" s="4">
        <v>7951</v>
      </c>
      <c r="E8757" s="4" t="s">
        <v>223</v>
      </c>
      <c r="J8757" s="3" t="s">
        <v>8977</v>
      </c>
      <c r="K8757" s="3" t="s">
        <v>223</v>
      </c>
    </row>
    <row r="8758" ht="15.6" spans="4:11">
      <c r="D8758" s="4">
        <v>7952</v>
      </c>
      <c r="E8758" s="4" t="s">
        <v>223</v>
      </c>
      <c r="J8758" s="3" t="s">
        <v>8978</v>
      </c>
      <c r="K8758" s="3" t="s">
        <v>223</v>
      </c>
    </row>
    <row r="8759" ht="15.6" spans="4:11">
      <c r="D8759" s="4">
        <v>7953</v>
      </c>
      <c r="E8759" s="4" t="s">
        <v>223</v>
      </c>
      <c r="J8759" s="3" t="s">
        <v>8979</v>
      </c>
      <c r="K8759" s="3" t="s">
        <v>223</v>
      </c>
    </row>
    <row r="8760" ht="15.6" spans="4:11">
      <c r="D8760" s="4">
        <v>7954</v>
      </c>
      <c r="E8760" s="4" t="s">
        <v>223</v>
      </c>
      <c r="J8760" s="3" t="s">
        <v>8980</v>
      </c>
      <c r="K8760" s="3" t="s">
        <v>223</v>
      </c>
    </row>
    <row r="8761" ht="15.6" spans="4:11">
      <c r="D8761" s="4">
        <v>7955</v>
      </c>
      <c r="E8761" s="4" t="s">
        <v>223</v>
      </c>
      <c r="J8761" s="3" t="s">
        <v>8981</v>
      </c>
      <c r="K8761" s="3" t="s">
        <v>223</v>
      </c>
    </row>
    <row r="8762" ht="15.6" spans="4:11">
      <c r="D8762" s="4">
        <v>7956</v>
      </c>
      <c r="E8762" s="4" t="s">
        <v>223</v>
      </c>
      <c r="J8762" s="3" t="s">
        <v>8982</v>
      </c>
      <c r="K8762" s="3" t="s">
        <v>223</v>
      </c>
    </row>
    <row r="8763" ht="15.6" spans="4:11">
      <c r="D8763" s="4">
        <v>7957</v>
      </c>
      <c r="E8763" s="4" t="s">
        <v>223</v>
      </c>
      <c r="J8763" s="3" t="s">
        <v>8983</v>
      </c>
      <c r="K8763" s="3" t="s">
        <v>223</v>
      </c>
    </row>
    <row r="8764" ht="15.6" spans="4:11">
      <c r="D8764" s="4">
        <v>7958</v>
      </c>
      <c r="E8764" s="4" t="s">
        <v>223</v>
      </c>
      <c r="J8764" s="3" t="s">
        <v>8984</v>
      </c>
      <c r="K8764" s="3" t="s">
        <v>223</v>
      </c>
    </row>
    <row r="8765" ht="15.6" spans="4:11">
      <c r="D8765" s="4">
        <v>7959</v>
      </c>
      <c r="E8765" s="4" t="s">
        <v>223</v>
      </c>
      <c r="J8765" s="3" t="s">
        <v>8985</v>
      </c>
      <c r="K8765" s="3" t="s">
        <v>223</v>
      </c>
    </row>
    <row r="8766" ht="15.6" spans="4:11">
      <c r="D8766" s="4">
        <v>7960</v>
      </c>
      <c r="E8766" s="4" t="s">
        <v>223</v>
      </c>
      <c r="J8766" s="3" t="s">
        <v>8986</v>
      </c>
      <c r="K8766" s="3" t="s">
        <v>223</v>
      </c>
    </row>
    <row r="8767" ht="15.6" spans="4:11">
      <c r="D8767" s="4">
        <v>7961</v>
      </c>
      <c r="E8767" s="4" t="s">
        <v>223</v>
      </c>
      <c r="J8767" s="3" t="s">
        <v>8987</v>
      </c>
      <c r="K8767" s="3" t="s">
        <v>223</v>
      </c>
    </row>
    <row r="8768" ht="15.6" spans="4:11">
      <c r="D8768" s="4">
        <v>7962</v>
      </c>
      <c r="E8768" s="4" t="s">
        <v>223</v>
      </c>
      <c r="J8768" s="3" t="s">
        <v>8988</v>
      </c>
      <c r="K8768" s="3" t="s">
        <v>223</v>
      </c>
    </row>
    <row r="8769" ht="15.6" spans="4:11">
      <c r="D8769" s="4">
        <v>7963</v>
      </c>
      <c r="E8769" s="4" t="s">
        <v>223</v>
      </c>
      <c r="J8769" s="3" t="s">
        <v>8989</v>
      </c>
      <c r="K8769" s="3" t="s">
        <v>223</v>
      </c>
    </row>
    <row r="8770" ht="15.6" spans="4:11">
      <c r="D8770" s="4">
        <v>7964</v>
      </c>
      <c r="E8770" s="4" t="s">
        <v>223</v>
      </c>
      <c r="J8770" s="3" t="s">
        <v>8990</v>
      </c>
      <c r="K8770" s="3" t="s">
        <v>223</v>
      </c>
    </row>
    <row r="8771" ht="15.6" spans="4:11">
      <c r="D8771" s="4">
        <v>7965</v>
      </c>
      <c r="E8771" s="4" t="s">
        <v>223</v>
      </c>
      <c r="J8771" s="3" t="s">
        <v>8991</v>
      </c>
      <c r="K8771" s="3" t="s">
        <v>223</v>
      </c>
    </row>
    <row r="8772" ht="15.6" spans="4:11">
      <c r="D8772" s="4">
        <v>7966</v>
      </c>
      <c r="E8772" s="4" t="s">
        <v>223</v>
      </c>
      <c r="J8772" s="3" t="s">
        <v>8992</v>
      </c>
      <c r="K8772" s="3" t="s">
        <v>223</v>
      </c>
    </row>
    <row r="8773" ht="15.6" spans="4:11">
      <c r="D8773" s="4">
        <v>7967</v>
      </c>
      <c r="E8773" s="4" t="s">
        <v>223</v>
      </c>
      <c r="J8773" s="3" t="s">
        <v>8993</v>
      </c>
      <c r="K8773" s="3" t="s">
        <v>223</v>
      </c>
    </row>
    <row r="8774" ht="15.6" spans="4:11">
      <c r="D8774" s="4">
        <v>7968</v>
      </c>
      <c r="E8774" s="4" t="s">
        <v>223</v>
      </c>
      <c r="J8774" s="3" t="s">
        <v>8994</v>
      </c>
      <c r="K8774" s="3" t="s">
        <v>223</v>
      </c>
    </row>
    <row r="8775" ht="15.6" spans="4:11">
      <c r="D8775" s="4">
        <v>7969</v>
      </c>
      <c r="E8775" s="4" t="s">
        <v>223</v>
      </c>
      <c r="J8775" s="3" t="s">
        <v>8995</v>
      </c>
      <c r="K8775" s="3" t="s">
        <v>223</v>
      </c>
    </row>
    <row r="8776" ht="15.6" spans="4:11">
      <c r="D8776" s="4">
        <v>7970</v>
      </c>
      <c r="E8776" s="4" t="s">
        <v>223</v>
      </c>
      <c r="J8776" s="3" t="s">
        <v>8996</v>
      </c>
      <c r="K8776" s="3" t="s">
        <v>223</v>
      </c>
    </row>
    <row r="8777" ht="15.6" spans="4:11">
      <c r="D8777" s="4">
        <v>7971</v>
      </c>
      <c r="E8777" s="4" t="s">
        <v>223</v>
      </c>
      <c r="J8777" s="3" t="s">
        <v>8997</v>
      </c>
      <c r="K8777" s="3" t="s">
        <v>223</v>
      </c>
    </row>
    <row r="8778" ht="15.6" spans="4:11">
      <c r="D8778" s="4">
        <v>7972</v>
      </c>
      <c r="E8778" s="4" t="s">
        <v>223</v>
      </c>
      <c r="J8778" s="3" t="s">
        <v>8998</v>
      </c>
      <c r="K8778" s="3" t="s">
        <v>223</v>
      </c>
    </row>
    <row r="8779" ht="15.6" spans="4:11">
      <c r="D8779" s="4">
        <v>7973</v>
      </c>
      <c r="E8779" s="4" t="s">
        <v>223</v>
      </c>
      <c r="J8779" s="3" t="s">
        <v>8999</v>
      </c>
      <c r="K8779" s="3" t="s">
        <v>223</v>
      </c>
    </row>
    <row r="8780" ht="15.6" spans="4:11">
      <c r="D8780" s="4">
        <v>7974</v>
      </c>
      <c r="E8780" s="4" t="s">
        <v>223</v>
      </c>
      <c r="J8780" s="3" t="s">
        <v>9000</v>
      </c>
      <c r="K8780" s="3" t="s">
        <v>223</v>
      </c>
    </row>
    <row r="8781" ht="15.6" spans="4:11">
      <c r="D8781" s="4">
        <v>7975</v>
      </c>
      <c r="E8781" s="4" t="s">
        <v>223</v>
      </c>
      <c r="J8781" s="3" t="s">
        <v>9001</v>
      </c>
      <c r="K8781" s="3" t="s">
        <v>223</v>
      </c>
    </row>
    <row r="8782" ht="15.6" spans="4:11">
      <c r="D8782" s="4">
        <v>7976</v>
      </c>
      <c r="E8782" s="4" t="s">
        <v>223</v>
      </c>
      <c r="J8782" s="3" t="s">
        <v>9002</v>
      </c>
      <c r="K8782" s="3" t="s">
        <v>223</v>
      </c>
    </row>
    <row r="8783" ht="15.6" spans="4:11">
      <c r="D8783" s="4">
        <v>7977</v>
      </c>
      <c r="E8783" s="4" t="s">
        <v>223</v>
      </c>
      <c r="J8783" s="3" t="s">
        <v>9003</v>
      </c>
      <c r="K8783" s="3" t="s">
        <v>223</v>
      </c>
    </row>
    <row r="8784" ht="15.6" spans="4:11">
      <c r="D8784" s="4">
        <v>7978</v>
      </c>
      <c r="E8784" s="4" t="s">
        <v>223</v>
      </c>
      <c r="J8784" s="3" t="s">
        <v>9004</v>
      </c>
      <c r="K8784" s="3" t="s">
        <v>223</v>
      </c>
    </row>
    <row r="8785" ht="15.6" spans="4:11">
      <c r="D8785" s="4">
        <v>7979</v>
      </c>
      <c r="E8785" s="4" t="s">
        <v>223</v>
      </c>
      <c r="J8785" s="3" t="s">
        <v>9005</v>
      </c>
      <c r="K8785" s="3" t="s">
        <v>223</v>
      </c>
    </row>
    <row r="8786" ht="15.6" spans="4:11">
      <c r="D8786" s="4">
        <v>7980</v>
      </c>
      <c r="E8786" s="4" t="s">
        <v>223</v>
      </c>
      <c r="J8786" s="3" t="s">
        <v>9006</v>
      </c>
      <c r="K8786" s="3" t="s">
        <v>223</v>
      </c>
    </row>
    <row r="8787" ht="15.6" spans="4:11">
      <c r="D8787" s="4">
        <v>7981</v>
      </c>
      <c r="E8787" s="4" t="s">
        <v>223</v>
      </c>
      <c r="J8787" s="3" t="s">
        <v>9007</v>
      </c>
      <c r="K8787" s="3" t="s">
        <v>223</v>
      </c>
    </row>
    <row r="8788" ht="15.6" spans="4:11">
      <c r="D8788" s="4">
        <v>7982</v>
      </c>
      <c r="E8788" s="4" t="s">
        <v>223</v>
      </c>
      <c r="J8788" s="3" t="s">
        <v>9008</v>
      </c>
      <c r="K8788" s="3" t="s">
        <v>223</v>
      </c>
    </row>
    <row r="8789" ht="15.6" spans="4:11">
      <c r="D8789" s="4">
        <v>7983</v>
      </c>
      <c r="E8789" s="4" t="s">
        <v>223</v>
      </c>
      <c r="J8789" s="3" t="s">
        <v>9009</v>
      </c>
      <c r="K8789" s="3" t="s">
        <v>223</v>
      </c>
    </row>
    <row r="8790" ht="15.6" spans="4:11">
      <c r="D8790" s="4">
        <v>7984</v>
      </c>
      <c r="E8790" s="4" t="s">
        <v>223</v>
      </c>
      <c r="J8790" s="3" t="s">
        <v>9010</v>
      </c>
      <c r="K8790" s="3" t="s">
        <v>223</v>
      </c>
    </row>
    <row r="8791" ht="15.6" spans="4:11">
      <c r="D8791" s="4">
        <v>7985</v>
      </c>
      <c r="E8791" s="4" t="s">
        <v>223</v>
      </c>
      <c r="J8791" s="3" t="s">
        <v>9011</v>
      </c>
      <c r="K8791" s="3" t="s">
        <v>223</v>
      </c>
    </row>
    <row r="8792" ht="15.6" spans="4:11">
      <c r="D8792" s="4">
        <v>7986</v>
      </c>
      <c r="E8792" s="4" t="s">
        <v>223</v>
      </c>
      <c r="J8792" s="3" t="s">
        <v>9012</v>
      </c>
      <c r="K8792" s="3" t="s">
        <v>223</v>
      </c>
    </row>
    <row r="8793" ht="15.6" spans="4:11">
      <c r="D8793" s="4">
        <v>7987</v>
      </c>
      <c r="E8793" s="4" t="s">
        <v>223</v>
      </c>
      <c r="J8793" s="3" t="s">
        <v>9013</v>
      </c>
      <c r="K8793" s="3" t="s">
        <v>223</v>
      </c>
    </row>
    <row r="8794" ht="15.6" spans="4:11">
      <c r="D8794" s="4">
        <v>7988</v>
      </c>
      <c r="E8794" s="4" t="s">
        <v>223</v>
      </c>
      <c r="J8794" s="3" t="s">
        <v>9014</v>
      </c>
      <c r="K8794" s="3" t="s">
        <v>223</v>
      </c>
    </row>
    <row r="8795" ht="15.6" spans="4:11">
      <c r="D8795" s="4">
        <v>7989</v>
      </c>
      <c r="E8795" s="4" t="s">
        <v>223</v>
      </c>
      <c r="J8795" s="3" t="s">
        <v>9015</v>
      </c>
      <c r="K8795" s="3" t="s">
        <v>223</v>
      </c>
    </row>
    <row r="8796" ht="15.6" spans="4:11">
      <c r="D8796" s="4">
        <v>7990</v>
      </c>
      <c r="E8796" s="4" t="s">
        <v>223</v>
      </c>
      <c r="J8796" s="3" t="s">
        <v>9016</v>
      </c>
      <c r="K8796" s="3" t="s">
        <v>223</v>
      </c>
    </row>
    <row r="8797" ht="15.6" spans="4:11">
      <c r="D8797" s="4">
        <v>7991</v>
      </c>
      <c r="E8797" s="4" t="s">
        <v>223</v>
      </c>
      <c r="J8797" s="3" t="s">
        <v>9017</v>
      </c>
      <c r="K8797" s="3" t="s">
        <v>223</v>
      </c>
    </row>
    <row r="8798" ht="15.6" spans="4:11">
      <c r="D8798" s="4">
        <v>7992</v>
      </c>
      <c r="E8798" s="4" t="s">
        <v>223</v>
      </c>
      <c r="J8798" s="3" t="s">
        <v>9018</v>
      </c>
      <c r="K8798" s="3" t="s">
        <v>223</v>
      </c>
    </row>
    <row r="8799" ht="15.6" spans="4:11">
      <c r="D8799" s="4">
        <v>7993</v>
      </c>
      <c r="E8799" s="4" t="s">
        <v>223</v>
      </c>
      <c r="J8799" s="3" t="s">
        <v>9019</v>
      </c>
      <c r="K8799" s="3" t="s">
        <v>223</v>
      </c>
    </row>
    <row r="8800" ht="15.6" spans="4:11">
      <c r="D8800" s="4">
        <v>7994</v>
      </c>
      <c r="E8800" s="4" t="s">
        <v>223</v>
      </c>
      <c r="J8800" s="3" t="s">
        <v>9020</v>
      </c>
      <c r="K8800" s="3" t="s">
        <v>223</v>
      </c>
    </row>
    <row r="8801" ht="15.6" spans="4:11">
      <c r="D8801" s="4">
        <v>7995</v>
      </c>
      <c r="E8801" s="4" t="s">
        <v>223</v>
      </c>
      <c r="J8801" s="3" t="s">
        <v>9021</v>
      </c>
      <c r="K8801" s="3" t="s">
        <v>223</v>
      </c>
    </row>
    <row r="8802" ht="15.6" spans="4:11">
      <c r="D8802" s="4">
        <v>7996</v>
      </c>
      <c r="E8802" s="4" t="s">
        <v>223</v>
      </c>
      <c r="J8802" s="3" t="s">
        <v>9022</v>
      </c>
      <c r="K8802" s="3" t="s">
        <v>223</v>
      </c>
    </row>
    <row r="8803" ht="15.6" spans="4:11">
      <c r="D8803" s="4">
        <v>7997</v>
      </c>
      <c r="E8803" s="4" t="s">
        <v>223</v>
      </c>
      <c r="J8803" s="3" t="s">
        <v>9023</v>
      </c>
      <c r="K8803" s="3" t="s">
        <v>223</v>
      </c>
    </row>
    <row r="8804" ht="15.6" spans="4:11">
      <c r="D8804" s="4">
        <v>7998</v>
      </c>
      <c r="E8804" s="4" t="s">
        <v>223</v>
      </c>
      <c r="J8804" s="3" t="s">
        <v>9024</v>
      </c>
      <c r="K8804" s="3" t="s">
        <v>223</v>
      </c>
    </row>
    <row r="8805" ht="15.6" spans="4:11">
      <c r="D8805" s="4">
        <v>7999</v>
      </c>
      <c r="E8805" s="4" t="s">
        <v>223</v>
      </c>
      <c r="J8805" s="3" t="s">
        <v>9025</v>
      </c>
      <c r="K8805" s="3" t="s">
        <v>223</v>
      </c>
    </row>
    <row r="8806" ht="15.6" spans="4:11">
      <c r="D8806" s="4">
        <v>9920</v>
      </c>
      <c r="E8806" s="4" t="s">
        <v>223</v>
      </c>
      <c r="J8806" s="3" t="s">
        <v>9026</v>
      </c>
      <c r="K8806" s="3" t="s">
        <v>223</v>
      </c>
    </row>
    <row r="8807" ht="15.6" spans="4:11">
      <c r="D8807" s="4">
        <v>9921</v>
      </c>
      <c r="E8807" s="4" t="s">
        <v>223</v>
      </c>
      <c r="J8807" s="3" t="s">
        <v>9027</v>
      </c>
      <c r="K8807" s="3" t="s">
        <v>223</v>
      </c>
    </row>
    <row r="8808" ht="15.6" spans="4:11">
      <c r="D8808" s="4">
        <v>9922</v>
      </c>
      <c r="E8808" s="4" t="s">
        <v>223</v>
      </c>
      <c r="J8808" s="3" t="s">
        <v>9028</v>
      </c>
      <c r="K8808" s="3" t="s">
        <v>223</v>
      </c>
    </row>
    <row r="8809" ht="15.6" spans="4:11">
      <c r="D8809" s="4">
        <v>9923</v>
      </c>
      <c r="E8809" s="4" t="s">
        <v>223</v>
      </c>
      <c r="J8809" s="3" t="s">
        <v>9029</v>
      </c>
      <c r="K8809" s="3" t="s">
        <v>223</v>
      </c>
    </row>
    <row r="8810" ht="15.6" spans="4:11">
      <c r="D8810" s="4">
        <v>9924</v>
      </c>
      <c r="E8810" s="4" t="s">
        <v>223</v>
      </c>
      <c r="J8810" s="3" t="s">
        <v>9030</v>
      </c>
      <c r="K8810" s="3" t="s">
        <v>223</v>
      </c>
    </row>
    <row r="8811" ht="15.6" spans="4:11">
      <c r="D8811" s="4">
        <v>9925</v>
      </c>
      <c r="E8811" s="4" t="s">
        <v>223</v>
      </c>
      <c r="J8811" s="3" t="s">
        <v>9031</v>
      </c>
      <c r="K8811" s="3" t="s">
        <v>223</v>
      </c>
    </row>
    <row r="8812" ht="15.6" spans="4:11">
      <c r="D8812" s="4">
        <v>9926</v>
      </c>
      <c r="E8812" s="4" t="s">
        <v>223</v>
      </c>
      <c r="J8812" s="3" t="s">
        <v>9032</v>
      </c>
      <c r="K8812" s="3" t="s">
        <v>223</v>
      </c>
    </row>
    <row r="8813" ht="15.6" spans="4:11">
      <c r="D8813" s="4">
        <v>9927</v>
      </c>
      <c r="E8813" s="4" t="s">
        <v>223</v>
      </c>
      <c r="J8813" s="3" t="s">
        <v>9033</v>
      </c>
      <c r="K8813" s="3" t="s">
        <v>223</v>
      </c>
    </row>
    <row r="8814" ht="15.6" spans="4:11">
      <c r="D8814" s="4">
        <v>9928</v>
      </c>
      <c r="E8814" s="4" t="s">
        <v>223</v>
      </c>
      <c r="J8814" s="3" t="s">
        <v>9034</v>
      </c>
      <c r="K8814" s="3" t="s">
        <v>223</v>
      </c>
    </row>
    <row r="8815" ht="15.6" spans="4:11">
      <c r="D8815" s="4">
        <v>9929</v>
      </c>
      <c r="E8815" s="4" t="s">
        <v>223</v>
      </c>
      <c r="J8815" s="3" t="s">
        <v>9035</v>
      </c>
      <c r="K8815" s="3" t="s">
        <v>223</v>
      </c>
    </row>
    <row r="8816" ht="15.6" spans="4:11">
      <c r="D8816" s="4">
        <v>9930</v>
      </c>
      <c r="E8816" s="4" t="s">
        <v>223</v>
      </c>
      <c r="J8816" s="3" t="s">
        <v>9036</v>
      </c>
      <c r="K8816" s="3" t="s">
        <v>223</v>
      </c>
    </row>
    <row r="8817" ht="15.6" spans="4:11">
      <c r="D8817" s="4">
        <v>9931</v>
      </c>
      <c r="E8817" s="4" t="s">
        <v>223</v>
      </c>
      <c r="J8817" s="3" t="s">
        <v>9037</v>
      </c>
      <c r="K8817" s="3" t="s">
        <v>223</v>
      </c>
    </row>
    <row r="8818" ht="15.6" spans="4:11">
      <c r="D8818" s="4">
        <v>9932</v>
      </c>
      <c r="E8818" s="4" t="s">
        <v>223</v>
      </c>
      <c r="J8818" s="3" t="s">
        <v>9038</v>
      </c>
      <c r="K8818" s="3" t="s">
        <v>223</v>
      </c>
    </row>
    <row r="8819" ht="15.6" spans="4:11">
      <c r="D8819" s="4">
        <v>9933</v>
      </c>
      <c r="E8819" s="4" t="s">
        <v>223</v>
      </c>
      <c r="J8819" s="3" t="s">
        <v>9039</v>
      </c>
      <c r="K8819" s="3" t="s">
        <v>223</v>
      </c>
    </row>
    <row r="8820" ht="15.6" spans="4:11">
      <c r="D8820" s="4">
        <v>9934</v>
      </c>
      <c r="E8820" s="4" t="s">
        <v>223</v>
      </c>
      <c r="J8820" s="3" t="s">
        <v>9040</v>
      </c>
      <c r="K8820" s="3" t="s">
        <v>223</v>
      </c>
    </row>
    <row r="8821" ht="15.6" spans="4:11">
      <c r="D8821" s="4">
        <v>9935</v>
      </c>
      <c r="E8821" s="4" t="s">
        <v>223</v>
      </c>
      <c r="J8821" s="3" t="s">
        <v>9041</v>
      </c>
      <c r="K8821" s="3" t="s">
        <v>223</v>
      </c>
    </row>
    <row r="8822" ht="15.6" spans="4:11">
      <c r="D8822" s="4">
        <v>9936</v>
      </c>
      <c r="E8822" s="4" t="s">
        <v>223</v>
      </c>
      <c r="J8822" s="3" t="s">
        <v>9042</v>
      </c>
      <c r="K8822" s="3" t="s">
        <v>223</v>
      </c>
    </row>
    <row r="8823" ht="15.6" spans="4:11">
      <c r="D8823" s="4">
        <v>9937</v>
      </c>
      <c r="E8823" s="4" t="s">
        <v>223</v>
      </c>
      <c r="J8823" s="3" t="s">
        <v>9043</v>
      </c>
      <c r="K8823" s="3" t="s">
        <v>223</v>
      </c>
    </row>
    <row r="8824" ht="15.6" spans="4:11">
      <c r="D8824" s="4">
        <v>9938</v>
      </c>
      <c r="E8824" s="4" t="s">
        <v>223</v>
      </c>
      <c r="J8824" s="3" t="s">
        <v>9044</v>
      </c>
      <c r="K8824" s="3" t="s">
        <v>223</v>
      </c>
    </row>
    <row r="8825" ht="15.6" spans="4:11">
      <c r="D8825" s="4">
        <v>9939</v>
      </c>
      <c r="E8825" s="4" t="s">
        <v>223</v>
      </c>
      <c r="J8825" s="3" t="s">
        <v>9045</v>
      </c>
      <c r="K8825" s="3" t="s">
        <v>223</v>
      </c>
    </row>
    <row r="8826" ht="15.6" spans="4:11">
      <c r="D8826" s="4">
        <v>9940</v>
      </c>
      <c r="E8826" s="4" t="s">
        <v>223</v>
      </c>
      <c r="J8826" s="3" t="s">
        <v>9046</v>
      </c>
      <c r="K8826" s="3" t="s">
        <v>223</v>
      </c>
    </row>
    <row r="8827" ht="15.6" spans="4:11">
      <c r="D8827" s="4">
        <v>9941</v>
      </c>
      <c r="E8827" s="4" t="s">
        <v>223</v>
      </c>
      <c r="J8827" s="3" t="s">
        <v>9047</v>
      </c>
      <c r="K8827" s="3" t="s">
        <v>223</v>
      </c>
    </row>
    <row r="8828" ht="15.6" spans="4:11">
      <c r="D8828" s="4">
        <v>9942</v>
      </c>
      <c r="E8828" s="4" t="s">
        <v>223</v>
      </c>
      <c r="J8828" s="3" t="s">
        <v>9048</v>
      </c>
      <c r="K8828" s="3" t="s">
        <v>223</v>
      </c>
    </row>
    <row r="8829" ht="15.6" spans="4:11">
      <c r="D8829" s="4">
        <v>9943</v>
      </c>
      <c r="E8829" s="4" t="s">
        <v>223</v>
      </c>
      <c r="J8829" s="3" t="s">
        <v>9049</v>
      </c>
      <c r="K8829" s="3" t="s">
        <v>223</v>
      </c>
    </row>
    <row r="8830" ht="15.6" spans="4:11">
      <c r="D8830" s="4">
        <v>9944</v>
      </c>
      <c r="E8830" s="4" t="s">
        <v>223</v>
      </c>
      <c r="J8830" s="3" t="s">
        <v>9050</v>
      </c>
      <c r="K8830" s="3" t="s">
        <v>223</v>
      </c>
    </row>
    <row r="8831" ht="15.6" spans="4:11">
      <c r="D8831" s="4">
        <v>9945</v>
      </c>
      <c r="E8831" s="4" t="s">
        <v>223</v>
      </c>
      <c r="J8831" s="3" t="s">
        <v>9051</v>
      </c>
      <c r="K8831" s="3" t="s">
        <v>223</v>
      </c>
    </row>
    <row r="8832" ht="15.6" spans="4:11">
      <c r="D8832" s="4">
        <v>9946</v>
      </c>
      <c r="E8832" s="4" t="s">
        <v>223</v>
      </c>
      <c r="J8832" s="3" t="s">
        <v>9052</v>
      </c>
      <c r="K8832" s="3" t="s">
        <v>223</v>
      </c>
    </row>
    <row r="8833" ht="15.6" spans="4:11">
      <c r="D8833" s="4">
        <v>9947</v>
      </c>
      <c r="E8833" s="4" t="s">
        <v>223</v>
      </c>
      <c r="J8833" s="3" t="s">
        <v>9053</v>
      </c>
      <c r="K8833" s="3" t="s">
        <v>223</v>
      </c>
    </row>
    <row r="8834" ht="15.6" spans="4:11">
      <c r="D8834" s="4">
        <v>9948</v>
      </c>
      <c r="E8834" s="4" t="s">
        <v>223</v>
      </c>
      <c r="J8834" s="3" t="s">
        <v>9054</v>
      </c>
      <c r="K8834" s="3" t="s">
        <v>223</v>
      </c>
    </row>
    <row r="8835" ht="15.6" spans="4:11">
      <c r="D8835" s="4">
        <v>9949</v>
      </c>
      <c r="E8835" s="4" t="s">
        <v>223</v>
      </c>
      <c r="J8835" s="3" t="s">
        <v>9055</v>
      </c>
      <c r="K8835" s="3" t="s">
        <v>223</v>
      </c>
    </row>
    <row r="8836" ht="15.6" spans="4:11">
      <c r="D8836" s="4">
        <v>9950</v>
      </c>
      <c r="E8836" s="4" t="s">
        <v>223</v>
      </c>
      <c r="J8836" s="3" t="s">
        <v>9056</v>
      </c>
      <c r="K8836" s="3" t="s">
        <v>223</v>
      </c>
    </row>
    <row r="8837" ht="15.6" spans="4:11">
      <c r="D8837" s="4">
        <v>9951</v>
      </c>
      <c r="E8837" s="4" t="s">
        <v>223</v>
      </c>
      <c r="J8837" s="3" t="s">
        <v>9057</v>
      </c>
      <c r="K8837" s="3" t="s">
        <v>223</v>
      </c>
    </row>
    <row r="8838" ht="15.6" spans="4:11">
      <c r="D8838" s="4">
        <v>9952</v>
      </c>
      <c r="E8838" s="4" t="s">
        <v>223</v>
      </c>
      <c r="J8838" s="3" t="s">
        <v>9058</v>
      </c>
      <c r="K8838" s="3" t="s">
        <v>223</v>
      </c>
    </row>
    <row r="8839" ht="15.6" spans="4:11">
      <c r="D8839" s="4">
        <v>9953</v>
      </c>
      <c r="E8839" s="4" t="s">
        <v>223</v>
      </c>
      <c r="J8839" s="3" t="s">
        <v>9059</v>
      </c>
      <c r="K8839" s="3" t="s">
        <v>223</v>
      </c>
    </row>
    <row r="8840" ht="15.6" spans="4:11">
      <c r="D8840" s="4">
        <v>9954</v>
      </c>
      <c r="E8840" s="4" t="s">
        <v>223</v>
      </c>
      <c r="J8840" s="3" t="s">
        <v>9060</v>
      </c>
      <c r="K8840" s="3" t="s">
        <v>223</v>
      </c>
    </row>
    <row r="8841" ht="15.6" spans="4:11">
      <c r="D8841" s="4">
        <v>9955</v>
      </c>
      <c r="E8841" s="4" t="s">
        <v>223</v>
      </c>
      <c r="J8841" s="3" t="s">
        <v>9061</v>
      </c>
      <c r="K8841" s="3" t="s">
        <v>223</v>
      </c>
    </row>
    <row r="8842" ht="15.6" spans="4:11">
      <c r="D8842" s="4">
        <v>9956</v>
      </c>
      <c r="E8842" s="4" t="s">
        <v>223</v>
      </c>
      <c r="J8842" s="3" t="s">
        <v>9062</v>
      </c>
      <c r="K8842" s="3" t="s">
        <v>223</v>
      </c>
    </row>
    <row r="8843" ht="15.6" spans="4:11">
      <c r="D8843" s="4">
        <v>9957</v>
      </c>
      <c r="E8843" s="4" t="s">
        <v>223</v>
      </c>
      <c r="J8843" s="3" t="s">
        <v>9063</v>
      </c>
      <c r="K8843" s="3" t="s">
        <v>223</v>
      </c>
    </row>
    <row r="8844" ht="15.6" spans="4:11">
      <c r="D8844" s="4">
        <v>9958</v>
      </c>
      <c r="E8844" s="4" t="s">
        <v>223</v>
      </c>
      <c r="J8844" s="3" t="s">
        <v>9064</v>
      </c>
      <c r="K8844" s="3" t="s">
        <v>223</v>
      </c>
    </row>
    <row r="8845" ht="15.6" spans="4:11">
      <c r="D8845" s="4">
        <v>9959</v>
      </c>
      <c r="E8845" s="4" t="s">
        <v>223</v>
      </c>
      <c r="J8845" s="3" t="s">
        <v>9065</v>
      </c>
      <c r="K8845" s="3" t="s">
        <v>223</v>
      </c>
    </row>
    <row r="8846" ht="15.6" spans="4:11">
      <c r="D8846" s="4">
        <v>9960</v>
      </c>
      <c r="E8846" s="4" t="s">
        <v>223</v>
      </c>
      <c r="J8846" s="3" t="s">
        <v>9066</v>
      </c>
      <c r="K8846" s="3" t="s">
        <v>223</v>
      </c>
    </row>
    <row r="8847" ht="15.6" spans="4:11">
      <c r="D8847" s="4">
        <v>9961</v>
      </c>
      <c r="E8847" s="4" t="s">
        <v>223</v>
      </c>
      <c r="J8847" s="3" t="s">
        <v>9067</v>
      </c>
      <c r="K8847" s="3" t="s">
        <v>223</v>
      </c>
    </row>
    <row r="8848" ht="15.6" spans="4:11">
      <c r="D8848" s="4">
        <v>9962</v>
      </c>
      <c r="E8848" s="4" t="s">
        <v>223</v>
      </c>
      <c r="J8848" s="3" t="s">
        <v>9068</v>
      </c>
      <c r="K8848" s="3" t="s">
        <v>223</v>
      </c>
    </row>
    <row r="8849" ht="15.6" spans="4:11">
      <c r="D8849" s="4">
        <v>9963</v>
      </c>
      <c r="E8849" s="4" t="s">
        <v>223</v>
      </c>
      <c r="J8849" s="3" t="s">
        <v>9069</v>
      </c>
      <c r="K8849" s="3" t="s">
        <v>223</v>
      </c>
    </row>
    <row r="8850" ht="15.6" spans="4:11">
      <c r="D8850" s="4">
        <v>9964</v>
      </c>
      <c r="E8850" s="4" t="s">
        <v>223</v>
      </c>
      <c r="J8850" s="3" t="s">
        <v>9070</v>
      </c>
      <c r="K8850" s="3" t="s">
        <v>223</v>
      </c>
    </row>
    <row r="8851" ht="15.6" spans="4:11">
      <c r="D8851" s="4">
        <v>9965</v>
      </c>
      <c r="E8851" s="4" t="s">
        <v>223</v>
      </c>
      <c r="J8851" s="3" t="s">
        <v>9071</v>
      </c>
      <c r="K8851" s="3" t="s">
        <v>223</v>
      </c>
    </row>
    <row r="8852" ht="15.6" spans="4:11">
      <c r="D8852" s="4">
        <v>9966</v>
      </c>
      <c r="E8852" s="4" t="s">
        <v>223</v>
      </c>
      <c r="J8852" s="3" t="s">
        <v>9072</v>
      </c>
      <c r="K8852" s="3" t="s">
        <v>223</v>
      </c>
    </row>
    <row r="8853" ht="15.6" spans="4:11">
      <c r="D8853" s="4">
        <v>9967</v>
      </c>
      <c r="E8853" s="4" t="s">
        <v>223</v>
      </c>
      <c r="J8853" s="3" t="s">
        <v>9073</v>
      </c>
      <c r="K8853" s="3" t="s">
        <v>223</v>
      </c>
    </row>
    <row r="8854" ht="15.6" spans="4:11">
      <c r="D8854" s="4">
        <v>9968</v>
      </c>
      <c r="E8854" s="4" t="s">
        <v>223</v>
      </c>
      <c r="J8854" s="3" t="s">
        <v>9074</v>
      </c>
      <c r="K8854" s="3" t="s">
        <v>223</v>
      </c>
    </row>
    <row r="8855" ht="15.6" spans="4:11">
      <c r="D8855" s="4">
        <v>9969</v>
      </c>
      <c r="E8855" s="4" t="s">
        <v>223</v>
      </c>
      <c r="J8855" s="3" t="s">
        <v>9075</v>
      </c>
      <c r="K8855" s="3" t="s">
        <v>223</v>
      </c>
    </row>
    <row r="8856" ht="15.6" spans="4:11">
      <c r="D8856" s="4">
        <v>9970</v>
      </c>
      <c r="E8856" s="4" t="s">
        <v>223</v>
      </c>
      <c r="J8856" s="3" t="s">
        <v>9076</v>
      </c>
      <c r="K8856" s="3" t="s">
        <v>223</v>
      </c>
    </row>
    <row r="8857" ht="15.6" spans="4:11">
      <c r="D8857" s="4">
        <v>9971</v>
      </c>
      <c r="E8857" s="4" t="s">
        <v>223</v>
      </c>
      <c r="J8857" s="3" t="s">
        <v>9077</v>
      </c>
      <c r="K8857" s="3" t="s">
        <v>223</v>
      </c>
    </row>
    <row r="8858" ht="15.6" spans="4:11">
      <c r="D8858" s="4">
        <v>9972</v>
      </c>
      <c r="E8858" s="4" t="s">
        <v>223</v>
      </c>
      <c r="J8858" s="3" t="s">
        <v>9078</v>
      </c>
      <c r="K8858" s="3" t="s">
        <v>223</v>
      </c>
    </row>
    <row r="8859" ht="15.6" spans="4:11">
      <c r="D8859" s="4">
        <v>9973</v>
      </c>
      <c r="E8859" s="4" t="s">
        <v>223</v>
      </c>
      <c r="J8859" s="3" t="s">
        <v>9079</v>
      </c>
      <c r="K8859" s="3" t="s">
        <v>223</v>
      </c>
    </row>
    <row r="8860" ht="15.6" spans="4:11">
      <c r="D8860" s="4">
        <v>9974</v>
      </c>
      <c r="E8860" s="4" t="s">
        <v>223</v>
      </c>
      <c r="J8860" s="3" t="s">
        <v>9080</v>
      </c>
      <c r="K8860" s="3" t="s">
        <v>223</v>
      </c>
    </row>
    <row r="8861" ht="15.6" spans="4:11">
      <c r="D8861" s="4">
        <v>9975</v>
      </c>
      <c r="E8861" s="4" t="s">
        <v>223</v>
      </c>
      <c r="J8861" s="3" t="s">
        <v>9081</v>
      </c>
      <c r="K8861" s="3" t="s">
        <v>223</v>
      </c>
    </row>
    <row r="8862" ht="15.6" spans="4:11">
      <c r="D8862" s="4">
        <v>9976</v>
      </c>
      <c r="E8862" s="4" t="s">
        <v>223</v>
      </c>
      <c r="J8862" s="3" t="s">
        <v>9082</v>
      </c>
      <c r="K8862" s="3" t="s">
        <v>223</v>
      </c>
    </row>
    <row r="8863" ht="15.6" spans="4:11">
      <c r="D8863" s="4">
        <v>9977</v>
      </c>
      <c r="E8863" s="4" t="s">
        <v>223</v>
      </c>
      <c r="J8863" s="3" t="s">
        <v>9083</v>
      </c>
      <c r="K8863" s="3" t="s">
        <v>223</v>
      </c>
    </row>
    <row r="8864" ht="15.6" spans="4:11">
      <c r="D8864" s="4">
        <v>9978</v>
      </c>
      <c r="E8864" s="4" t="s">
        <v>223</v>
      </c>
      <c r="J8864" s="3" t="s">
        <v>9084</v>
      </c>
      <c r="K8864" s="3" t="s">
        <v>223</v>
      </c>
    </row>
    <row r="8865" ht="15.6" spans="4:11">
      <c r="D8865" s="4">
        <v>9979</v>
      </c>
      <c r="E8865" s="4" t="s">
        <v>223</v>
      </c>
      <c r="J8865" s="3" t="s">
        <v>9085</v>
      </c>
      <c r="K8865" s="3" t="s">
        <v>223</v>
      </c>
    </row>
    <row r="8866" ht="15.6" spans="4:11">
      <c r="D8866" s="4">
        <v>9980</v>
      </c>
      <c r="E8866" s="4" t="s">
        <v>223</v>
      </c>
      <c r="J8866" s="3" t="s">
        <v>9086</v>
      </c>
      <c r="K8866" s="3" t="s">
        <v>223</v>
      </c>
    </row>
    <row r="8867" ht="15.6" spans="4:11">
      <c r="D8867" s="4">
        <v>9981</v>
      </c>
      <c r="E8867" s="4" t="s">
        <v>223</v>
      </c>
      <c r="J8867" s="3" t="s">
        <v>9087</v>
      </c>
      <c r="K8867" s="3" t="s">
        <v>223</v>
      </c>
    </row>
    <row r="8868" ht="15.6" spans="4:11">
      <c r="D8868" s="4">
        <v>9982</v>
      </c>
      <c r="E8868" s="4" t="s">
        <v>223</v>
      </c>
      <c r="J8868" s="3" t="s">
        <v>9088</v>
      </c>
      <c r="K8868" s="3" t="s">
        <v>223</v>
      </c>
    </row>
    <row r="8869" ht="15.6" spans="4:11">
      <c r="D8869" s="4">
        <v>9983</v>
      </c>
      <c r="E8869" s="4" t="s">
        <v>223</v>
      </c>
      <c r="J8869" s="3" t="s">
        <v>9089</v>
      </c>
      <c r="K8869" s="3" t="s">
        <v>223</v>
      </c>
    </row>
    <row r="8870" ht="15.6" spans="4:11">
      <c r="D8870" s="4">
        <v>9984</v>
      </c>
      <c r="E8870" s="4" t="s">
        <v>223</v>
      </c>
      <c r="J8870" s="3" t="s">
        <v>9090</v>
      </c>
      <c r="K8870" s="3" t="s">
        <v>223</v>
      </c>
    </row>
    <row r="8871" ht="15.6" spans="4:11">
      <c r="D8871" s="4">
        <v>9985</v>
      </c>
      <c r="E8871" s="4" t="s">
        <v>223</v>
      </c>
      <c r="J8871" s="3" t="s">
        <v>9091</v>
      </c>
      <c r="K8871" s="3" t="s">
        <v>223</v>
      </c>
    </row>
    <row r="8872" ht="15.6" spans="4:11">
      <c r="D8872" s="4">
        <v>9986</v>
      </c>
      <c r="E8872" s="4" t="s">
        <v>223</v>
      </c>
      <c r="J8872" s="3" t="s">
        <v>9092</v>
      </c>
      <c r="K8872" s="3" t="s">
        <v>223</v>
      </c>
    </row>
    <row r="8873" ht="15.6" spans="4:11">
      <c r="D8873" s="4">
        <v>9987</v>
      </c>
      <c r="E8873" s="4" t="s">
        <v>223</v>
      </c>
      <c r="J8873" s="3" t="s">
        <v>9093</v>
      </c>
      <c r="K8873" s="3" t="s">
        <v>223</v>
      </c>
    </row>
    <row r="8874" ht="15.6" spans="4:11">
      <c r="D8874" s="4">
        <v>9988</v>
      </c>
      <c r="E8874" s="4" t="s">
        <v>223</v>
      </c>
      <c r="J8874" s="3" t="s">
        <v>9094</v>
      </c>
      <c r="K8874" s="3" t="s">
        <v>223</v>
      </c>
    </row>
    <row r="8875" ht="15.6" spans="4:11">
      <c r="D8875" s="4">
        <v>9989</v>
      </c>
      <c r="E8875" s="4" t="s">
        <v>223</v>
      </c>
      <c r="J8875" s="3" t="s">
        <v>9095</v>
      </c>
      <c r="K8875" s="3" t="s">
        <v>223</v>
      </c>
    </row>
    <row r="8876" ht="15.6" spans="4:11">
      <c r="D8876" s="4">
        <v>9990</v>
      </c>
      <c r="E8876" s="4" t="s">
        <v>223</v>
      </c>
      <c r="J8876" s="3" t="s">
        <v>9096</v>
      </c>
      <c r="K8876" s="3" t="s">
        <v>223</v>
      </c>
    </row>
    <row r="8877" ht="15.6" spans="4:11">
      <c r="D8877" s="4">
        <v>9991</v>
      </c>
      <c r="E8877" s="4" t="s">
        <v>223</v>
      </c>
      <c r="J8877" s="3" t="s">
        <v>9097</v>
      </c>
      <c r="K8877" s="3" t="s">
        <v>223</v>
      </c>
    </row>
    <row r="8878" ht="15.6" spans="4:11">
      <c r="D8878" s="4">
        <v>9992</v>
      </c>
      <c r="E8878" s="4" t="s">
        <v>223</v>
      </c>
      <c r="J8878" s="3" t="s">
        <v>9098</v>
      </c>
      <c r="K8878" s="3" t="s">
        <v>223</v>
      </c>
    </row>
    <row r="8879" ht="15.6" spans="4:11">
      <c r="D8879" s="4">
        <v>9993</v>
      </c>
      <c r="E8879" s="4" t="s">
        <v>223</v>
      </c>
      <c r="J8879" s="3" t="s">
        <v>9099</v>
      </c>
      <c r="K8879" s="3" t="s">
        <v>223</v>
      </c>
    </row>
    <row r="8880" ht="15.6" spans="4:11">
      <c r="D8880" s="4">
        <v>9994</v>
      </c>
      <c r="E8880" s="4" t="s">
        <v>223</v>
      </c>
      <c r="J8880" s="3" t="s">
        <v>9100</v>
      </c>
      <c r="K8880" s="3" t="s">
        <v>223</v>
      </c>
    </row>
    <row r="8881" ht="15.6" spans="4:11">
      <c r="D8881" s="4">
        <v>9995</v>
      </c>
      <c r="E8881" s="4" t="s">
        <v>223</v>
      </c>
      <c r="J8881" s="3" t="s">
        <v>9101</v>
      </c>
      <c r="K8881" s="3" t="s">
        <v>223</v>
      </c>
    </row>
    <row r="8882" ht="15.6" spans="4:11">
      <c r="D8882" s="4">
        <v>9996</v>
      </c>
      <c r="E8882" s="4" t="s">
        <v>223</v>
      </c>
      <c r="J8882" s="3" t="s">
        <v>9102</v>
      </c>
      <c r="K8882" s="3" t="s">
        <v>223</v>
      </c>
    </row>
    <row r="8883" ht="15.6" spans="4:11">
      <c r="D8883" s="4">
        <v>9997</v>
      </c>
      <c r="E8883" s="4" t="s">
        <v>223</v>
      </c>
      <c r="J8883" s="3" t="s">
        <v>9103</v>
      </c>
      <c r="K8883" s="3" t="s">
        <v>223</v>
      </c>
    </row>
    <row r="8884" ht="15.6" spans="4:11">
      <c r="D8884" s="4">
        <v>9998</v>
      </c>
      <c r="E8884" s="4" t="s">
        <v>223</v>
      </c>
      <c r="J8884" s="3" t="s">
        <v>9104</v>
      </c>
      <c r="K8884" s="3" t="s">
        <v>223</v>
      </c>
    </row>
    <row r="8885" ht="15.6" spans="4:11">
      <c r="D8885" s="4" t="s">
        <v>5024</v>
      </c>
      <c r="E8885" s="4" t="s">
        <v>224</v>
      </c>
      <c r="J8885" s="3" t="s">
        <v>9105</v>
      </c>
      <c r="K8885" s="3" t="s">
        <v>223</v>
      </c>
    </row>
    <row r="8886" ht="15.6" spans="4:11">
      <c r="D8886" s="4" t="s">
        <v>5025</v>
      </c>
      <c r="E8886" s="4" t="s">
        <v>224</v>
      </c>
      <c r="J8886" s="3" t="s">
        <v>9106</v>
      </c>
      <c r="K8886" s="3" t="s">
        <v>223</v>
      </c>
    </row>
    <row r="8887" ht="15.6" spans="4:11">
      <c r="D8887" s="4" t="s">
        <v>5026</v>
      </c>
      <c r="E8887" s="4" t="s">
        <v>224</v>
      </c>
      <c r="J8887" s="3" t="s">
        <v>9107</v>
      </c>
      <c r="K8887" s="3" t="s">
        <v>223</v>
      </c>
    </row>
    <row r="8888" ht="15.6" spans="4:11">
      <c r="D8888" s="4" t="s">
        <v>5027</v>
      </c>
      <c r="E8888" s="4" t="s">
        <v>224</v>
      </c>
      <c r="J8888" s="3" t="s">
        <v>9108</v>
      </c>
      <c r="K8888" s="3" t="s">
        <v>223</v>
      </c>
    </row>
    <row r="8889" ht="15.6" spans="4:11">
      <c r="D8889" s="4" t="s">
        <v>5028</v>
      </c>
      <c r="E8889" s="4" t="s">
        <v>224</v>
      </c>
      <c r="J8889" s="3" t="s">
        <v>9109</v>
      </c>
      <c r="K8889" s="3" t="s">
        <v>223</v>
      </c>
    </row>
    <row r="8890" ht="15.6" spans="4:11">
      <c r="D8890" s="4" t="s">
        <v>5029</v>
      </c>
      <c r="E8890" s="4" t="s">
        <v>224</v>
      </c>
      <c r="J8890" s="3" t="s">
        <v>9110</v>
      </c>
      <c r="K8890" s="3" t="s">
        <v>223</v>
      </c>
    </row>
    <row r="8891" ht="15.6" spans="4:11">
      <c r="D8891" s="4" t="s">
        <v>5030</v>
      </c>
      <c r="E8891" s="4" t="s">
        <v>224</v>
      </c>
      <c r="J8891" s="3" t="s">
        <v>9111</v>
      </c>
      <c r="K8891" s="3" t="s">
        <v>223</v>
      </c>
    </row>
    <row r="8892" ht="15.6" spans="4:11">
      <c r="D8892" s="4" t="s">
        <v>5031</v>
      </c>
      <c r="E8892" s="4" t="s">
        <v>224</v>
      </c>
      <c r="J8892" s="3" t="s">
        <v>9112</v>
      </c>
      <c r="K8892" s="3" t="s">
        <v>223</v>
      </c>
    </row>
    <row r="8893" ht="15.6" spans="4:11">
      <c r="D8893" s="4" t="s">
        <v>5032</v>
      </c>
      <c r="E8893" s="4" t="s">
        <v>224</v>
      </c>
      <c r="J8893" s="3" t="s">
        <v>9113</v>
      </c>
      <c r="K8893" s="3" t="s">
        <v>223</v>
      </c>
    </row>
    <row r="8894" ht="15.6" spans="4:11">
      <c r="D8894" s="4" t="s">
        <v>5033</v>
      </c>
      <c r="E8894" s="4" t="s">
        <v>224</v>
      </c>
      <c r="J8894" s="3" t="s">
        <v>9114</v>
      </c>
      <c r="K8894" s="3" t="s">
        <v>223</v>
      </c>
    </row>
    <row r="8895" ht="15.6" spans="4:11">
      <c r="D8895" s="4" t="s">
        <v>5034</v>
      </c>
      <c r="E8895" s="4" t="s">
        <v>224</v>
      </c>
      <c r="J8895" s="3" t="s">
        <v>9115</v>
      </c>
      <c r="K8895" s="3" t="s">
        <v>223</v>
      </c>
    </row>
    <row r="8896" ht="15.6" spans="4:11">
      <c r="D8896" s="4" t="s">
        <v>5035</v>
      </c>
      <c r="E8896" s="4" t="s">
        <v>224</v>
      </c>
      <c r="J8896" s="3" t="s">
        <v>9116</v>
      </c>
      <c r="K8896" s="3" t="s">
        <v>223</v>
      </c>
    </row>
    <row r="8897" ht="15.6" spans="4:11">
      <c r="D8897" s="4" t="s">
        <v>5036</v>
      </c>
      <c r="E8897" s="4" t="s">
        <v>224</v>
      </c>
      <c r="J8897" s="3" t="s">
        <v>9117</v>
      </c>
      <c r="K8897" s="3" t="s">
        <v>223</v>
      </c>
    </row>
    <row r="8898" ht="15.6" spans="4:11">
      <c r="D8898" s="4" t="s">
        <v>5037</v>
      </c>
      <c r="E8898" s="4" t="s">
        <v>224</v>
      </c>
      <c r="J8898" s="3" t="s">
        <v>9118</v>
      </c>
      <c r="K8898" s="3" t="s">
        <v>223</v>
      </c>
    </row>
    <row r="8899" ht="15.6" spans="4:11">
      <c r="D8899" s="4" t="s">
        <v>5038</v>
      </c>
      <c r="E8899" s="4" t="s">
        <v>224</v>
      </c>
      <c r="J8899" s="3" t="s">
        <v>9119</v>
      </c>
      <c r="K8899" s="3" t="s">
        <v>223</v>
      </c>
    </row>
    <row r="8900" ht="15.6" spans="4:11">
      <c r="D8900" s="4" t="s">
        <v>5039</v>
      </c>
      <c r="E8900" s="4" t="s">
        <v>224</v>
      </c>
      <c r="J8900" s="3" t="s">
        <v>9120</v>
      </c>
      <c r="K8900" s="3" t="s">
        <v>223</v>
      </c>
    </row>
    <row r="8901" ht="15.6" spans="4:11">
      <c r="D8901" s="4" t="s">
        <v>5040</v>
      </c>
      <c r="E8901" s="4" t="s">
        <v>224</v>
      </c>
      <c r="J8901" s="3" t="s">
        <v>9121</v>
      </c>
      <c r="K8901" s="3" t="s">
        <v>223</v>
      </c>
    </row>
    <row r="8902" ht="15.6" spans="4:11">
      <c r="D8902" s="4" t="s">
        <v>5041</v>
      </c>
      <c r="E8902" s="4" t="s">
        <v>224</v>
      </c>
      <c r="J8902" s="3" t="s">
        <v>9122</v>
      </c>
      <c r="K8902" s="3" t="s">
        <v>223</v>
      </c>
    </row>
    <row r="8903" ht="15.6" spans="4:11">
      <c r="D8903" s="4" t="s">
        <v>5042</v>
      </c>
      <c r="E8903" s="4" t="s">
        <v>224</v>
      </c>
      <c r="J8903" s="3" t="s">
        <v>9123</v>
      </c>
      <c r="K8903" s="3" t="s">
        <v>223</v>
      </c>
    </row>
    <row r="8904" ht="15.6" spans="4:11">
      <c r="D8904" s="4" t="s">
        <v>5043</v>
      </c>
      <c r="E8904" s="4" t="s">
        <v>224</v>
      </c>
      <c r="J8904" s="3" t="s">
        <v>9124</v>
      </c>
      <c r="K8904" s="3" t="s">
        <v>223</v>
      </c>
    </row>
    <row r="8905" ht="15.6" spans="4:11">
      <c r="D8905" s="4" t="s">
        <v>5044</v>
      </c>
      <c r="E8905" s="4" t="s">
        <v>224</v>
      </c>
      <c r="J8905" s="3" t="s">
        <v>9125</v>
      </c>
      <c r="K8905" s="3" t="s">
        <v>223</v>
      </c>
    </row>
    <row r="8906" ht="15.6" spans="4:11">
      <c r="D8906" s="4" t="s">
        <v>5045</v>
      </c>
      <c r="E8906" s="4" t="s">
        <v>224</v>
      </c>
      <c r="J8906" s="3" t="s">
        <v>9126</v>
      </c>
      <c r="K8906" s="3" t="s">
        <v>223</v>
      </c>
    </row>
    <row r="8907" ht="15.6" spans="4:11">
      <c r="D8907" s="4" t="s">
        <v>5046</v>
      </c>
      <c r="E8907" s="4" t="s">
        <v>224</v>
      </c>
      <c r="J8907" s="3" t="s">
        <v>9127</v>
      </c>
      <c r="K8907" s="3" t="s">
        <v>223</v>
      </c>
    </row>
    <row r="8908" ht="15.6" spans="4:11">
      <c r="D8908" s="4" t="s">
        <v>5047</v>
      </c>
      <c r="E8908" s="4" t="s">
        <v>224</v>
      </c>
      <c r="J8908" s="3" t="s">
        <v>9128</v>
      </c>
      <c r="K8908" s="3" t="s">
        <v>223</v>
      </c>
    </row>
    <row r="8909" ht="15.6" spans="4:11">
      <c r="D8909" s="4" t="s">
        <v>5048</v>
      </c>
      <c r="E8909" s="4" t="s">
        <v>224</v>
      </c>
      <c r="J8909" s="3" t="s">
        <v>9129</v>
      </c>
      <c r="K8909" s="3" t="s">
        <v>223</v>
      </c>
    </row>
    <row r="8910" ht="15.6" spans="4:11">
      <c r="D8910" s="4" t="s">
        <v>5049</v>
      </c>
      <c r="E8910" s="4" t="s">
        <v>224</v>
      </c>
      <c r="J8910" s="3" t="s">
        <v>9130</v>
      </c>
      <c r="K8910" s="3" t="s">
        <v>223</v>
      </c>
    </row>
    <row r="8911" ht="15.6" spans="4:11">
      <c r="D8911" s="4" t="s">
        <v>5050</v>
      </c>
      <c r="E8911" s="4" t="s">
        <v>224</v>
      </c>
      <c r="J8911" s="3" t="s">
        <v>9131</v>
      </c>
      <c r="K8911" s="3" t="s">
        <v>223</v>
      </c>
    </row>
    <row r="8912" ht="15.6" spans="4:11">
      <c r="D8912" s="4" t="s">
        <v>5051</v>
      </c>
      <c r="E8912" s="4" t="s">
        <v>224</v>
      </c>
      <c r="J8912" s="3" t="s">
        <v>9132</v>
      </c>
      <c r="K8912" s="3" t="s">
        <v>223</v>
      </c>
    </row>
    <row r="8913" ht="15.6" spans="4:11">
      <c r="D8913" s="4" t="s">
        <v>5052</v>
      </c>
      <c r="E8913" s="4" t="s">
        <v>224</v>
      </c>
      <c r="J8913" s="3" t="s">
        <v>9133</v>
      </c>
      <c r="K8913" s="3" t="s">
        <v>223</v>
      </c>
    </row>
    <row r="8914" ht="15.6" spans="4:11">
      <c r="D8914" s="4" t="s">
        <v>5053</v>
      </c>
      <c r="E8914" s="4" t="s">
        <v>224</v>
      </c>
      <c r="J8914" s="3" t="s">
        <v>9134</v>
      </c>
      <c r="K8914" s="3" t="s">
        <v>223</v>
      </c>
    </row>
    <row r="8915" ht="15.6" spans="4:11">
      <c r="D8915" s="4" t="s">
        <v>5054</v>
      </c>
      <c r="E8915" s="4" t="s">
        <v>224</v>
      </c>
      <c r="J8915" s="3" t="s">
        <v>9135</v>
      </c>
      <c r="K8915" s="3" t="s">
        <v>223</v>
      </c>
    </row>
    <row r="8916" ht="15.6" spans="4:11">
      <c r="D8916" s="4" t="s">
        <v>5055</v>
      </c>
      <c r="E8916" s="4" t="s">
        <v>224</v>
      </c>
      <c r="J8916" s="3" t="s">
        <v>9136</v>
      </c>
      <c r="K8916" s="3" t="s">
        <v>223</v>
      </c>
    </row>
    <row r="8917" ht="15.6" spans="4:11">
      <c r="D8917" s="4" t="s">
        <v>5056</v>
      </c>
      <c r="E8917" s="4" t="s">
        <v>224</v>
      </c>
      <c r="J8917" s="3" t="s">
        <v>9137</v>
      </c>
      <c r="K8917" s="3" t="s">
        <v>223</v>
      </c>
    </row>
    <row r="8918" ht="15.6" spans="4:11">
      <c r="D8918" s="4" t="s">
        <v>5057</v>
      </c>
      <c r="E8918" s="4" t="s">
        <v>224</v>
      </c>
      <c r="J8918" s="3" t="s">
        <v>9138</v>
      </c>
      <c r="K8918" s="3" t="s">
        <v>223</v>
      </c>
    </row>
    <row r="8919" ht="15.6" spans="4:11">
      <c r="D8919" s="4" t="s">
        <v>5058</v>
      </c>
      <c r="E8919" s="4" t="s">
        <v>224</v>
      </c>
      <c r="J8919" s="3" t="s">
        <v>9139</v>
      </c>
      <c r="K8919" s="3" t="s">
        <v>223</v>
      </c>
    </row>
    <row r="8920" ht="15.6" spans="4:11">
      <c r="D8920" s="4" t="s">
        <v>5059</v>
      </c>
      <c r="E8920" s="4" t="s">
        <v>224</v>
      </c>
      <c r="J8920" s="3" t="s">
        <v>9140</v>
      </c>
      <c r="K8920" s="3" t="s">
        <v>223</v>
      </c>
    </row>
    <row r="8921" ht="15.6" spans="4:11">
      <c r="D8921" s="4" t="s">
        <v>5060</v>
      </c>
      <c r="E8921" s="4" t="s">
        <v>224</v>
      </c>
      <c r="J8921" s="3" t="s">
        <v>9141</v>
      </c>
      <c r="K8921" s="3" t="s">
        <v>223</v>
      </c>
    </row>
    <row r="8922" ht="15.6" spans="4:11">
      <c r="D8922" s="4" t="s">
        <v>5061</v>
      </c>
      <c r="E8922" s="4" t="s">
        <v>224</v>
      </c>
      <c r="J8922" s="3" t="s">
        <v>9142</v>
      </c>
      <c r="K8922" s="3" t="s">
        <v>223</v>
      </c>
    </row>
    <row r="8923" ht="15.6" spans="4:11">
      <c r="D8923" s="4" t="s">
        <v>5062</v>
      </c>
      <c r="E8923" s="4" t="s">
        <v>224</v>
      </c>
      <c r="J8923" s="3" t="s">
        <v>9143</v>
      </c>
      <c r="K8923" s="3" t="s">
        <v>223</v>
      </c>
    </row>
    <row r="8924" ht="15.6" spans="4:11">
      <c r="D8924" s="4" t="s">
        <v>5063</v>
      </c>
      <c r="E8924" s="4" t="s">
        <v>224</v>
      </c>
      <c r="J8924" s="3" t="s">
        <v>9144</v>
      </c>
      <c r="K8924" s="3" t="s">
        <v>223</v>
      </c>
    </row>
    <row r="8925" ht="15.6" spans="4:11">
      <c r="D8925" s="4" t="s">
        <v>5064</v>
      </c>
      <c r="E8925" s="4" t="s">
        <v>224</v>
      </c>
      <c r="J8925" s="3" t="s">
        <v>9145</v>
      </c>
      <c r="K8925" s="3" t="s">
        <v>223</v>
      </c>
    </row>
    <row r="8926" ht="15.6" spans="4:11">
      <c r="D8926" s="4" t="s">
        <v>5065</v>
      </c>
      <c r="E8926" s="4" t="s">
        <v>224</v>
      </c>
      <c r="J8926" s="3" t="s">
        <v>9146</v>
      </c>
      <c r="K8926" s="3" t="s">
        <v>223</v>
      </c>
    </row>
    <row r="8927" ht="15.6" spans="4:11">
      <c r="D8927" s="4" t="s">
        <v>5066</v>
      </c>
      <c r="E8927" s="4" t="s">
        <v>224</v>
      </c>
      <c r="J8927" s="3" t="s">
        <v>9147</v>
      </c>
      <c r="K8927" s="3" t="s">
        <v>223</v>
      </c>
    </row>
    <row r="8928" ht="15.6" spans="4:11">
      <c r="D8928" s="4" t="s">
        <v>5067</v>
      </c>
      <c r="E8928" s="4" t="s">
        <v>224</v>
      </c>
      <c r="J8928" s="3" t="s">
        <v>9148</v>
      </c>
      <c r="K8928" s="3" t="s">
        <v>223</v>
      </c>
    </row>
    <row r="8929" ht="15.6" spans="4:11">
      <c r="D8929" s="4" t="s">
        <v>5068</v>
      </c>
      <c r="E8929" s="4" t="s">
        <v>224</v>
      </c>
      <c r="J8929" s="3" t="s">
        <v>9149</v>
      </c>
      <c r="K8929" s="3" t="s">
        <v>223</v>
      </c>
    </row>
    <row r="8930" ht="15.6" spans="4:11">
      <c r="D8930" s="4" t="s">
        <v>5069</v>
      </c>
      <c r="E8930" s="4" t="s">
        <v>224</v>
      </c>
      <c r="J8930" s="3" t="s">
        <v>9150</v>
      </c>
      <c r="K8930" s="3" t="s">
        <v>223</v>
      </c>
    </row>
    <row r="8931" ht="15.6" spans="4:11">
      <c r="D8931" s="4" t="s">
        <v>5070</v>
      </c>
      <c r="E8931" s="4" t="s">
        <v>224</v>
      </c>
      <c r="J8931" s="3" t="s">
        <v>9151</v>
      </c>
      <c r="K8931" s="3" t="s">
        <v>223</v>
      </c>
    </row>
    <row r="8932" ht="15.6" spans="4:11">
      <c r="D8932" s="4" t="s">
        <v>5071</v>
      </c>
      <c r="E8932" s="4" t="s">
        <v>224</v>
      </c>
      <c r="J8932" s="3" t="s">
        <v>9152</v>
      </c>
      <c r="K8932" s="3" t="s">
        <v>223</v>
      </c>
    </row>
    <row r="8933" ht="15.6" spans="4:11">
      <c r="D8933" s="4" t="s">
        <v>5072</v>
      </c>
      <c r="E8933" s="4" t="s">
        <v>224</v>
      </c>
      <c r="J8933" s="3" t="s">
        <v>9153</v>
      </c>
      <c r="K8933" s="3" t="s">
        <v>223</v>
      </c>
    </row>
    <row r="8934" ht="15.6" spans="4:11">
      <c r="D8934" s="4" t="s">
        <v>5073</v>
      </c>
      <c r="E8934" s="4" t="s">
        <v>224</v>
      </c>
      <c r="J8934" s="3" t="s">
        <v>9154</v>
      </c>
      <c r="K8934" s="3" t="s">
        <v>223</v>
      </c>
    </row>
    <row r="8935" ht="15.6" spans="4:11">
      <c r="D8935" s="4" t="s">
        <v>5074</v>
      </c>
      <c r="E8935" s="4" t="s">
        <v>224</v>
      </c>
      <c r="J8935" s="3" t="s">
        <v>9155</v>
      </c>
      <c r="K8935" s="3" t="s">
        <v>223</v>
      </c>
    </row>
    <row r="8936" ht="15.6" spans="4:11">
      <c r="D8936" s="4" t="s">
        <v>5075</v>
      </c>
      <c r="E8936" s="4" t="s">
        <v>224</v>
      </c>
      <c r="J8936" s="3" t="s">
        <v>9156</v>
      </c>
      <c r="K8936" s="3" t="s">
        <v>223</v>
      </c>
    </row>
    <row r="8937" ht="15.6" spans="4:11">
      <c r="D8937" s="4" t="s">
        <v>5076</v>
      </c>
      <c r="E8937" s="4" t="s">
        <v>224</v>
      </c>
      <c r="J8937" s="3" t="s">
        <v>9157</v>
      </c>
      <c r="K8937" s="3" t="s">
        <v>223</v>
      </c>
    </row>
    <row r="8938" ht="15.6" spans="4:11">
      <c r="D8938" s="4" t="s">
        <v>5077</v>
      </c>
      <c r="E8938" s="4" t="s">
        <v>224</v>
      </c>
      <c r="J8938" s="3" t="s">
        <v>9158</v>
      </c>
      <c r="K8938" s="3" t="s">
        <v>223</v>
      </c>
    </row>
    <row r="8939" ht="15.6" spans="4:11">
      <c r="D8939" s="4" t="s">
        <v>5078</v>
      </c>
      <c r="E8939" s="4" t="s">
        <v>224</v>
      </c>
      <c r="J8939" s="3" t="s">
        <v>9159</v>
      </c>
      <c r="K8939" s="3" t="s">
        <v>223</v>
      </c>
    </row>
    <row r="8940" ht="15.6" spans="4:11">
      <c r="D8940" s="4" t="s">
        <v>5079</v>
      </c>
      <c r="E8940" s="4" t="s">
        <v>224</v>
      </c>
      <c r="J8940" s="3" t="s">
        <v>9160</v>
      </c>
      <c r="K8940" s="3" t="s">
        <v>223</v>
      </c>
    </row>
    <row r="8941" ht="15.6" spans="4:11">
      <c r="D8941" s="4" t="s">
        <v>5080</v>
      </c>
      <c r="E8941" s="4" t="s">
        <v>224</v>
      </c>
      <c r="J8941" s="3" t="s">
        <v>9161</v>
      </c>
      <c r="K8941" s="3" t="s">
        <v>223</v>
      </c>
    </row>
    <row r="8942" ht="15.6" spans="4:11">
      <c r="D8942" s="4" t="s">
        <v>5081</v>
      </c>
      <c r="E8942" s="4" t="s">
        <v>224</v>
      </c>
      <c r="J8942" s="3" t="s">
        <v>9162</v>
      </c>
      <c r="K8942" s="3" t="s">
        <v>223</v>
      </c>
    </row>
    <row r="8943" ht="15.6" spans="4:11">
      <c r="D8943" s="4" t="s">
        <v>5082</v>
      </c>
      <c r="E8943" s="4" t="s">
        <v>224</v>
      </c>
      <c r="J8943" s="3" t="s">
        <v>9163</v>
      </c>
      <c r="K8943" s="3" t="s">
        <v>223</v>
      </c>
    </row>
    <row r="8944" ht="15.6" spans="4:11">
      <c r="D8944" s="4" t="s">
        <v>5083</v>
      </c>
      <c r="E8944" s="4" t="s">
        <v>224</v>
      </c>
      <c r="J8944" s="3" t="s">
        <v>9164</v>
      </c>
      <c r="K8944" s="3" t="s">
        <v>223</v>
      </c>
    </row>
    <row r="8945" ht="15.6" spans="4:11">
      <c r="D8945" s="4" t="s">
        <v>5084</v>
      </c>
      <c r="E8945" s="4" t="s">
        <v>224</v>
      </c>
      <c r="J8945" s="3" t="s">
        <v>9165</v>
      </c>
      <c r="K8945" s="3" t="s">
        <v>223</v>
      </c>
    </row>
    <row r="8946" ht="15.6" spans="4:11">
      <c r="D8946" s="4" t="s">
        <v>5085</v>
      </c>
      <c r="E8946" s="4" t="s">
        <v>224</v>
      </c>
      <c r="J8946" s="3" t="s">
        <v>9166</v>
      </c>
      <c r="K8946" s="3" t="s">
        <v>223</v>
      </c>
    </row>
    <row r="8947" ht="15.6" spans="4:11">
      <c r="D8947" s="4" t="s">
        <v>5086</v>
      </c>
      <c r="E8947" s="4" t="s">
        <v>224</v>
      </c>
      <c r="J8947" s="3" t="s">
        <v>9167</v>
      </c>
      <c r="K8947" s="3" t="s">
        <v>223</v>
      </c>
    </row>
    <row r="8948" ht="15.6" spans="4:11">
      <c r="D8948" s="4" t="s">
        <v>5087</v>
      </c>
      <c r="E8948" s="4" t="s">
        <v>224</v>
      </c>
      <c r="J8948" s="3" t="s">
        <v>9168</v>
      </c>
      <c r="K8948" s="3" t="s">
        <v>223</v>
      </c>
    </row>
    <row r="8949" ht="15.6" spans="4:11">
      <c r="D8949" s="4" t="s">
        <v>5088</v>
      </c>
      <c r="E8949" s="4" t="s">
        <v>224</v>
      </c>
      <c r="J8949" s="3" t="s">
        <v>9169</v>
      </c>
      <c r="K8949" s="3" t="s">
        <v>223</v>
      </c>
    </row>
    <row r="8950" ht="15.6" spans="4:11">
      <c r="D8950" s="4" t="s">
        <v>5089</v>
      </c>
      <c r="E8950" s="4" t="s">
        <v>224</v>
      </c>
      <c r="J8950" s="3" t="s">
        <v>9170</v>
      </c>
      <c r="K8950" s="3" t="s">
        <v>223</v>
      </c>
    </row>
    <row r="8951" ht="15.6" spans="4:11">
      <c r="D8951" s="4" t="s">
        <v>5090</v>
      </c>
      <c r="E8951" s="4" t="s">
        <v>224</v>
      </c>
      <c r="J8951" s="3" t="s">
        <v>9171</v>
      </c>
      <c r="K8951" s="3" t="s">
        <v>223</v>
      </c>
    </row>
    <row r="8952" ht="15.6" spans="4:11">
      <c r="D8952" s="4" t="s">
        <v>5091</v>
      </c>
      <c r="E8952" s="4" t="s">
        <v>224</v>
      </c>
      <c r="J8952" s="3" t="s">
        <v>9172</v>
      </c>
      <c r="K8952" s="3" t="s">
        <v>223</v>
      </c>
    </row>
    <row r="8953" ht="15.6" spans="4:11">
      <c r="D8953" s="4" t="s">
        <v>5092</v>
      </c>
      <c r="E8953" s="4" t="s">
        <v>224</v>
      </c>
      <c r="J8953" s="3" t="s">
        <v>9173</v>
      </c>
      <c r="K8953" s="3" t="s">
        <v>223</v>
      </c>
    </row>
    <row r="8954" ht="15.6" spans="4:11">
      <c r="D8954" s="4" t="s">
        <v>5093</v>
      </c>
      <c r="E8954" s="4" t="s">
        <v>224</v>
      </c>
      <c r="J8954" s="3" t="s">
        <v>9174</v>
      </c>
      <c r="K8954" s="3" t="s">
        <v>223</v>
      </c>
    </row>
    <row r="8955" ht="15.6" spans="4:11">
      <c r="D8955" s="4" t="s">
        <v>5094</v>
      </c>
      <c r="E8955" s="4" t="s">
        <v>224</v>
      </c>
      <c r="J8955" s="3" t="s">
        <v>9175</v>
      </c>
      <c r="K8955" s="3" t="s">
        <v>223</v>
      </c>
    </row>
    <row r="8956" ht="15.6" spans="4:11">
      <c r="D8956" s="4" t="s">
        <v>5095</v>
      </c>
      <c r="E8956" s="4" t="s">
        <v>224</v>
      </c>
      <c r="J8956" s="3" t="s">
        <v>9176</v>
      </c>
      <c r="K8956" s="3" t="s">
        <v>223</v>
      </c>
    </row>
    <row r="8957" ht="15.6" spans="4:11">
      <c r="D8957" s="4" t="s">
        <v>5096</v>
      </c>
      <c r="E8957" s="4" t="s">
        <v>224</v>
      </c>
      <c r="J8957" s="3" t="s">
        <v>9177</v>
      </c>
      <c r="K8957" s="3" t="s">
        <v>223</v>
      </c>
    </row>
    <row r="8958" ht="15.6" spans="4:11">
      <c r="D8958" s="4" t="s">
        <v>5097</v>
      </c>
      <c r="E8958" s="4" t="s">
        <v>224</v>
      </c>
      <c r="J8958" s="3" t="s">
        <v>9178</v>
      </c>
      <c r="K8958" s="3" t="s">
        <v>223</v>
      </c>
    </row>
    <row r="8959" ht="15.6" spans="4:11">
      <c r="D8959" s="4" t="s">
        <v>5098</v>
      </c>
      <c r="E8959" s="4" t="s">
        <v>224</v>
      </c>
      <c r="J8959" s="3" t="s">
        <v>9179</v>
      </c>
      <c r="K8959" s="3" t="s">
        <v>223</v>
      </c>
    </row>
    <row r="8960" ht="15.6" spans="4:11">
      <c r="D8960" s="4" t="s">
        <v>5099</v>
      </c>
      <c r="E8960" s="4" t="s">
        <v>224</v>
      </c>
      <c r="J8960" s="3" t="s">
        <v>9180</v>
      </c>
      <c r="K8960" s="3" t="s">
        <v>223</v>
      </c>
    </row>
    <row r="8961" ht="15.6" spans="4:11">
      <c r="D8961" s="4" t="s">
        <v>5100</v>
      </c>
      <c r="E8961" s="4" t="s">
        <v>224</v>
      </c>
      <c r="J8961" s="3" t="s">
        <v>9181</v>
      </c>
      <c r="K8961" s="3" t="s">
        <v>223</v>
      </c>
    </row>
    <row r="8962" ht="15.6" spans="4:11">
      <c r="D8962" s="4" t="s">
        <v>5101</v>
      </c>
      <c r="E8962" s="4" t="s">
        <v>224</v>
      </c>
      <c r="J8962" s="3" t="s">
        <v>9182</v>
      </c>
      <c r="K8962" s="3" t="s">
        <v>223</v>
      </c>
    </row>
    <row r="8963" ht="15.6" spans="4:11">
      <c r="D8963" s="4" t="s">
        <v>5102</v>
      </c>
      <c r="E8963" s="4" t="s">
        <v>224</v>
      </c>
      <c r="J8963" s="3" t="s">
        <v>9183</v>
      </c>
      <c r="K8963" s="3" t="s">
        <v>223</v>
      </c>
    </row>
    <row r="8964" ht="15.6" spans="4:11">
      <c r="D8964" s="4" t="s">
        <v>5103</v>
      </c>
      <c r="E8964" s="4" t="s">
        <v>224</v>
      </c>
      <c r="J8964" s="3" t="s">
        <v>9184</v>
      </c>
      <c r="K8964" s="3" t="s">
        <v>223</v>
      </c>
    </row>
    <row r="8965" ht="15.6" spans="4:11">
      <c r="D8965" s="4" t="s">
        <v>5104</v>
      </c>
      <c r="E8965" s="4" t="s">
        <v>224</v>
      </c>
      <c r="J8965" s="3" t="s">
        <v>9185</v>
      </c>
      <c r="K8965" s="3" t="s">
        <v>223</v>
      </c>
    </row>
    <row r="8966" ht="15.6" spans="4:11">
      <c r="D8966" s="4" t="s">
        <v>5105</v>
      </c>
      <c r="E8966" s="4" t="s">
        <v>224</v>
      </c>
      <c r="J8966" s="3" t="s">
        <v>9186</v>
      </c>
      <c r="K8966" s="3" t="s">
        <v>223</v>
      </c>
    </row>
    <row r="8967" ht="15.6" spans="4:11">
      <c r="D8967" s="4" t="s">
        <v>5106</v>
      </c>
      <c r="E8967" s="4" t="s">
        <v>224</v>
      </c>
      <c r="J8967" s="3" t="s">
        <v>9187</v>
      </c>
      <c r="K8967" s="3" t="s">
        <v>223</v>
      </c>
    </row>
    <row r="8968" ht="15.6" spans="4:11">
      <c r="D8968" s="4" t="s">
        <v>5107</v>
      </c>
      <c r="E8968" s="4" t="s">
        <v>224</v>
      </c>
      <c r="J8968" s="3" t="s">
        <v>9188</v>
      </c>
      <c r="K8968" s="3" t="s">
        <v>223</v>
      </c>
    </row>
    <row r="8969" ht="15.6" spans="4:11">
      <c r="D8969" s="4" t="s">
        <v>5108</v>
      </c>
      <c r="E8969" s="4" t="s">
        <v>224</v>
      </c>
      <c r="J8969" s="3" t="s">
        <v>9189</v>
      </c>
      <c r="K8969" s="3" t="s">
        <v>223</v>
      </c>
    </row>
    <row r="8970" ht="15.6" spans="4:11">
      <c r="D8970" s="4" t="s">
        <v>5109</v>
      </c>
      <c r="E8970" s="4" t="s">
        <v>224</v>
      </c>
      <c r="J8970" s="3" t="s">
        <v>9190</v>
      </c>
      <c r="K8970" s="3" t="s">
        <v>223</v>
      </c>
    </row>
    <row r="8971" ht="15.6" spans="4:11">
      <c r="D8971" s="4" t="s">
        <v>5110</v>
      </c>
      <c r="E8971" s="4" t="s">
        <v>224</v>
      </c>
      <c r="J8971" s="3" t="s">
        <v>9191</v>
      </c>
      <c r="K8971" s="3" t="s">
        <v>223</v>
      </c>
    </row>
    <row r="8972" ht="15.6" spans="4:11">
      <c r="D8972" s="4" t="s">
        <v>5111</v>
      </c>
      <c r="E8972" s="4" t="s">
        <v>224</v>
      </c>
      <c r="J8972" s="3" t="s">
        <v>9192</v>
      </c>
      <c r="K8972" s="3" t="s">
        <v>223</v>
      </c>
    </row>
    <row r="8973" ht="15.6" spans="4:11">
      <c r="D8973" s="4" t="s">
        <v>5112</v>
      </c>
      <c r="E8973" s="4" t="s">
        <v>224</v>
      </c>
      <c r="J8973" s="3" t="s">
        <v>9193</v>
      </c>
      <c r="K8973" s="3" t="s">
        <v>223</v>
      </c>
    </row>
    <row r="8974" ht="15.6" spans="4:11">
      <c r="D8974" s="4" t="s">
        <v>5113</v>
      </c>
      <c r="E8974" s="4" t="s">
        <v>224</v>
      </c>
      <c r="J8974" s="3" t="s">
        <v>9194</v>
      </c>
      <c r="K8974" s="3" t="s">
        <v>223</v>
      </c>
    </row>
    <row r="8975" ht="15.6" spans="4:11">
      <c r="D8975" s="4" t="s">
        <v>5114</v>
      </c>
      <c r="E8975" s="4" t="s">
        <v>224</v>
      </c>
      <c r="J8975" s="3" t="s">
        <v>9195</v>
      </c>
      <c r="K8975" s="3" t="s">
        <v>223</v>
      </c>
    </row>
    <row r="8976" ht="15.6" spans="4:11">
      <c r="D8976" s="4" t="s">
        <v>5115</v>
      </c>
      <c r="E8976" s="4" t="s">
        <v>224</v>
      </c>
      <c r="J8976" s="3" t="s">
        <v>9196</v>
      </c>
      <c r="K8976" s="3" t="s">
        <v>223</v>
      </c>
    </row>
    <row r="8977" ht="15.6" spans="4:11">
      <c r="D8977" s="4" t="s">
        <v>5116</v>
      </c>
      <c r="E8977" s="4" t="s">
        <v>224</v>
      </c>
      <c r="J8977" s="3" t="s">
        <v>9197</v>
      </c>
      <c r="K8977" s="3" t="s">
        <v>223</v>
      </c>
    </row>
    <row r="8978" ht="15.6" spans="4:11">
      <c r="D8978" s="4" t="s">
        <v>5117</v>
      </c>
      <c r="E8978" s="4" t="s">
        <v>224</v>
      </c>
      <c r="J8978" s="3" t="s">
        <v>9198</v>
      </c>
      <c r="K8978" s="3" t="s">
        <v>223</v>
      </c>
    </row>
    <row r="8979" ht="15.6" spans="4:11">
      <c r="D8979" s="4" t="s">
        <v>5118</v>
      </c>
      <c r="E8979" s="4" t="s">
        <v>224</v>
      </c>
      <c r="J8979" s="3" t="s">
        <v>9199</v>
      </c>
      <c r="K8979" s="3" t="s">
        <v>223</v>
      </c>
    </row>
    <row r="8980" ht="15.6" spans="4:11">
      <c r="D8980" s="4" t="s">
        <v>5119</v>
      </c>
      <c r="E8980" s="4" t="s">
        <v>224</v>
      </c>
      <c r="J8980" s="3" t="s">
        <v>9200</v>
      </c>
      <c r="K8980" s="3" t="s">
        <v>223</v>
      </c>
    </row>
    <row r="8981" ht="15.6" spans="4:11">
      <c r="D8981" s="4" t="s">
        <v>5120</v>
      </c>
      <c r="E8981" s="4" t="s">
        <v>224</v>
      </c>
      <c r="J8981" s="3" t="s">
        <v>9201</v>
      </c>
      <c r="K8981" s="3" t="s">
        <v>223</v>
      </c>
    </row>
    <row r="8982" ht="15.6" spans="4:11">
      <c r="D8982" s="4" t="s">
        <v>5121</v>
      </c>
      <c r="E8982" s="4" t="s">
        <v>224</v>
      </c>
      <c r="J8982" s="3" t="s">
        <v>9202</v>
      </c>
      <c r="K8982" s="3" t="s">
        <v>223</v>
      </c>
    </row>
    <row r="8983" ht="15.6" spans="4:11">
      <c r="D8983" s="4" t="s">
        <v>5122</v>
      </c>
      <c r="E8983" s="4" t="s">
        <v>224</v>
      </c>
      <c r="J8983" s="3" t="s">
        <v>9203</v>
      </c>
      <c r="K8983" s="3" t="s">
        <v>223</v>
      </c>
    </row>
    <row r="8984" ht="15.6" spans="4:11">
      <c r="D8984" s="4" t="s">
        <v>5123</v>
      </c>
      <c r="E8984" s="4" t="s">
        <v>224</v>
      </c>
      <c r="J8984" s="3" t="s">
        <v>9204</v>
      </c>
      <c r="K8984" s="3" t="s">
        <v>223</v>
      </c>
    </row>
    <row r="8985" ht="15.6" spans="4:11">
      <c r="D8985" s="4" t="s">
        <v>5124</v>
      </c>
      <c r="E8985" s="4" t="s">
        <v>224</v>
      </c>
      <c r="J8985" s="3" t="s">
        <v>9205</v>
      </c>
      <c r="K8985" s="3" t="s">
        <v>223</v>
      </c>
    </row>
    <row r="8986" ht="15.6" spans="4:11">
      <c r="D8986" s="4" t="s">
        <v>5125</v>
      </c>
      <c r="E8986" s="4" t="s">
        <v>224</v>
      </c>
      <c r="J8986" s="3" t="s">
        <v>9206</v>
      </c>
      <c r="K8986" s="3" t="s">
        <v>223</v>
      </c>
    </row>
    <row r="8987" ht="15.6" spans="4:11">
      <c r="D8987" s="4" t="s">
        <v>5126</v>
      </c>
      <c r="E8987" s="4" t="s">
        <v>224</v>
      </c>
      <c r="J8987" s="3" t="s">
        <v>9207</v>
      </c>
      <c r="K8987" s="3" t="s">
        <v>223</v>
      </c>
    </row>
    <row r="8988" ht="15.6" spans="4:11">
      <c r="D8988" s="4" t="s">
        <v>5127</v>
      </c>
      <c r="E8988" s="4" t="s">
        <v>224</v>
      </c>
      <c r="J8988" s="3" t="s">
        <v>9208</v>
      </c>
      <c r="K8988" s="3" t="s">
        <v>223</v>
      </c>
    </row>
    <row r="8989" ht="15.6" spans="4:11">
      <c r="D8989" s="4" t="s">
        <v>5128</v>
      </c>
      <c r="E8989" s="4" t="s">
        <v>224</v>
      </c>
      <c r="J8989" s="3" t="s">
        <v>9209</v>
      </c>
      <c r="K8989" s="3" t="s">
        <v>223</v>
      </c>
    </row>
    <row r="8990" ht="15.6" spans="4:11">
      <c r="D8990" s="4" t="s">
        <v>5129</v>
      </c>
      <c r="E8990" s="4" t="s">
        <v>224</v>
      </c>
      <c r="J8990" s="3" t="s">
        <v>9210</v>
      </c>
      <c r="K8990" s="3" t="s">
        <v>223</v>
      </c>
    </row>
    <row r="8991" ht="15.6" spans="4:11">
      <c r="D8991" s="4" t="s">
        <v>5130</v>
      </c>
      <c r="E8991" s="4" t="s">
        <v>224</v>
      </c>
      <c r="J8991" s="3" t="s">
        <v>9211</v>
      </c>
      <c r="K8991" s="3" t="s">
        <v>223</v>
      </c>
    </row>
    <row r="8992" ht="15.6" spans="4:11">
      <c r="D8992" s="4" t="s">
        <v>5131</v>
      </c>
      <c r="E8992" s="4" t="s">
        <v>224</v>
      </c>
      <c r="J8992" s="3" t="s">
        <v>9212</v>
      </c>
      <c r="K8992" s="3" t="s">
        <v>223</v>
      </c>
    </row>
    <row r="8993" ht="15.6" spans="4:11">
      <c r="D8993" s="4" t="s">
        <v>5132</v>
      </c>
      <c r="E8993" s="4" t="s">
        <v>224</v>
      </c>
      <c r="J8993" s="3" t="s">
        <v>9213</v>
      </c>
      <c r="K8993" s="3" t="s">
        <v>223</v>
      </c>
    </row>
    <row r="8994" ht="15.6" spans="4:11">
      <c r="D8994" s="4" t="s">
        <v>5133</v>
      </c>
      <c r="E8994" s="4" t="s">
        <v>224</v>
      </c>
      <c r="J8994" s="3" t="s">
        <v>9214</v>
      </c>
      <c r="K8994" s="3" t="s">
        <v>223</v>
      </c>
    </row>
    <row r="8995" ht="15.6" spans="4:11">
      <c r="D8995" s="4" t="s">
        <v>5134</v>
      </c>
      <c r="E8995" s="4" t="s">
        <v>224</v>
      </c>
      <c r="J8995" s="3" t="s">
        <v>9215</v>
      </c>
      <c r="K8995" s="3" t="s">
        <v>223</v>
      </c>
    </row>
    <row r="8996" ht="15.6" spans="4:11">
      <c r="D8996" s="4" t="s">
        <v>5135</v>
      </c>
      <c r="E8996" s="4" t="s">
        <v>224</v>
      </c>
      <c r="J8996" s="3" t="s">
        <v>9216</v>
      </c>
      <c r="K8996" s="3" t="s">
        <v>223</v>
      </c>
    </row>
    <row r="8997" ht="15.6" spans="4:11">
      <c r="D8997" s="4" t="s">
        <v>5136</v>
      </c>
      <c r="E8997" s="4" t="s">
        <v>224</v>
      </c>
      <c r="J8997" s="3" t="s">
        <v>9217</v>
      </c>
      <c r="K8997" s="3" t="s">
        <v>223</v>
      </c>
    </row>
    <row r="8998" ht="15.6" spans="4:11">
      <c r="D8998" s="4" t="s">
        <v>5137</v>
      </c>
      <c r="E8998" s="4" t="s">
        <v>224</v>
      </c>
      <c r="J8998" s="3" t="s">
        <v>9218</v>
      </c>
      <c r="K8998" s="3" t="s">
        <v>223</v>
      </c>
    </row>
    <row r="8999" ht="15.6" spans="4:11">
      <c r="D8999" s="4" t="s">
        <v>5138</v>
      </c>
      <c r="E8999" s="4" t="s">
        <v>224</v>
      </c>
      <c r="J8999" s="3" t="s">
        <v>9219</v>
      </c>
      <c r="K8999" s="3" t="s">
        <v>223</v>
      </c>
    </row>
    <row r="9000" ht="15.6" spans="4:11">
      <c r="D9000" s="4" t="s">
        <v>5139</v>
      </c>
      <c r="E9000" s="4" t="s">
        <v>224</v>
      </c>
      <c r="J9000" s="3" t="s">
        <v>9220</v>
      </c>
      <c r="K9000" s="3" t="s">
        <v>223</v>
      </c>
    </row>
    <row r="9001" ht="15.6" spans="4:11">
      <c r="D9001" s="4" t="s">
        <v>5140</v>
      </c>
      <c r="E9001" s="4" t="s">
        <v>224</v>
      </c>
      <c r="J9001" s="3" t="s">
        <v>9221</v>
      </c>
      <c r="K9001" s="3" t="s">
        <v>223</v>
      </c>
    </row>
    <row r="9002" ht="15.6" spans="4:11">
      <c r="D9002" s="4" t="s">
        <v>5141</v>
      </c>
      <c r="E9002" s="4" t="s">
        <v>224</v>
      </c>
      <c r="J9002" s="3" t="s">
        <v>9222</v>
      </c>
      <c r="K9002" s="3" t="s">
        <v>223</v>
      </c>
    </row>
    <row r="9003" ht="15.6" spans="4:11">
      <c r="D9003" s="4" t="s">
        <v>5142</v>
      </c>
      <c r="E9003" s="4" t="s">
        <v>224</v>
      </c>
      <c r="J9003" s="3" t="s">
        <v>9223</v>
      </c>
      <c r="K9003" s="3" t="s">
        <v>223</v>
      </c>
    </row>
    <row r="9004" ht="15.6" spans="4:11">
      <c r="D9004" s="4" t="s">
        <v>5143</v>
      </c>
      <c r="E9004" s="4" t="s">
        <v>224</v>
      </c>
      <c r="J9004" s="3" t="s">
        <v>9224</v>
      </c>
      <c r="K9004" s="3" t="s">
        <v>223</v>
      </c>
    </row>
    <row r="9005" ht="15.6" spans="4:11">
      <c r="D9005" s="4" t="s">
        <v>5144</v>
      </c>
      <c r="E9005" s="4" t="s">
        <v>224</v>
      </c>
      <c r="J9005" s="3" t="s">
        <v>9225</v>
      </c>
      <c r="K9005" s="3" t="s">
        <v>223</v>
      </c>
    </row>
    <row r="9006" ht="15.6" spans="4:11">
      <c r="D9006" s="4" t="s">
        <v>5145</v>
      </c>
      <c r="E9006" s="4" t="s">
        <v>224</v>
      </c>
      <c r="J9006" s="3" t="s">
        <v>9226</v>
      </c>
      <c r="K9006" s="3" t="s">
        <v>223</v>
      </c>
    </row>
    <row r="9007" ht="15.6" spans="4:11">
      <c r="D9007" s="4" t="s">
        <v>5146</v>
      </c>
      <c r="E9007" s="4" t="s">
        <v>224</v>
      </c>
      <c r="J9007" s="3" t="s">
        <v>9227</v>
      </c>
      <c r="K9007" s="3" t="s">
        <v>223</v>
      </c>
    </row>
    <row r="9008" ht="15.6" spans="4:11">
      <c r="D9008" s="4" t="s">
        <v>5147</v>
      </c>
      <c r="E9008" s="4" t="s">
        <v>224</v>
      </c>
      <c r="J9008" s="3" t="s">
        <v>9228</v>
      </c>
      <c r="K9008" s="3" t="s">
        <v>223</v>
      </c>
    </row>
    <row r="9009" ht="15.6" spans="4:11">
      <c r="D9009" s="4" t="s">
        <v>5148</v>
      </c>
      <c r="E9009" s="4" t="s">
        <v>224</v>
      </c>
      <c r="J9009" s="3" t="s">
        <v>9229</v>
      </c>
      <c r="K9009" s="3" t="s">
        <v>223</v>
      </c>
    </row>
    <row r="9010" ht="15.6" spans="4:11">
      <c r="D9010" s="4" t="s">
        <v>5149</v>
      </c>
      <c r="E9010" s="4" t="s">
        <v>224</v>
      </c>
      <c r="J9010" s="3" t="s">
        <v>9230</v>
      </c>
      <c r="K9010" s="3" t="s">
        <v>223</v>
      </c>
    </row>
    <row r="9011" ht="15.6" spans="4:11">
      <c r="D9011" s="4" t="s">
        <v>5150</v>
      </c>
      <c r="E9011" s="4" t="s">
        <v>224</v>
      </c>
      <c r="J9011" s="3" t="s">
        <v>9231</v>
      </c>
      <c r="K9011" s="3" t="s">
        <v>223</v>
      </c>
    </row>
    <row r="9012" ht="15.6" spans="4:11">
      <c r="D9012" s="4" t="s">
        <v>5151</v>
      </c>
      <c r="E9012" s="4" t="s">
        <v>224</v>
      </c>
      <c r="J9012" s="3" t="s">
        <v>9232</v>
      </c>
      <c r="K9012" s="3" t="s">
        <v>223</v>
      </c>
    </row>
    <row r="9013" ht="15.6" spans="4:11">
      <c r="D9013" s="4" t="s">
        <v>5152</v>
      </c>
      <c r="E9013" s="4" t="s">
        <v>224</v>
      </c>
      <c r="J9013" s="3" t="s">
        <v>9233</v>
      </c>
      <c r="K9013" s="3" t="s">
        <v>223</v>
      </c>
    </row>
    <row r="9014" ht="15.6" spans="4:11">
      <c r="D9014" s="4" t="s">
        <v>5153</v>
      </c>
      <c r="E9014" s="4" t="s">
        <v>224</v>
      </c>
      <c r="J9014" s="3" t="s">
        <v>9234</v>
      </c>
      <c r="K9014" s="3" t="s">
        <v>223</v>
      </c>
    </row>
    <row r="9015" ht="15.6" spans="4:11">
      <c r="D9015" s="4" t="s">
        <v>5154</v>
      </c>
      <c r="E9015" s="4" t="s">
        <v>224</v>
      </c>
      <c r="J9015" s="3" t="s">
        <v>9235</v>
      </c>
      <c r="K9015" s="3" t="s">
        <v>223</v>
      </c>
    </row>
    <row r="9016" ht="15.6" spans="4:11">
      <c r="D9016" s="4" t="s">
        <v>5155</v>
      </c>
      <c r="E9016" s="4" t="s">
        <v>224</v>
      </c>
      <c r="J9016" s="3" t="s">
        <v>9236</v>
      </c>
      <c r="K9016" s="3" t="s">
        <v>223</v>
      </c>
    </row>
    <row r="9017" ht="15.6" spans="4:11">
      <c r="D9017" s="4" t="s">
        <v>5156</v>
      </c>
      <c r="E9017" s="4" t="s">
        <v>224</v>
      </c>
      <c r="J9017" s="3" t="s">
        <v>9237</v>
      </c>
      <c r="K9017" s="3" t="s">
        <v>223</v>
      </c>
    </row>
    <row r="9018" ht="15.6" spans="4:11">
      <c r="D9018" s="4" t="s">
        <v>5157</v>
      </c>
      <c r="E9018" s="4" t="s">
        <v>224</v>
      </c>
      <c r="J9018" s="3" t="s">
        <v>9238</v>
      </c>
      <c r="K9018" s="3" t="s">
        <v>223</v>
      </c>
    </row>
    <row r="9019" ht="15.6" spans="4:11">
      <c r="D9019" s="4" t="s">
        <v>5158</v>
      </c>
      <c r="E9019" s="4" t="s">
        <v>224</v>
      </c>
      <c r="J9019" s="3" t="s">
        <v>9239</v>
      </c>
      <c r="K9019" s="3" t="s">
        <v>223</v>
      </c>
    </row>
    <row r="9020" ht="15.6" spans="4:11">
      <c r="D9020" s="4" t="s">
        <v>5159</v>
      </c>
      <c r="E9020" s="4" t="s">
        <v>224</v>
      </c>
      <c r="J9020" s="3" t="s">
        <v>9240</v>
      </c>
      <c r="K9020" s="3" t="s">
        <v>223</v>
      </c>
    </row>
    <row r="9021" ht="15.6" spans="4:11">
      <c r="D9021" s="4" t="s">
        <v>5160</v>
      </c>
      <c r="E9021" s="4" t="s">
        <v>224</v>
      </c>
      <c r="J9021" s="3" t="s">
        <v>9241</v>
      </c>
      <c r="K9021" s="3" t="s">
        <v>223</v>
      </c>
    </row>
    <row r="9022" ht="15.6" spans="4:11">
      <c r="D9022" s="4" t="s">
        <v>5161</v>
      </c>
      <c r="E9022" s="4" t="s">
        <v>224</v>
      </c>
      <c r="J9022" s="3" t="s">
        <v>9242</v>
      </c>
      <c r="K9022" s="3" t="s">
        <v>223</v>
      </c>
    </row>
    <row r="9023" ht="15.6" spans="4:11">
      <c r="D9023" s="4" t="s">
        <v>5162</v>
      </c>
      <c r="E9023" s="4" t="s">
        <v>224</v>
      </c>
      <c r="J9023" s="3" t="s">
        <v>9243</v>
      </c>
      <c r="K9023" s="3" t="s">
        <v>223</v>
      </c>
    </row>
    <row r="9024" ht="15.6" spans="4:11">
      <c r="D9024" s="4" t="s">
        <v>5163</v>
      </c>
      <c r="E9024" s="4" t="s">
        <v>224</v>
      </c>
      <c r="J9024" s="3" t="s">
        <v>9244</v>
      </c>
      <c r="K9024" s="3" t="s">
        <v>223</v>
      </c>
    </row>
    <row r="9025" ht="15.6" spans="4:11">
      <c r="D9025" s="4" t="s">
        <v>5164</v>
      </c>
      <c r="E9025" s="4" t="s">
        <v>224</v>
      </c>
      <c r="J9025" s="3" t="s">
        <v>9245</v>
      </c>
      <c r="K9025" s="3" t="s">
        <v>223</v>
      </c>
    </row>
    <row r="9026" ht="15.6" spans="4:11">
      <c r="D9026" s="4" t="s">
        <v>5165</v>
      </c>
      <c r="E9026" s="4" t="s">
        <v>224</v>
      </c>
      <c r="J9026" s="3" t="s">
        <v>9246</v>
      </c>
      <c r="K9026" s="3" t="s">
        <v>223</v>
      </c>
    </row>
    <row r="9027" ht="15.6" spans="4:11">
      <c r="D9027" s="4" t="s">
        <v>5166</v>
      </c>
      <c r="E9027" s="4" t="s">
        <v>224</v>
      </c>
      <c r="J9027" s="3" t="s">
        <v>9247</v>
      </c>
      <c r="K9027" s="3" t="s">
        <v>223</v>
      </c>
    </row>
    <row r="9028" ht="15.6" spans="4:11">
      <c r="D9028" s="4" t="s">
        <v>5167</v>
      </c>
      <c r="E9028" s="4" t="s">
        <v>224</v>
      </c>
      <c r="J9028" s="3" t="s">
        <v>9248</v>
      </c>
      <c r="K9028" s="3" t="s">
        <v>223</v>
      </c>
    </row>
    <row r="9029" ht="15.6" spans="4:11">
      <c r="D9029" s="4" t="s">
        <v>5168</v>
      </c>
      <c r="E9029" s="4" t="s">
        <v>224</v>
      </c>
      <c r="J9029" s="3" t="s">
        <v>9249</v>
      </c>
      <c r="K9029" s="3" t="s">
        <v>223</v>
      </c>
    </row>
    <row r="9030" ht="15.6" spans="4:11">
      <c r="D9030" s="4" t="s">
        <v>5169</v>
      </c>
      <c r="E9030" s="4" t="s">
        <v>224</v>
      </c>
      <c r="J9030" s="3" t="s">
        <v>9250</v>
      </c>
      <c r="K9030" s="3" t="s">
        <v>223</v>
      </c>
    </row>
    <row r="9031" ht="15.6" spans="4:11">
      <c r="D9031" s="4" t="s">
        <v>5170</v>
      </c>
      <c r="E9031" s="4" t="s">
        <v>224</v>
      </c>
      <c r="J9031" s="3" t="s">
        <v>9251</v>
      </c>
      <c r="K9031" s="3" t="s">
        <v>223</v>
      </c>
    </row>
    <row r="9032" ht="15.6" spans="4:11">
      <c r="D9032" s="4" t="s">
        <v>5171</v>
      </c>
      <c r="E9032" s="4" t="s">
        <v>224</v>
      </c>
      <c r="J9032" s="3" t="s">
        <v>9252</v>
      </c>
      <c r="K9032" s="3" t="s">
        <v>223</v>
      </c>
    </row>
    <row r="9033" ht="15.6" spans="4:11">
      <c r="D9033" s="4" t="s">
        <v>5172</v>
      </c>
      <c r="E9033" s="4" t="s">
        <v>224</v>
      </c>
      <c r="J9033" s="3" t="s">
        <v>9253</v>
      </c>
      <c r="K9033" s="3" t="s">
        <v>223</v>
      </c>
    </row>
    <row r="9034" ht="15.6" spans="4:11">
      <c r="D9034" s="4" t="s">
        <v>5173</v>
      </c>
      <c r="E9034" s="4" t="s">
        <v>224</v>
      </c>
      <c r="J9034" s="3" t="s">
        <v>9254</v>
      </c>
      <c r="K9034" s="3" t="s">
        <v>223</v>
      </c>
    </row>
    <row r="9035" ht="15.6" spans="4:11">
      <c r="D9035" s="4" t="s">
        <v>5174</v>
      </c>
      <c r="E9035" s="4" t="s">
        <v>224</v>
      </c>
      <c r="J9035" s="3" t="s">
        <v>9255</v>
      </c>
      <c r="K9035" s="3" t="s">
        <v>223</v>
      </c>
    </row>
    <row r="9036" ht="15.6" spans="4:11">
      <c r="D9036" s="4" t="s">
        <v>5175</v>
      </c>
      <c r="E9036" s="4" t="s">
        <v>224</v>
      </c>
      <c r="J9036" s="3" t="s">
        <v>9256</v>
      </c>
      <c r="K9036" s="3" t="s">
        <v>223</v>
      </c>
    </row>
    <row r="9037" ht="15.6" spans="4:11">
      <c r="D9037" s="4" t="s">
        <v>5176</v>
      </c>
      <c r="E9037" s="4" t="s">
        <v>224</v>
      </c>
      <c r="J9037" s="3" t="s">
        <v>9257</v>
      </c>
      <c r="K9037" s="3" t="s">
        <v>223</v>
      </c>
    </row>
    <row r="9038" ht="15.6" spans="4:11">
      <c r="D9038" s="4" t="s">
        <v>5177</v>
      </c>
      <c r="E9038" s="4" t="s">
        <v>224</v>
      </c>
      <c r="J9038" s="3" t="s">
        <v>9258</v>
      </c>
      <c r="K9038" s="3" t="s">
        <v>223</v>
      </c>
    </row>
    <row r="9039" ht="15.6" spans="4:11">
      <c r="D9039" s="4" t="s">
        <v>5178</v>
      </c>
      <c r="E9039" s="4" t="s">
        <v>224</v>
      </c>
      <c r="J9039" s="3" t="s">
        <v>9259</v>
      </c>
      <c r="K9039" s="3" t="s">
        <v>223</v>
      </c>
    </row>
    <row r="9040" ht="15.6" spans="4:11">
      <c r="D9040" s="4" t="s">
        <v>5179</v>
      </c>
      <c r="E9040" s="4" t="s">
        <v>224</v>
      </c>
      <c r="J9040" s="3" t="s">
        <v>9260</v>
      </c>
      <c r="K9040" s="3" t="s">
        <v>223</v>
      </c>
    </row>
    <row r="9041" ht="15.6" spans="4:11">
      <c r="D9041" s="4" t="s">
        <v>5180</v>
      </c>
      <c r="E9041" s="4" t="s">
        <v>224</v>
      </c>
      <c r="J9041" s="3" t="s">
        <v>9261</v>
      </c>
      <c r="K9041" s="3" t="s">
        <v>223</v>
      </c>
    </row>
    <row r="9042" ht="15.6" spans="4:11">
      <c r="D9042" s="4" t="s">
        <v>5181</v>
      </c>
      <c r="E9042" s="4" t="s">
        <v>224</v>
      </c>
      <c r="J9042" s="3" t="s">
        <v>9262</v>
      </c>
      <c r="K9042" s="3" t="s">
        <v>223</v>
      </c>
    </row>
    <row r="9043" ht="15.6" spans="4:11">
      <c r="D9043" s="4" t="s">
        <v>5182</v>
      </c>
      <c r="E9043" s="4" t="s">
        <v>224</v>
      </c>
      <c r="J9043" s="3" t="s">
        <v>9263</v>
      </c>
      <c r="K9043" s="3" t="s">
        <v>223</v>
      </c>
    </row>
    <row r="9044" ht="15.6" spans="4:11">
      <c r="D9044" s="4" t="s">
        <v>5183</v>
      </c>
      <c r="E9044" s="4" t="s">
        <v>224</v>
      </c>
      <c r="J9044" s="3" t="s">
        <v>9264</v>
      </c>
      <c r="K9044" s="3" t="s">
        <v>223</v>
      </c>
    </row>
    <row r="9045" ht="15.6" spans="4:11">
      <c r="D9045" s="4" t="s">
        <v>5184</v>
      </c>
      <c r="E9045" s="4" t="s">
        <v>224</v>
      </c>
      <c r="J9045" s="3" t="s">
        <v>9265</v>
      </c>
      <c r="K9045" s="3" t="s">
        <v>223</v>
      </c>
    </row>
    <row r="9046" ht="15.6" spans="4:11">
      <c r="D9046" s="4" t="s">
        <v>5185</v>
      </c>
      <c r="E9046" s="4" t="s">
        <v>224</v>
      </c>
      <c r="J9046" s="3" t="s">
        <v>9266</v>
      </c>
      <c r="K9046" s="3" t="s">
        <v>223</v>
      </c>
    </row>
    <row r="9047" ht="15.6" spans="4:11">
      <c r="D9047" s="4" t="s">
        <v>5186</v>
      </c>
      <c r="E9047" s="4" t="s">
        <v>224</v>
      </c>
      <c r="J9047" s="3" t="s">
        <v>9267</v>
      </c>
      <c r="K9047" s="3" t="s">
        <v>223</v>
      </c>
    </row>
    <row r="9048" ht="15.6" spans="4:11">
      <c r="D9048" s="4" t="s">
        <v>5187</v>
      </c>
      <c r="E9048" s="4" t="s">
        <v>224</v>
      </c>
      <c r="J9048" s="3" t="s">
        <v>9268</v>
      </c>
      <c r="K9048" s="3" t="s">
        <v>223</v>
      </c>
    </row>
    <row r="9049" ht="15.6" spans="4:11">
      <c r="D9049" s="4" t="s">
        <v>5188</v>
      </c>
      <c r="E9049" s="4" t="s">
        <v>224</v>
      </c>
      <c r="J9049" s="3" t="s">
        <v>9269</v>
      </c>
      <c r="K9049" s="3" t="s">
        <v>223</v>
      </c>
    </row>
    <row r="9050" ht="15.6" spans="4:11">
      <c r="D9050" s="4" t="s">
        <v>5189</v>
      </c>
      <c r="E9050" s="4" t="s">
        <v>224</v>
      </c>
      <c r="J9050" s="3" t="s">
        <v>9270</v>
      </c>
      <c r="K9050" s="3" t="s">
        <v>223</v>
      </c>
    </row>
    <row r="9051" ht="15.6" spans="4:11">
      <c r="D9051" s="4" t="s">
        <v>5190</v>
      </c>
      <c r="E9051" s="4" t="s">
        <v>224</v>
      </c>
      <c r="J9051" s="3" t="s">
        <v>9271</v>
      </c>
      <c r="K9051" s="3" t="s">
        <v>223</v>
      </c>
    </row>
    <row r="9052" ht="15.6" spans="4:11">
      <c r="D9052" s="4" t="s">
        <v>5191</v>
      </c>
      <c r="E9052" s="4" t="s">
        <v>224</v>
      </c>
      <c r="J9052" s="3" t="s">
        <v>9272</v>
      </c>
      <c r="K9052" s="3" t="s">
        <v>223</v>
      </c>
    </row>
    <row r="9053" ht="15.6" spans="4:11">
      <c r="D9053" s="4" t="s">
        <v>5192</v>
      </c>
      <c r="E9053" s="4" t="s">
        <v>224</v>
      </c>
      <c r="J9053" s="3" t="s">
        <v>9273</v>
      </c>
      <c r="K9053" s="3" t="s">
        <v>223</v>
      </c>
    </row>
    <row r="9054" ht="15.6" spans="4:11">
      <c r="D9054" s="4" t="s">
        <v>5193</v>
      </c>
      <c r="E9054" s="4" t="s">
        <v>224</v>
      </c>
      <c r="J9054" s="3" t="s">
        <v>9274</v>
      </c>
      <c r="K9054" s="3" t="s">
        <v>223</v>
      </c>
    </row>
    <row r="9055" ht="15.6" spans="4:11">
      <c r="D9055" s="4" t="s">
        <v>5194</v>
      </c>
      <c r="E9055" s="4" t="s">
        <v>224</v>
      </c>
      <c r="J9055" s="3" t="s">
        <v>9275</v>
      </c>
      <c r="K9055" s="3" t="s">
        <v>223</v>
      </c>
    </row>
    <row r="9056" ht="15.6" spans="4:11">
      <c r="D9056" s="4" t="s">
        <v>5195</v>
      </c>
      <c r="E9056" s="4" t="s">
        <v>224</v>
      </c>
      <c r="J9056" s="3" t="s">
        <v>9276</v>
      </c>
      <c r="K9056" s="3" t="s">
        <v>223</v>
      </c>
    </row>
    <row r="9057" ht="15.6" spans="4:11">
      <c r="D9057" s="4" t="s">
        <v>5196</v>
      </c>
      <c r="E9057" s="4" t="s">
        <v>224</v>
      </c>
      <c r="J9057" s="3" t="s">
        <v>9277</v>
      </c>
      <c r="K9057" s="3" t="s">
        <v>223</v>
      </c>
    </row>
    <row r="9058" ht="15.6" spans="4:11">
      <c r="D9058" s="4" t="s">
        <v>5197</v>
      </c>
      <c r="E9058" s="4" t="s">
        <v>224</v>
      </c>
      <c r="J9058" s="3" t="s">
        <v>9278</v>
      </c>
      <c r="K9058" s="3" t="s">
        <v>223</v>
      </c>
    </row>
    <row r="9059" ht="15.6" spans="4:11">
      <c r="D9059" s="4" t="s">
        <v>5198</v>
      </c>
      <c r="E9059" s="4" t="s">
        <v>224</v>
      </c>
      <c r="J9059" s="3" t="s">
        <v>9279</v>
      </c>
      <c r="K9059" s="3" t="s">
        <v>223</v>
      </c>
    </row>
    <row r="9060" ht="15.6" spans="4:11">
      <c r="D9060" s="4" t="s">
        <v>5199</v>
      </c>
      <c r="E9060" s="4" t="s">
        <v>224</v>
      </c>
      <c r="J9060" s="3" t="s">
        <v>9280</v>
      </c>
      <c r="K9060" s="3" t="s">
        <v>223</v>
      </c>
    </row>
    <row r="9061" ht="15.6" spans="4:11">
      <c r="D9061" s="4" t="s">
        <v>5200</v>
      </c>
      <c r="E9061" s="4" t="s">
        <v>224</v>
      </c>
      <c r="J9061" s="3" t="s">
        <v>9281</v>
      </c>
      <c r="K9061" s="3" t="s">
        <v>223</v>
      </c>
    </row>
    <row r="9062" ht="15.6" spans="4:11">
      <c r="D9062" s="4" t="s">
        <v>5201</v>
      </c>
      <c r="E9062" s="4" t="s">
        <v>224</v>
      </c>
      <c r="J9062" s="3" t="s">
        <v>9282</v>
      </c>
      <c r="K9062" s="3" t="s">
        <v>223</v>
      </c>
    </row>
    <row r="9063" ht="15.6" spans="4:11">
      <c r="D9063" s="4" t="s">
        <v>5202</v>
      </c>
      <c r="E9063" s="4" t="s">
        <v>224</v>
      </c>
      <c r="J9063" s="3" t="s">
        <v>9283</v>
      </c>
      <c r="K9063" s="3" t="s">
        <v>223</v>
      </c>
    </row>
    <row r="9064" ht="15.6" spans="4:11">
      <c r="D9064" s="4" t="s">
        <v>5203</v>
      </c>
      <c r="E9064" s="4" t="s">
        <v>224</v>
      </c>
      <c r="J9064" s="3" t="s">
        <v>9284</v>
      </c>
      <c r="K9064" s="3" t="s">
        <v>223</v>
      </c>
    </row>
    <row r="9065" ht="15.6" spans="4:11">
      <c r="D9065" s="4" t="s">
        <v>5204</v>
      </c>
      <c r="E9065" s="4" t="s">
        <v>224</v>
      </c>
      <c r="J9065" s="3" t="s">
        <v>9285</v>
      </c>
      <c r="K9065" s="3" t="s">
        <v>223</v>
      </c>
    </row>
    <row r="9066" ht="15.6" spans="4:11">
      <c r="D9066" s="4" t="s">
        <v>5205</v>
      </c>
      <c r="E9066" s="4" t="s">
        <v>224</v>
      </c>
      <c r="J9066" s="3" t="s">
        <v>9286</v>
      </c>
      <c r="K9066" s="3" t="s">
        <v>223</v>
      </c>
    </row>
    <row r="9067" ht="15.6" spans="4:11">
      <c r="D9067" s="4" t="s">
        <v>5206</v>
      </c>
      <c r="E9067" s="4" t="s">
        <v>224</v>
      </c>
      <c r="J9067" s="3" t="s">
        <v>9287</v>
      </c>
      <c r="K9067" s="3" t="s">
        <v>223</v>
      </c>
    </row>
    <row r="9068" ht="15.6" spans="4:11">
      <c r="D9068" s="4" t="s">
        <v>5207</v>
      </c>
      <c r="E9068" s="4" t="s">
        <v>224</v>
      </c>
      <c r="J9068" s="3" t="s">
        <v>9288</v>
      </c>
      <c r="K9068" s="3" t="s">
        <v>223</v>
      </c>
    </row>
    <row r="9069" ht="15.6" spans="4:11">
      <c r="D9069" s="4" t="s">
        <v>5208</v>
      </c>
      <c r="E9069" s="4" t="s">
        <v>224</v>
      </c>
      <c r="J9069" s="3" t="s">
        <v>9289</v>
      </c>
      <c r="K9069" s="3" t="s">
        <v>223</v>
      </c>
    </row>
    <row r="9070" ht="15.6" spans="4:11">
      <c r="D9070" s="4" t="s">
        <v>5209</v>
      </c>
      <c r="E9070" s="4" t="s">
        <v>224</v>
      </c>
      <c r="J9070" s="3" t="s">
        <v>9290</v>
      </c>
      <c r="K9070" s="3" t="s">
        <v>223</v>
      </c>
    </row>
    <row r="9071" ht="15.6" spans="4:11">
      <c r="D9071" s="4" t="s">
        <v>5210</v>
      </c>
      <c r="E9071" s="4" t="s">
        <v>224</v>
      </c>
      <c r="J9071" s="3" t="s">
        <v>9291</v>
      </c>
      <c r="K9071" s="3" t="s">
        <v>223</v>
      </c>
    </row>
    <row r="9072" ht="15.6" spans="4:11">
      <c r="D9072" s="4" t="s">
        <v>5211</v>
      </c>
      <c r="E9072" s="4" t="s">
        <v>224</v>
      </c>
      <c r="J9072" s="3" t="s">
        <v>9292</v>
      </c>
      <c r="K9072" s="3" t="s">
        <v>223</v>
      </c>
    </row>
    <row r="9073" ht="15.6" spans="4:11">
      <c r="D9073" s="4" t="s">
        <v>5212</v>
      </c>
      <c r="E9073" s="4" t="s">
        <v>224</v>
      </c>
      <c r="J9073" s="3" t="s">
        <v>9293</v>
      </c>
      <c r="K9073" s="3" t="s">
        <v>223</v>
      </c>
    </row>
    <row r="9074" ht="15.6" spans="4:11">
      <c r="D9074" s="4" t="s">
        <v>5213</v>
      </c>
      <c r="E9074" s="4" t="s">
        <v>224</v>
      </c>
      <c r="J9074" s="3" t="s">
        <v>9294</v>
      </c>
      <c r="K9074" s="3" t="s">
        <v>223</v>
      </c>
    </row>
    <row r="9075" ht="15.6" spans="4:11">
      <c r="D9075" s="4" t="s">
        <v>5214</v>
      </c>
      <c r="E9075" s="4" t="s">
        <v>224</v>
      </c>
      <c r="J9075" s="3" t="s">
        <v>9295</v>
      </c>
      <c r="K9075" s="3" t="s">
        <v>223</v>
      </c>
    </row>
    <row r="9076" ht="15.6" spans="4:11">
      <c r="D9076" s="4" t="s">
        <v>5215</v>
      </c>
      <c r="E9076" s="4" t="s">
        <v>224</v>
      </c>
      <c r="J9076" s="3" t="s">
        <v>9296</v>
      </c>
      <c r="K9076" s="3" t="s">
        <v>223</v>
      </c>
    </row>
    <row r="9077" ht="15.6" spans="4:11">
      <c r="D9077" s="4" t="s">
        <v>5216</v>
      </c>
      <c r="E9077" s="4" t="s">
        <v>224</v>
      </c>
      <c r="J9077" s="3" t="s">
        <v>9297</v>
      </c>
      <c r="K9077" s="3" t="s">
        <v>223</v>
      </c>
    </row>
    <row r="9078" ht="15.6" spans="4:11">
      <c r="D9078" s="4" t="s">
        <v>5217</v>
      </c>
      <c r="E9078" s="4" t="s">
        <v>224</v>
      </c>
      <c r="J9078" s="3" t="s">
        <v>9298</v>
      </c>
      <c r="K9078" s="3" t="s">
        <v>223</v>
      </c>
    </row>
    <row r="9079" ht="15.6" spans="4:11">
      <c r="D9079" s="4" t="s">
        <v>5218</v>
      </c>
      <c r="E9079" s="4" t="s">
        <v>224</v>
      </c>
      <c r="J9079" s="3" t="s">
        <v>9299</v>
      </c>
      <c r="K9079" s="3" t="s">
        <v>223</v>
      </c>
    </row>
    <row r="9080" ht="15.6" spans="4:11">
      <c r="D9080" s="4" t="s">
        <v>5219</v>
      </c>
      <c r="E9080" s="4" t="s">
        <v>224</v>
      </c>
      <c r="J9080" s="3" t="s">
        <v>9300</v>
      </c>
      <c r="K9080" s="3" t="s">
        <v>223</v>
      </c>
    </row>
    <row r="9081" ht="15.6" spans="4:11">
      <c r="D9081" s="4" t="s">
        <v>5220</v>
      </c>
      <c r="E9081" s="4" t="s">
        <v>224</v>
      </c>
      <c r="J9081" s="3" t="s">
        <v>9301</v>
      </c>
      <c r="K9081" s="3" t="s">
        <v>223</v>
      </c>
    </row>
    <row r="9082" ht="15.6" spans="4:11">
      <c r="D9082" s="4" t="s">
        <v>5221</v>
      </c>
      <c r="E9082" s="4" t="s">
        <v>224</v>
      </c>
      <c r="J9082" s="3" t="s">
        <v>9302</v>
      </c>
      <c r="K9082" s="3" t="s">
        <v>223</v>
      </c>
    </row>
    <row r="9083" ht="15.6" spans="4:11">
      <c r="D9083" s="4" t="s">
        <v>5222</v>
      </c>
      <c r="E9083" s="4" t="s">
        <v>224</v>
      </c>
      <c r="J9083" s="3" t="s">
        <v>9303</v>
      </c>
      <c r="K9083" s="3" t="s">
        <v>223</v>
      </c>
    </row>
    <row r="9084" ht="15.6" spans="4:11">
      <c r="D9084" s="4" t="s">
        <v>5223</v>
      </c>
      <c r="E9084" s="4" t="s">
        <v>224</v>
      </c>
      <c r="J9084" s="3" t="s">
        <v>9304</v>
      </c>
      <c r="K9084" s="3" t="s">
        <v>223</v>
      </c>
    </row>
    <row r="9085" ht="15.6" spans="4:11">
      <c r="D9085" s="4">
        <v>2898</v>
      </c>
      <c r="E9085" s="4" t="s">
        <v>224</v>
      </c>
      <c r="J9085" s="3" t="s">
        <v>9305</v>
      </c>
      <c r="K9085" s="3" t="s">
        <v>223</v>
      </c>
    </row>
    <row r="9086" ht="15.6" spans="4:11">
      <c r="D9086" s="4">
        <v>2899</v>
      </c>
      <c r="E9086" s="4" t="s">
        <v>224</v>
      </c>
      <c r="J9086" s="3" t="s">
        <v>9306</v>
      </c>
      <c r="K9086" s="3" t="s">
        <v>223</v>
      </c>
    </row>
    <row r="9087" ht="15.6" spans="4:11">
      <c r="D9087" s="4">
        <v>6798</v>
      </c>
      <c r="E9087" s="4" t="s">
        <v>224</v>
      </c>
      <c r="J9087" s="3" t="s">
        <v>9307</v>
      </c>
      <c r="K9087" s="3" t="s">
        <v>223</v>
      </c>
    </row>
    <row r="9088" ht="15.6" spans="4:11">
      <c r="D9088" s="4">
        <v>6799</v>
      </c>
      <c r="E9088" s="4" t="s">
        <v>224</v>
      </c>
      <c r="J9088" s="3" t="s">
        <v>9308</v>
      </c>
      <c r="K9088" s="3" t="s">
        <v>223</v>
      </c>
    </row>
    <row r="9089" ht="15.6" spans="4:11">
      <c r="D9089" s="4">
        <v>7151</v>
      </c>
      <c r="E9089" s="4" t="s">
        <v>224</v>
      </c>
      <c r="J9089" s="3" t="s">
        <v>9309</v>
      </c>
      <c r="K9089" s="3" t="s">
        <v>223</v>
      </c>
    </row>
    <row r="9090" ht="15.6" spans="4:11">
      <c r="D9090" s="4">
        <v>7152</v>
      </c>
      <c r="E9090" s="4" t="s">
        <v>224</v>
      </c>
      <c r="J9090" s="3" t="s">
        <v>9310</v>
      </c>
      <c r="K9090" s="3" t="s">
        <v>223</v>
      </c>
    </row>
    <row r="9091" ht="15.6" spans="4:11">
      <c r="D9091" s="4">
        <v>7153</v>
      </c>
      <c r="E9091" s="4" t="s">
        <v>224</v>
      </c>
      <c r="J9091" s="3" t="s">
        <v>9311</v>
      </c>
      <c r="K9091" s="3" t="s">
        <v>223</v>
      </c>
    </row>
    <row r="9092" ht="15.6" spans="4:11">
      <c r="D9092" s="4">
        <v>7154</v>
      </c>
      <c r="E9092" s="4" t="s">
        <v>224</v>
      </c>
      <c r="J9092" s="3" t="s">
        <v>9312</v>
      </c>
      <c r="K9092" s="3" t="s">
        <v>223</v>
      </c>
    </row>
  </sheetData>
  <mergeCells count="2">
    <mergeCell ref="A1:C2"/>
    <mergeCell ref="G1:I2"/>
  </mergeCells>
  <conditionalFormatting sqref="J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分区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666666</cp:lastModifiedBy>
  <dcterms:created xsi:type="dcterms:W3CDTF">2026-09-07T11:33:00Z</dcterms:created>
  <dcterms:modified xsi:type="dcterms:W3CDTF">2026-09-07T06:05:06Z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28C7A46BEE544D689758722E3BC8C627_12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